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MAP" sheetId="1" state="visible" r:id="rId1"/>
    <sheet name="IN_MACRO" sheetId="2" state="visible" r:id="rId2"/>
    <sheet name="IN_TECH" sheetId="3" state="visible" r:id="rId3"/>
    <sheet name="IN_SALES" sheetId="4" state="visible" r:id="rId4"/>
    <sheet name="IN_COST" sheetId="5" state="visible" r:id="rId5"/>
    <sheet name="IN_WC" sheetId="6" state="visible" r:id="rId6"/>
    <sheet name="IN_FIN" sheetId="7" state="visible" r:id="rId7"/>
    <sheet name="IN_SCEN" sheetId="8" state="visible" r:id="rId8"/>
    <sheet name="ENG_SCEN" sheetId="9" state="hidden" r:id="rId9"/>
    <sheet name="ENG_OPS" sheetId="10" state="hidden" r:id="rId10"/>
    <sheet name="ENG_CAPEX" sheetId="11" state="hidden" r:id="rId11"/>
    <sheet name="ENG_ALLOC" sheetId="12" state="hidden" r:id="rId12"/>
    <sheet name="ENG_COST" sheetId="13" state="hidden" r:id="rId13"/>
    <sheet name="ENG_WC" sheetId="14" state="hidden" r:id="rId14"/>
    <sheet name="ENG_FCF" sheetId="15" state="hidden" r:id="rId15"/>
    <sheet name="ENG_DCF" sheetId="16" state="hidden" r:id="rId16"/>
    <sheet name="ENG_LEV" sheetId="17" state="hidden" r:id="rId17"/>
    <sheet name="ENG_SENS" sheetId="18" state="hidden" r:id="rId18"/>
    <sheet name="OUT_DASH" sheetId="19" state="visible" r:id="rId19"/>
    <sheet name="OUT_BANK" sheetId="20" state="visible" r:id="rId20"/>
    <sheet name="OUT_DEBT" sheetId="21" state="visible" r:id="rId21"/>
    <sheet name="OUT_SENS" sheetId="22" state="visible" r:id="rId22"/>
    <sheet name="OUT_INVEST" sheetId="23" state="visible" r:id="rId23"/>
    <sheet name="99_CHECK" sheetId="24" state="visible" r:id="rId2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7">
    <font>
      <name val="Calibri"/>
      <family val="2"/>
      <color theme="1"/>
      <sz val="11"/>
      <scheme val="minor"/>
    </font>
    <font>
      <name val="Tahoma"/>
      <b val="1"/>
      <color rgb="001F3864"/>
      <sz val="14"/>
    </font>
    <font>
      <name val="Tahoma"/>
      <i val="1"/>
      <color rgb="00595959"/>
      <sz val="9"/>
    </font>
    <font>
      <name val="Tahoma"/>
      <b val="1"/>
      <color rgb="00FFFFFF"/>
      <sz val="9"/>
    </font>
    <font>
      <name val="Tahoma"/>
      <b val="1"/>
      <color rgb="001F3864"/>
      <sz val="9"/>
    </font>
    <font>
      <name val="Tahoma"/>
      <color rgb="00808080"/>
      <sz val="8"/>
    </font>
    <font>
      <name val="Tahoma"/>
      <b val="1"/>
      <color rgb="00FFFFFF"/>
      <sz val="10"/>
    </font>
    <font>
      <name val="Tahoma"/>
      <sz val="10"/>
    </font>
    <font>
      <name val="Consolas"/>
      <color rgb="00808080"/>
      <sz val="8"/>
    </font>
    <font>
      <name val="Tahoma"/>
      <color rgb="000000CC"/>
      <sz val="10"/>
    </font>
    <font>
      <name val="Tahoma"/>
      <i val="1"/>
      <color rgb="00808080"/>
      <sz val="8"/>
    </font>
    <font>
      <name val="Tahoma"/>
      <color rgb="00595959"/>
      <sz val="8"/>
    </font>
    <font>
      <name val="Tahoma"/>
      <b val="1"/>
      <sz val="10"/>
    </font>
    <font>
      <name val="Tahoma"/>
      <color rgb="00000000"/>
      <sz val="10"/>
    </font>
    <font>
      <name val="Tahoma"/>
      <b val="1"/>
      <color rgb="00833C00"/>
      <sz val="12"/>
    </font>
    <font>
      <name val="Tahoma"/>
      <color rgb="00006100"/>
      <sz val="10"/>
    </font>
    <font/>
  </fonts>
  <fills count="8">
    <fill>
      <patternFill/>
    </fill>
    <fill>
      <patternFill patternType="gray125"/>
    </fill>
    <fill>
      <patternFill patternType="solid">
        <fgColor rgb="002F5597"/>
      </patternFill>
    </fill>
    <fill>
      <patternFill patternType="solid">
        <fgColor rgb="00D9E1F2"/>
      </patternFill>
    </fill>
    <fill>
      <patternFill patternType="solid">
        <fgColor rgb="00DDEBF7"/>
      </patternFill>
    </fill>
    <fill>
      <patternFill patternType="solid">
        <fgColor rgb="00FFFFFF"/>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1">
    <xf numFmtId="0" fontId="0" fillId="0" borderId="0" pivotButton="0" quotePrefix="0" xfId="0"/>
    <xf numFmtId="0" fontId="1" fillId="0" borderId="0" pivotButton="0" quotePrefix="0" xfId="0"/>
    <xf numFmtId="0" fontId="3" fillId="2" borderId="0" applyAlignment="1" pivotButton="0" quotePrefix="0" xfId="0">
      <alignment horizontal="center" vertical="center" wrapText="1"/>
    </xf>
    <xf numFmtId="0" fontId="2" fillId="0" borderId="0" pivotButton="0" quotePrefix="0" xfId="0"/>
    <xf numFmtId="0" fontId="6" fillId="2" borderId="0" pivotButton="0" quotePrefix="0" xfId="0"/>
    <xf numFmtId="0" fontId="0" fillId="2" borderId="0" pivotButton="0" quotePrefix="0" xfId="0"/>
    <xf numFmtId="0" fontId="12" fillId="7" borderId="0" pivotButton="0" quotePrefix="0" xfId="0"/>
    <xf numFmtId="0" fontId="10" fillId="0" borderId="0" pivotButton="0" quotePrefix="0" xfId="0"/>
    <xf numFmtId="0" fontId="12" fillId="0" borderId="0" pivotButton="0" quotePrefix="0" xfId="0"/>
    <xf numFmtId="0" fontId="12" fillId="7" borderId="1" applyAlignment="1" pivotButton="0" quotePrefix="0" xfId="0">
      <alignment horizontal="center" vertical="center" wrapText="1"/>
    </xf>
    <xf numFmtId="0" fontId="0" fillId="0" borderId="1" pivotButton="0" quotePrefix="0" xfId="0"/>
    <xf numFmtId="0" fontId="4" fillId="3"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0" pivotButton="0" quotePrefix="0" xfId="0"/>
    <xf numFmtId="1" fontId="4" fillId="3" borderId="1" applyAlignment="1" pivotButton="0" quotePrefix="0" xfId="0">
      <alignment horizontal="center" vertical="center" wrapText="1"/>
    </xf>
    <xf numFmtId="0" fontId="7" fillId="0" borderId="0" pivotButton="0" quotePrefix="0" xfId="0"/>
    <xf numFmtId="0" fontId="8" fillId="0" borderId="0" pivotButton="0" quotePrefix="0" xfId="0"/>
    <xf numFmtId="0" fontId="5" fillId="0" borderId="0" applyAlignment="1" pivotButton="0" quotePrefix="0" xfId="0">
      <alignment horizontal="center" vertical="center" wrapText="1"/>
    </xf>
    <xf numFmtId="1" fontId="9" fillId="4" borderId="1" applyAlignment="1" pivotButton="0" quotePrefix="0" xfId="0">
      <alignment horizontal="right" vertical="center"/>
    </xf>
    <xf numFmtId="164" fontId="9" fillId="4" borderId="1" applyAlignment="1" pivotButton="0" quotePrefix="0" xfId="0">
      <alignment horizontal="right" vertical="center"/>
    </xf>
    <xf numFmtId="4" fontId="9" fillId="4" borderId="1" applyAlignment="1" pivotButton="0" quotePrefix="0" xfId="0">
      <alignment horizontal="right" vertical="center"/>
    </xf>
    <xf numFmtId="3" fontId="9" fillId="4" borderId="1" applyAlignment="1" pivotButton="0" quotePrefix="0" xfId="0">
      <alignment horizontal="right" vertical="center"/>
    </xf>
    <xf numFmtId="0" fontId="11" fillId="3" borderId="1" applyAlignment="1" pivotButton="0" quotePrefix="0" xfId="0">
      <alignment horizontal="center" vertical="center" wrapText="1"/>
    </xf>
    <xf numFmtId="165" fontId="9" fillId="4" borderId="1" applyAlignment="1" pivotButton="0" quotePrefix="0" xfId="0">
      <alignment horizontal="right" vertical="center"/>
    </xf>
    <xf numFmtId="3" fontId="9" fillId="4" borderId="1" pivotButton="0" quotePrefix="0" xfId="0"/>
    <xf numFmtId="165" fontId="9" fillId="4" borderId="1" pivotButton="0" quotePrefix="0" xfId="0"/>
    <xf numFmtId="0" fontId="9" fillId="4" borderId="1" pivotButton="0" quotePrefix="0" xfId="0"/>
    <xf numFmtId="0" fontId="9" fillId="4" borderId="1" applyAlignment="1" pivotButton="0" quotePrefix="0" xfId="0">
      <alignment horizontal="center" vertical="center" wrapText="1"/>
    </xf>
    <xf numFmtId="4" fontId="9" fillId="4" borderId="1" applyAlignment="1" pivotButton="0" quotePrefix="0" xfId="0">
      <alignment horizontal="center" vertical="center" wrapText="1"/>
    </xf>
    <xf numFmtId="10" fontId="9" fillId="4" borderId="1" applyAlignment="1" pivotButton="0" quotePrefix="0" xfId="0">
      <alignment horizontal="right" vertical="center"/>
    </xf>
    <xf numFmtId="4" fontId="0" fillId="0" borderId="0" pivotButton="0" quotePrefix="0" xfId="0"/>
    <xf numFmtId="164" fontId="0" fillId="0" borderId="0" pivotButton="0" quotePrefix="0" xfId="0"/>
    <xf numFmtId="164" fontId="13" fillId="5" borderId="1" applyAlignment="1" pivotButton="0" quotePrefix="0" xfId="0">
      <alignment horizontal="right" vertical="center"/>
    </xf>
    <xf numFmtId="3" fontId="13" fillId="5" borderId="1" applyAlignment="1" pivotButton="0" quotePrefix="0" xfId="0">
      <alignment horizontal="right" vertical="center"/>
    </xf>
    <xf numFmtId="165" fontId="13" fillId="5" borderId="1" applyAlignment="1" pivotButton="0" quotePrefix="0" xfId="0">
      <alignment horizontal="right" vertical="center"/>
    </xf>
    <xf numFmtId="4" fontId="13" fillId="5" borderId="1" applyAlignment="1" pivotButton="0" quotePrefix="0" xfId="0">
      <alignment horizontal="right" vertical="center"/>
    </xf>
    <xf numFmtId="3" fontId="0" fillId="0" borderId="0" pivotButton="0" quotePrefix="0" xfId="0"/>
    <xf numFmtId="165" fontId="0" fillId="0" borderId="0" pivotButton="0" quotePrefix="0" xfId="0"/>
    <xf numFmtId="10" fontId="0" fillId="0" borderId="0" pivotButton="0" quotePrefix="0" xfId="0"/>
    <xf numFmtId="0" fontId="14" fillId="6" borderId="1" applyAlignment="1" pivotButton="0" quotePrefix="0" xfId="0">
      <alignment horizontal="right" vertical="center"/>
    </xf>
    <xf numFmtId="3" fontId="14" fillId="6" borderId="1" applyAlignment="1" pivotButton="0" quotePrefix="0" xfId="0">
      <alignment horizontal="right" vertical="center"/>
    </xf>
    <xf numFmtId="164" fontId="14" fillId="6" borderId="1" applyAlignment="1" pivotButton="0" quotePrefix="0" xfId="0">
      <alignment horizontal="right" vertical="center"/>
    </xf>
    <xf numFmtId="165" fontId="14" fillId="6" borderId="1" applyAlignment="1" pivotButton="0" quotePrefix="0" xfId="0">
      <alignment horizontal="right" vertical="center"/>
    </xf>
    <xf numFmtId="4" fontId="14" fillId="6" borderId="1" applyAlignment="1" pivotButton="0" quotePrefix="0" xfId="0">
      <alignment horizontal="right" vertical="center"/>
    </xf>
    <xf numFmtId="3" fontId="15" fillId="7" borderId="1" applyAlignment="1" pivotButton="0" quotePrefix="0" xfId="0">
      <alignment horizontal="right" vertical="center"/>
    </xf>
    <xf numFmtId="164" fontId="15" fillId="7" borderId="1" applyAlignment="1" pivotButton="0" quotePrefix="0" xfId="0">
      <alignment horizontal="right" vertical="center"/>
    </xf>
    <xf numFmtId="165" fontId="15" fillId="7" borderId="1" applyAlignment="1" pivotButton="0" quotePrefix="0" xfId="0">
      <alignment horizontal="right" vertical="center"/>
    </xf>
    <xf numFmtId="4" fontId="15" fillId="7" borderId="1" applyAlignment="1" pivotButton="0" quotePrefix="0" xfId="0">
      <alignment horizontal="right" vertical="center"/>
    </xf>
    <xf numFmtId="0" fontId="16" fillId="0" borderId="0" pivotButton="0" quotePrefix="0" xfId="0"/>
    <xf numFmtId="164" fontId="12" fillId="0" borderId="1" applyAlignment="1" pivotButton="0" quotePrefix="0" xfId="0">
      <alignment horizontal="center" vertical="center" wrapText="1"/>
    </xf>
    <xf numFmtId="3" fontId="0" fillId="0" borderId="1" applyAlignment="1" pivotButton="0" quotePrefix="0" xfId="0">
      <alignment horizontal="right" vertical="center"/>
    </xf>
    <xf numFmtId="0" fontId="12" fillId="0" borderId="1" applyAlignment="1" pivotButton="0" quotePrefix="0" xfId="0">
      <alignment horizontal="center" vertical="center" wrapText="1"/>
    </xf>
    <xf numFmtId="3" fontId="0" fillId="7" borderId="1" applyAlignment="1" pivotButton="0" quotePrefix="0" xfId="0">
      <alignment horizontal="right" vertical="center"/>
    </xf>
    <xf numFmtId="164" fontId="0" fillId="7" borderId="1" applyAlignment="1" pivotButton="0" quotePrefix="0" xfId="0">
      <alignment horizontal="right" vertical="center"/>
    </xf>
    <xf numFmtId="165" fontId="0" fillId="7" borderId="1" applyAlignment="1" pivotButton="0" quotePrefix="0" xfId="0">
      <alignment horizontal="right" vertical="center"/>
    </xf>
    <xf numFmtId="4" fontId="0" fillId="7" borderId="1" applyAlignment="1" pivotButton="0" quotePrefix="0" xfId="0">
      <alignment horizontal="right" vertical="center"/>
    </xf>
    <xf numFmtId="0" fontId="0" fillId="7" borderId="1" applyAlignment="1" pivotButton="0" quotePrefix="0" xfId="0">
      <alignment horizontal="right" vertical="center"/>
    </xf>
    <xf numFmtId="0" fontId="12" fillId="0" borderId="1" pivotButton="0" quotePrefix="0" xfId="0"/>
    <xf numFmtId="4" fontId="0" fillId="0" borderId="1" applyAlignment="1" pivotButton="0" quotePrefix="0" xfId="0">
      <alignment horizontal="right" vertical="center"/>
    </xf>
    <xf numFmtId="0" fontId="0" fillId="0" borderId="1" applyAlignment="1" pivotButton="0" quotePrefix="0" xfId="0">
      <alignment horizontal="center" vertical="center" wrapText="1"/>
    </xf>
    <xf numFmtId="164"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harts/chart1.xml><?xml version="1.0" encoding="utf-8"?>
<chartSpace xmlns:a="http://schemas.openxmlformats.org/drawingml/2006/main" xmlns="http://schemas.openxmlformats.org/drawingml/2006/chart">
  <chart>
    <title>
      <tx>
        <rich>
          <a:bodyPr/>
          <a:p>
            <a:pPr>
              <a:defRPr/>
            </a:pPr>
            <a:r>
              <a:t>مقدار فروش محصولات (تن)</a:t>
            </a:r>
          </a:p>
        </rich>
      </tx>
    </title>
    <plotArea>
      <lineChart>
        <grouping val="standard"/>
        <ser>
          <idx val="0"/>
          <order val="0"/>
          <spPr>
            <a:ln>
              <a:prstDash val="solid"/>
            </a:ln>
          </spPr>
          <marker>
            <symbol val="none"/>
            <spPr>
              <a:ln>
                <a:prstDash val="solid"/>
              </a:ln>
            </spPr>
          </marker>
          <cat>
            <numRef>
              <f>'OUT_DASH'!$D$5:$P$5</f>
            </numRef>
          </cat>
          <val>
            <numRef>
              <f>'OUT_DASH'!$D$27:$P$27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درآمد خالص و EBITDA</a:t>
            </a:r>
          </a:p>
        </rich>
      </tx>
    </title>
    <plotArea>
      <barChart>
        <barDir val="col"/>
        <grouping val="clustered"/>
        <ser>
          <idx val="0"/>
          <order val="0"/>
          <spPr>
            <a:ln>
              <a:prstDash val="solid"/>
            </a:ln>
          </spPr>
          <cat>
            <numRef>
              <f>'OUT_DASH'!$D$5:$P$5</f>
            </numRef>
          </cat>
          <val>
            <numRef>
              <f>'OUT_DASH'!$D$30:$P$30</f>
            </numRef>
          </val>
        </ser>
        <ser>
          <idx val="1"/>
          <order val="1"/>
          <spPr>
            <a:ln>
              <a:prstDash val="solid"/>
            </a:ln>
          </spPr>
          <cat>
            <numRef>
              <f>'OUT_DASH'!$D$5:$P$5</f>
            </numRef>
          </cat>
          <val>
            <numRef>
              <f>'OUT_DASH'!$D$31:$P$31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FCFF تجمعی</a:t>
            </a:r>
          </a:p>
        </rich>
      </tx>
    </title>
    <plotArea>
      <lineChart>
        <grouping val="standard"/>
        <ser>
          <idx val="0"/>
          <order val="0"/>
          <spPr>
            <a:ln>
              <a:prstDash val="solid"/>
            </a:ln>
          </spPr>
          <marker>
            <symbol val="none"/>
            <spPr>
              <a:ln>
                <a:prstDash val="solid"/>
              </a:ln>
            </spPr>
          </marker>
          <cat>
            <numRef>
              <f>'OUT_DASH'!$D$5:$P$5</f>
            </numRef>
          </cat>
          <val>
            <numRef>
              <f>'OUT_DASH'!$D$35:$P$35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ساختار هزینه در آخرین سال</a:t>
            </a:r>
          </a:p>
        </rich>
      </tx>
    </title>
    <plotArea>
      <pieChart>
        <varyColors val="1"/>
        <ser>
          <idx val="0"/>
          <order val="0"/>
          <spPr>
            <a:ln>
              <a:prstDash val="solid"/>
            </a:ln>
          </spPr>
          <cat>
            <numRef>
              <f>'OUT_DASH'!$A$41:$A$43</f>
            </numRef>
          </cat>
          <val>
            <numRef>
              <f>'OUT_DASH'!$D$41:$D$43</f>
            </numRef>
          </val>
        </ser>
        <firstSliceAng val="0"/>
      </pieChart>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بارگذاری ایستگاه‌ها در آخرین سال</a:t>
            </a:r>
          </a:p>
        </rich>
      </tx>
    </title>
    <plotArea>
      <barChart>
        <barDir val="bar"/>
        <grouping val="clustered"/>
        <ser>
          <idx val="0"/>
          <order val="0"/>
          <spPr>
            <a:ln>
              <a:prstDash val="solid"/>
            </a:ln>
          </spPr>
          <cat>
            <numRef>
              <f>'OUT_DASH'!$A$44:$A$49</f>
            </numRef>
          </cat>
          <val>
            <numRef>
              <f>'OUT_DASH'!$D$44:$D$49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18</col>
      <colOff>0</colOff>
      <row>2</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18</col>
      <colOff>0</colOff>
      <row>18</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18</col>
      <colOff>0</colOff>
      <row>34</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oneCellAnchor>
    <from>
      <col>32</col>
      <colOff>0</colOff>
      <row>2</row>
      <rowOff>0</rowOff>
    </from>
    <ext cx="4320000" cy="2700000"/>
    <graphicFrame>
      <nvGraphicFramePr>
        <cNvPr id="4" name="Chart 4"/>
        <cNvGraphicFramePr/>
      </nvGraphicFramePr>
      <xfrm/>
      <a:graphic>
        <a:graphicData uri="http://schemas.openxmlformats.org/drawingml/2006/chart">
          <c:chart r:id="rId4"/>
        </a:graphicData>
      </a:graphic>
    </graphicFrame>
    <clientData/>
  </oneCellAnchor>
  <oneCellAnchor>
    <from>
      <col>32</col>
      <colOff>0</colOff>
      <row>18</row>
      <rowOff>0</rowOff>
    </from>
    <ext cx="4320000" cy="270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3864"/>
    <outlinePr summaryBelow="1" summaryRight="1"/>
    <pageSetUpPr/>
  </sheetPr>
  <dimension ref="A1:Q37"/>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40" customWidth="1" min="1" max="1"/>
    <col width="34" customWidth="1" min="2" max="2"/>
    <col width="34" customWidth="1" min="3" max="3"/>
    <col width="34" customWidth="1" min="4" max="4"/>
    <col width="3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نقشهٔ منطقی کارپوشه – مدل مالی و عملیاتی کارخانه بازیافت باتری سرب-اسید</t>
        </is>
      </c>
      <c r="B1" s="2" t="inlineStr">
        <is>
          <t>نقشه و راهنما</t>
        </is>
      </c>
    </row>
    <row r="2">
      <c r="A2" s="3" t="inlineStr">
        <is>
          <t>معماری چندبوم: لایهٔ ورودی ← موتور محاسبات ← لایهٔ خروجی. هیچ عددی در شیت‌های محاسباتی سخت‌کد نشده است.</t>
        </is>
      </c>
    </row>
    <row r="3"/>
    <row r="4">
      <c r="A4" s="4" t="inlineStr">
        <is>
          <t>الف) جریان داده (یک‌طرفه)</t>
        </is>
      </c>
      <c r="B4" s="5" t="n"/>
      <c r="C4" s="5" t="n"/>
      <c r="D4" s="5" t="n"/>
      <c r="E4" s="5" t="n"/>
      <c r="F4" s="5" t="n"/>
      <c r="G4" s="5" t="n"/>
      <c r="H4" s="5" t="n"/>
      <c r="I4" s="5" t="n"/>
      <c r="J4" s="5" t="n"/>
      <c r="K4" s="5" t="n"/>
      <c r="L4" s="5" t="n"/>
      <c r="M4" s="5" t="n"/>
      <c r="N4" s="5" t="n"/>
      <c r="O4" s="5" t="n"/>
      <c r="P4" s="5" t="n"/>
      <c r="Q4" s="5" t="n"/>
    </row>
    <row r="5">
      <c r="A5" s="6" t="inlineStr">
        <is>
          <t>لایهٔ ورودی‌ها</t>
        </is>
      </c>
      <c r="B5" s="7" t="inlineStr">
        <is>
          <t>تنها محل ورود اعداد و مفروضات؛ بدون هیچ فرمول</t>
        </is>
      </c>
    </row>
    <row r="6">
      <c r="A6" s="8" t="inlineStr">
        <is>
          <t>↓</t>
        </is>
      </c>
      <c r="B6" s="7" t="inlineStr">
        <is>
          <t>جریان یک‌طرفه و شفاف</t>
        </is>
      </c>
    </row>
    <row r="7">
      <c r="A7" s="6" t="inlineStr">
        <is>
          <t>موتور محاسبات (Engine)</t>
        </is>
      </c>
      <c r="B7" s="7" t="inlineStr">
        <is>
          <t>تبدیل ورودی‌ها به ظرفیت، هزینه، جریان نقد و ارزش‌گذاری</t>
        </is>
      </c>
    </row>
    <row r="8">
      <c r="A8" s="8" t="inlineStr">
        <is>
          <t>↓</t>
        </is>
      </c>
      <c r="B8" s="7" t="inlineStr">
        <is>
          <t>جریان یک‌طرفه و شفاف</t>
        </is>
      </c>
    </row>
    <row r="9">
      <c r="A9" s="6" t="inlineStr">
        <is>
          <t>لایهٔ خروجی‌ها</t>
        </is>
      </c>
      <c r="B9" s="7" t="inlineStr">
        <is>
          <t>داشبورد مدیریتی (Format A) و گزارش بانکی (Format B)</t>
        </is>
      </c>
    </row>
    <row r="10"/>
    <row r="11">
      <c r="A11" s="4" t="inlineStr">
        <is>
          <t>ب) فهرست شیت‌ها به تفکیک لایه</t>
        </is>
      </c>
      <c r="B11" s="5" t="n"/>
      <c r="C11" s="5" t="n"/>
      <c r="D11" s="5" t="n"/>
      <c r="E11" s="5" t="n"/>
      <c r="F11" s="5" t="n"/>
      <c r="G11" s="5" t="n"/>
      <c r="H11" s="5" t="n"/>
      <c r="I11" s="5" t="n"/>
      <c r="J11" s="5" t="n"/>
      <c r="K11" s="5" t="n"/>
      <c r="L11" s="5" t="n"/>
      <c r="M11" s="5" t="n"/>
      <c r="N11" s="5" t="n"/>
      <c r="O11" s="5" t="n"/>
      <c r="P11" s="5" t="n"/>
      <c r="Q11" s="5" t="n"/>
    </row>
    <row r="12">
      <c r="A12" s="9" t="inlineStr">
        <is>
          <t>لایهٔ ورودی‌ها</t>
        </is>
      </c>
      <c r="B12" s="9" t="inlineStr">
        <is>
          <t>موتور محاسبات (مخفی)</t>
        </is>
      </c>
      <c r="C12" s="9" t="inlineStr">
        <is>
          <t>لایهٔ خروجی‌ها</t>
        </is>
      </c>
      <c r="D12" s="9" t="inlineStr">
        <is>
          <t>کنترل و راهنما</t>
        </is>
      </c>
    </row>
    <row r="13">
      <c r="A13" s="10">
        <f>HYPERLINK("#'IN_MACRO'!A1","IN_MACRO")</f>
        <v/>
      </c>
      <c r="B13" s="10">
        <f>HYPERLINK("#'ENG_SCEN'!A1","ENG_SCEN")</f>
        <v/>
      </c>
      <c r="C13" s="10">
        <f>HYPERLINK("#'OUT_DASH'!A1","OUT_DASH")</f>
        <v/>
      </c>
      <c r="D13" s="10">
        <f>HYPERLINK("#'00_MAP'!A1","00_MAP")</f>
        <v/>
      </c>
    </row>
    <row r="14">
      <c r="A14" s="10">
        <f>HYPERLINK("#'IN_TECH'!A1","IN_TECH")</f>
        <v/>
      </c>
      <c r="B14" s="10">
        <f>HYPERLINK("#'ENG_OPS'!A1","ENG_OPS")</f>
        <v/>
      </c>
      <c r="C14" s="10">
        <f>HYPERLINK("#'OUT_BANK'!A1","OUT_BANK")</f>
        <v/>
      </c>
      <c r="D14" s="10">
        <f>HYPERLINK("#'99_CHECK'!A1","99_CHECK")</f>
        <v/>
      </c>
    </row>
    <row r="15">
      <c r="A15" s="10">
        <f>HYPERLINK("#'IN_SALES'!A1","IN_SALES")</f>
        <v/>
      </c>
      <c r="B15" s="10">
        <f>HYPERLINK("#'ENG_ALLOC'!A1","ENG_ALLOC")</f>
        <v/>
      </c>
      <c r="C15" s="10">
        <f>HYPERLINK("#'OUT_DEBT'!A1","OUT_DEBT")</f>
        <v/>
      </c>
    </row>
    <row r="16">
      <c r="A16" s="10">
        <f>HYPERLINK("#'IN_COST'!A1","IN_COST")</f>
        <v/>
      </c>
      <c r="B16" s="10">
        <f>HYPERLINK("#'ENG_COST'!A1","ENG_COST")</f>
        <v/>
      </c>
      <c r="C16" s="10">
        <f>HYPERLINK("#'OUT_SENS'!A1","OUT_SENS")</f>
        <v/>
      </c>
    </row>
    <row r="17">
      <c r="A17" s="10">
        <f>HYPERLINK("#'IN_WC'!A1","IN_WC")</f>
        <v/>
      </c>
      <c r="B17" s="10">
        <f>HYPERLINK("#'ENG_WC'!A1","ENG_WC")</f>
        <v/>
      </c>
      <c r="C17" s="10">
        <f>HYPERLINK("#'OUT_INVEST'!A1","OUT_INVEST")</f>
        <v/>
      </c>
    </row>
    <row r="18">
      <c r="A18" s="10">
        <f>HYPERLINK("#'IN_FIN'!A1","IN_FIN")</f>
        <v/>
      </c>
      <c r="B18" s="10">
        <f>HYPERLINK("#'ENG_CAPEX'!A1","ENG_CAPEX")</f>
        <v/>
      </c>
    </row>
    <row r="19">
      <c r="A19" s="10">
        <f>HYPERLINK("#'IN_SCEN'!A1","IN_SCEN")</f>
        <v/>
      </c>
      <c r="B19" s="10">
        <f>HYPERLINK("#'ENG_FCF'!A1","ENG_FCF")</f>
        <v/>
      </c>
    </row>
    <row r="20">
      <c r="B20" s="10">
        <f>HYPERLINK("#'ENG_DCF'!A1","ENG_DCF")</f>
        <v/>
      </c>
    </row>
    <row r="21">
      <c r="B21" s="10">
        <f>HYPERLINK("#'ENG_LEV'!A1","ENG_LEV")</f>
        <v/>
      </c>
    </row>
    <row r="22">
      <c r="B22" s="10">
        <f>HYPERLINK("#'ENG_SENS'!A1","ENG_SENS")</f>
        <v/>
      </c>
    </row>
    <row r="23"/>
    <row r="24">
      <c r="A24" s="4" t="inlineStr">
        <is>
          <t>ج) قواعد مدل‌سازی</t>
        </is>
      </c>
      <c r="B24" s="5" t="n"/>
      <c r="C24" s="5" t="n"/>
      <c r="D24" s="5" t="n"/>
      <c r="E24" s="5" t="n"/>
      <c r="F24" s="5" t="n"/>
      <c r="G24" s="5" t="n"/>
      <c r="H24" s="5" t="n"/>
      <c r="I24" s="5" t="n"/>
      <c r="J24" s="5" t="n"/>
      <c r="K24" s="5" t="n"/>
      <c r="L24" s="5" t="n"/>
      <c r="M24" s="5" t="n"/>
      <c r="N24" s="5" t="n"/>
      <c r="O24" s="5" t="n"/>
      <c r="P24" s="5" t="n"/>
      <c r="Q24" s="5" t="n"/>
    </row>
    <row r="25">
      <c r="A25" s="7" t="inlineStr">
        <is>
          <t>۱. شیت‌های ورودی فقط عدد و متن دارند؛ هرگونه محاسبه در موتور انجام می‌شود.</t>
        </is>
      </c>
    </row>
    <row r="26">
      <c r="A26" s="7" t="inlineStr">
        <is>
          <t>۲. هر فرمول در موتور و خروجی به سلول‌های لایهٔ ورودی یا سایر شیت‌های موتور ارجاع می‌دهد.</t>
        </is>
      </c>
    </row>
    <row r="27">
      <c r="A27" s="7" t="inlineStr">
        <is>
          <t>۳. جریان داده یک‌طرفه است: ورودی ← موتور ← خروجی.</t>
        </is>
      </c>
    </row>
    <row r="28">
      <c r="A28" s="7" t="inlineStr">
        <is>
          <t>۴. سناریوها در IN_SCEN تعریف و در ENG_SCEN روی مفروضات کلیدی اعمال می‌شوند.</t>
        </is>
      </c>
    </row>
    <row r="29">
      <c r="A29" s="7" t="inlineStr">
        <is>
          <t>۵. ماتریس‌های حساسیت در ENG_SENS با بازمحاسبهٔ کامل FCF به ازای هر زوجِ انحراف ساخته می‌شوند.</t>
        </is>
      </c>
    </row>
    <row r="30">
      <c r="A30" s="7" t="inlineStr">
        <is>
          <t>۶. شیت‌های موتور به‌صورت پیش‌فرض مخفی‌اند؛ برای بازبینی از تب پایین صفحه نمایان شوند.</t>
        </is>
      </c>
    </row>
    <row r="31">
      <c r="A31" s="7" t="inlineStr">
        <is>
          <t>۷. واحد پول: میلیون ریال. واحد مقادیر: تن. واحد انرژی: کیلووات‌ساعت.</t>
        </is>
      </c>
    </row>
    <row r="32"/>
    <row r="33">
      <c r="A33" s="4" t="inlineStr">
        <is>
          <t>د) نحوهٔ استفاده</t>
        </is>
      </c>
      <c r="B33" s="5" t="n"/>
      <c r="C33" s="5" t="n"/>
      <c r="D33" s="5" t="n"/>
      <c r="E33" s="5" t="n"/>
      <c r="F33" s="5" t="n"/>
      <c r="G33" s="5" t="n"/>
      <c r="H33" s="5" t="n"/>
      <c r="I33" s="5" t="n"/>
      <c r="J33" s="5" t="n"/>
      <c r="K33" s="5" t="n"/>
      <c r="L33" s="5" t="n"/>
      <c r="M33" s="5" t="n"/>
      <c r="N33" s="5" t="n"/>
      <c r="O33" s="5" t="n"/>
      <c r="P33" s="5" t="n"/>
      <c r="Q33" s="5" t="n"/>
    </row>
    <row r="34">
      <c r="A34" s="7" t="inlineStr">
        <is>
          <t>گام ۱: مفروضات را در هفت شیت ورودی (IN_*) وارد کنید.</t>
        </is>
      </c>
    </row>
    <row r="35">
      <c r="A35" s="7" t="inlineStr">
        <is>
          <t>گام ۲: سناریوی فعال را در IN_SCEN انتخاب کنید (۱=پایه، ۲=خوش‌بینانه، ۳=بدبینانه).</t>
        </is>
      </c>
    </row>
    <row r="36">
      <c r="A36" s="7" t="inlineStr">
        <is>
          <t>گام ۳: خروجی‌ها را در OUT_DASH (مدیریتی)، OUT_BANK و OUT_DEBT (بانکی) و OUT_SENS و OUT_INVEST (سرمایه‌گذار) بخوانید.</t>
        </is>
      </c>
    </row>
    <row r="37">
      <c r="A37" s="7" t="inlineStr">
        <is>
          <t>گام ۴: کنترل‌های سلامت مدل را در 99_CHECK بررسی کنید.</t>
        </is>
      </c>
    </row>
  </sheetData>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Q40"/>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۱. فرضیات کلان اقتصادی</t>
        </is>
      </c>
      <c r="B1" s="2" t="inlineStr">
        <is>
          <t>لایه ورودی</t>
        </is>
      </c>
    </row>
    <row r="2">
      <c r="A2" s="3" t="inlineStr">
        <is>
          <t>تمام مفروضات اقتصاد کلان در این شیت وارد می‌شود؛ هیچ فرمولی مجاز نیست. واحد پول مدل: میلیون ریال.</t>
        </is>
      </c>
    </row>
    <row r="3"/>
    <row r="4"/>
    <row r="5"/>
    <row r="6"/>
    <row r="7">
      <c r="A7" s="11" t="inlineStr">
        <is>
          <t>دوره (t)</t>
        </is>
      </c>
      <c r="D7" s="12" t="n">
        <v>0</v>
      </c>
      <c r="E7" s="12" t="n">
        <v>1</v>
      </c>
      <c r="F7" s="12" t="n">
        <v>2</v>
      </c>
      <c r="G7" s="12" t="n">
        <v>3</v>
      </c>
      <c r="H7" s="12" t="n">
        <v>4</v>
      </c>
      <c r="I7" s="12" t="n">
        <v>5</v>
      </c>
      <c r="J7" s="12" t="n">
        <v>6</v>
      </c>
      <c r="K7" s="12" t="n">
        <v>7</v>
      </c>
      <c r="L7" s="12" t="n">
        <v>8</v>
      </c>
      <c r="M7" s="12" t="n">
        <v>9</v>
      </c>
      <c r="N7" s="12" t="n">
        <v>10</v>
      </c>
      <c r="O7" s="12" t="n">
        <v>11</v>
      </c>
      <c r="P7" s="12" t="n">
        <v>12</v>
      </c>
    </row>
    <row r="8">
      <c r="A8" s="13" t="inlineStr">
        <is>
          <t>سال تقویمی</t>
        </is>
      </c>
      <c r="D8" s="14" t="n">
        <v>2026</v>
      </c>
      <c r="E8" s="14" t="n">
        <v>2027</v>
      </c>
      <c r="F8" s="14" t="n">
        <v>2028</v>
      </c>
      <c r="G8" s="14" t="n">
        <v>2029</v>
      </c>
      <c r="H8" s="14" t="n">
        <v>2030</v>
      </c>
      <c r="I8" s="14" t="n">
        <v>2031</v>
      </c>
      <c r="J8" s="14" t="n">
        <v>2032</v>
      </c>
      <c r="K8" s="14" t="n">
        <v>2033</v>
      </c>
      <c r="L8" s="14" t="n">
        <v>2034</v>
      </c>
      <c r="M8" s="14" t="n">
        <v>2035</v>
      </c>
      <c r="N8" s="14" t="n">
        <v>2036</v>
      </c>
      <c r="O8" s="14" t="n">
        <v>2037</v>
      </c>
      <c r="P8" s="14" t="n">
        <v>2038</v>
      </c>
    </row>
    <row r="9">
      <c r="A9" s="4" t="inlineStr">
        <is>
          <t>الف) پارامترهای کنترلی و ثابت مدل</t>
        </is>
      </c>
      <c r="B9" s="5" t="n"/>
      <c r="C9" s="5" t="n"/>
      <c r="D9" s="5" t="n"/>
      <c r="E9" s="5" t="n"/>
      <c r="F9" s="5" t="n"/>
      <c r="G9" s="5" t="n"/>
      <c r="H9" s="5" t="n"/>
      <c r="I9" s="5" t="n"/>
      <c r="J9" s="5" t="n"/>
      <c r="K9" s="5" t="n"/>
      <c r="L9" s="5" t="n"/>
      <c r="M9" s="5" t="n"/>
      <c r="N9" s="5" t="n"/>
      <c r="O9" s="5" t="n"/>
      <c r="P9" s="5" t="n"/>
      <c r="Q9" s="5" t="n"/>
    </row>
    <row r="10">
      <c r="A10" s="15" t="inlineStr">
        <is>
          <t>سال شروع مدل (میلادی)</t>
        </is>
      </c>
      <c r="B10" s="16" t="inlineStr">
        <is>
          <t>MAC.start_year</t>
        </is>
      </c>
      <c r="C10" s="17" t="inlineStr">
        <is>
          <t>سال</t>
        </is>
      </c>
      <c r="D10" s="18" t="n">
        <v>2026</v>
      </c>
    </row>
    <row r="11">
      <c r="A11" s="15" t="inlineStr">
        <is>
          <t>افق مدل (سال بهره‌برداری)</t>
        </is>
      </c>
      <c r="B11" s="16" t="inlineStr">
        <is>
          <t>MAC.horizon</t>
        </is>
      </c>
      <c r="C11" s="17" t="inlineStr">
        <is>
          <t>سال</t>
        </is>
      </c>
      <c r="D11" s="18" t="n">
        <v>12</v>
      </c>
    </row>
    <row r="12">
      <c r="A12" s="15" t="inlineStr">
        <is>
          <t>شاخص سال آغاز بهره‌برداری (t)</t>
        </is>
      </c>
      <c r="B12" s="16" t="inlineStr">
        <is>
          <t>MAC.ops_start</t>
        </is>
      </c>
      <c r="C12" s="17" t="inlineStr">
        <is>
          <t>شاخص</t>
        </is>
      </c>
      <c r="D12" s="18" t="n">
        <v>1</v>
      </c>
    </row>
    <row r="13">
      <c r="A13" s="15" t="inlineStr">
        <is>
          <t>شاخص سال پایان دوره ساخت (t)</t>
        </is>
      </c>
      <c r="B13" s="16" t="inlineStr">
        <is>
          <t>MAC.constr_end</t>
        </is>
      </c>
      <c r="C13" s="17" t="inlineStr">
        <is>
          <t>شاخص</t>
        </is>
      </c>
      <c r="D13" s="18" t="n">
        <v>1</v>
      </c>
    </row>
    <row r="14">
      <c r="A14" s="15" t="inlineStr">
        <is>
          <t>نرخ مالیات بر درآمد</t>
        </is>
      </c>
      <c r="B14" s="16" t="inlineStr">
        <is>
          <t>MAC.tax</t>
        </is>
      </c>
      <c r="C14" s="17" t="inlineStr">
        <is>
          <t>درصد</t>
        </is>
      </c>
      <c r="D14" s="19" t="n">
        <v>0.2</v>
      </c>
    </row>
    <row r="15">
      <c r="A15" s="15" t="inlineStr">
        <is>
          <t>صرف ریسک بازار سهام (ERP)</t>
        </is>
      </c>
      <c r="B15" s="16" t="inlineStr">
        <is>
          <t>MAC.erp</t>
        </is>
      </c>
      <c r="C15" s="17" t="inlineStr">
        <is>
          <t>درصد</t>
        </is>
      </c>
      <c r="D15" s="19" t="n">
        <v>0.06</v>
      </c>
    </row>
    <row r="16">
      <c r="A16" s="15" t="inlineStr">
        <is>
          <t>بتای سهام</t>
        </is>
      </c>
      <c r="B16" s="16" t="inlineStr">
        <is>
          <t>MAC.beta</t>
        </is>
      </c>
      <c r="C16" s="17" t="inlineStr">
        <is>
          <t>ضریب</t>
        </is>
      </c>
      <c r="D16" s="20" t="n">
        <v>1.15</v>
      </c>
    </row>
    <row r="17">
      <c r="A17" s="15" t="inlineStr">
        <is>
          <t>صرف ریسک کشور (CRP)</t>
        </is>
      </c>
      <c r="B17" s="16" t="inlineStr">
        <is>
          <t>MAC.crp</t>
        </is>
      </c>
      <c r="C17" s="17" t="inlineStr">
        <is>
          <t>درصد</t>
        </is>
      </c>
      <c r="D17" s="19" t="n">
        <v>0.04</v>
      </c>
    </row>
    <row r="18">
      <c r="A18" s="15" t="inlineStr">
        <is>
          <t>نرخ رشد دائمی اسمی</t>
        </is>
      </c>
      <c r="B18" s="16" t="inlineStr">
        <is>
          <t>MAC.g_term</t>
        </is>
      </c>
      <c r="C18" s="17" t="inlineStr">
        <is>
          <t>درصد</t>
        </is>
      </c>
      <c r="D18" s="19" t="n">
        <v>0.18</v>
      </c>
    </row>
    <row r="19">
      <c r="A19" s="15" t="inlineStr">
        <is>
          <t>روش ارزش پایانی (1=گوردون/2=ضریب خروج)</t>
        </is>
      </c>
      <c r="B19" s="16" t="inlineStr">
        <is>
          <t>MAC.tv_method</t>
        </is>
      </c>
      <c r="C19" s="17" t="inlineStr">
        <is>
          <t>1/2</t>
        </is>
      </c>
      <c r="D19" s="18" t="n">
        <v>2</v>
      </c>
    </row>
    <row r="20">
      <c r="A20" s="15" t="inlineStr">
        <is>
          <t>ضریب خروج (EV/EBITDA)</t>
        </is>
      </c>
      <c r="B20" s="16" t="inlineStr">
        <is>
          <t>MAC.exit_mult</t>
        </is>
      </c>
      <c r="C20" s="17" t="inlineStr">
        <is>
          <t>ضریب</t>
        </is>
      </c>
      <c r="D20" s="20" t="n">
        <v>6</v>
      </c>
    </row>
    <row r="21"/>
    <row r="22">
      <c r="A22" s="4" t="inlineStr">
        <is>
          <t>ب) مسیرهای سالانهٔ اقتصاد کلان (ورودی عددی)</t>
        </is>
      </c>
      <c r="B22" s="5" t="n"/>
      <c r="C22" s="5" t="n"/>
      <c r="D22" s="5" t="n"/>
      <c r="E22" s="5" t="n"/>
      <c r="F22" s="5" t="n"/>
      <c r="G22" s="5" t="n"/>
      <c r="H22" s="5" t="n"/>
      <c r="I22" s="5" t="n"/>
      <c r="J22" s="5" t="n"/>
      <c r="K22" s="5" t="n"/>
      <c r="L22" s="5" t="n"/>
      <c r="M22" s="5" t="n"/>
      <c r="N22" s="5" t="n"/>
      <c r="O22" s="5" t="n"/>
      <c r="P22" s="5" t="n"/>
      <c r="Q22" s="5" t="n"/>
    </row>
    <row r="23">
      <c r="A23" s="15" t="inlineStr">
        <is>
          <t>شاخص دوره (t)</t>
        </is>
      </c>
      <c r="B23" s="16" t="inlineStr">
        <is>
          <t>MAC.t</t>
        </is>
      </c>
      <c r="C23" s="17" t="inlineStr">
        <is>
          <t>شاخص</t>
        </is>
      </c>
      <c r="D23" s="18" t="n">
        <v>0</v>
      </c>
      <c r="E23" s="18" t="n">
        <v>1</v>
      </c>
      <c r="F23" s="18" t="n">
        <v>2</v>
      </c>
      <c r="G23" s="18" t="n">
        <v>3</v>
      </c>
      <c r="H23" s="18" t="n">
        <v>4</v>
      </c>
      <c r="I23" s="18" t="n">
        <v>5</v>
      </c>
      <c r="J23" s="18" t="n">
        <v>6</v>
      </c>
      <c r="K23" s="18" t="n">
        <v>7</v>
      </c>
      <c r="L23" s="18" t="n">
        <v>8</v>
      </c>
      <c r="M23" s="18" t="n">
        <v>9</v>
      </c>
      <c r="N23" s="18" t="n">
        <v>10</v>
      </c>
      <c r="O23" s="18" t="n">
        <v>11</v>
      </c>
      <c r="P23" s="18" t="n">
        <v>12</v>
      </c>
    </row>
    <row r="24">
      <c r="A24" s="15" t="inlineStr">
        <is>
          <t>سال تقویمی</t>
        </is>
      </c>
      <c r="B24" s="16" t="inlineStr">
        <is>
          <t>MAC.year</t>
        </is>
      </c>
      <c r="C24" s="17" t="inlineStr">
        <is>
          <t>سال</t>
        </is>
      </c>
      <c r="D24" s="18" t="n">
        <v>2026</v>
      </c>
      <c r="E24" s="18" t="n">
        <v>2027</v>
      </c>
      <c r="F24" s="18" t="n">
        <v>2028</v>
      </c>
      <c r="G24" s="18" t="n">
        <v>2029</v>
      </c>
      <c r="H24" s="18" t="n">
        <v>2030</v>
      </c>
      <c r="I24" s="18" t="n">
        <v>2031</v>
      </c>
      <c r="J24" s="18" t="n">
        <v>2032</v>
      </c>
      <c r="K24" s="18" t="n">
        <v>2033</v>
      </c>
      <c r="L24" s="18" t="n">
        <v>2034</v>
      </c>
      <c r="M24" s="18" t="n">
        <v>2035</v>
      </c>
      <c r="N24" s="18" t="n">
        <v>2036</v>
      </c>
      <c r="O24" s="18" t="n">
        <v>2037</v>
      </c>
      <c r="P24" s="18" t="n">
        <v>2038</v>
      </c>
    </row>
    <row r="25">
      <c r="A25" s="15" t="inlineStr">
        <is>
          <t>نرخ تورم عمومی</t>
        </is>
      </c>
      <c r="B25" s="16" t="inlineStr">
        <is>
          <t>MAC.infl</t>
        </is>
      </c>
      <c r="C25" s="17" t="inlineStr">
        <is>
          <t>درصد</t>
        </is>
      </c>
      <c r="D25" s="19" t="n">
        <v>0.25</v>
      </c>
      <c r="E25" s="19" t="n">
        <v>0.25</v>
      </c>
      <c r="F25" s="19" t="n">
        <v>0.23</v>
      </c>
      <c r="G25" s="19" t="n">
        <v>0.22</v>
      </c>
      <c r="H25" s="19" t="n">
        <v>0.2</v>
      </c>
      <c r="I25" s="19" t="n">
        <v>0.2</v>
      </c>
      <c r="J25" s="19" t="n">
        <v>0.18</v>
      </c>
      <c r="K25" s="19" t="n">
        <v>0.18</v>
      </c>
      <c r="L25" s="19" t="n">
        <v>0.16</v>
      </c>
      <c r="M25" s="19" t="n">
        <v>0.16</v>
      </c>
      <c r="N25" s="19" t="n">
        <v>0.15</v>
      </c>
      <c r="O25" s="19" t="n">
        <v>0.15</v>
      </c>
      <c r="P25" s="19" t="n">
        <v>0.15</v>
      </c>
    </row>
    <row r="26">
      <c r="A26" s="15" t="inlineStr">
        <is>
          <t>نرخ رشد دستمزد</t>
        </is>
      </c>
      <c r="B26" s="16" t="inlineStr">
        <is>
          <t>MAC.wage</t>
        </is>
      </c>
      <c r="C26" s="17" t="inlineStr">
        <is>
          <t>درصد</t>
        </is>
      </c>
      <c r="D26" s="19" t="n">
        <v>0.27</v>
      </c>
      <c r="E26" s="19" t="n">
        <v>0.26</v>
      </c>
      <c r="F26" s="19" t="n">
        <v>0.25</v>
      </c>
      <c r="G26" s="19" t="n">
        <v>0.23</v>
      </c>
      <c r="H26" s="19" t="n">
        <v>0.22</v>
      </c>
      <c r="I26" s="19" t="n">
        <v>0.21</v>
      </c>
      <c r="J26" s="19" t="n">
        <v>0.2</v>
      </c>
      <c r="K26" s="19" t="n">
        <v>0.19</v>
      </c>
      <c r="L26" s="19" t="n">
        <v>0.18</v>
      </c>
      <c r="M26" s="19" t="n">
        <v>0.17</v>
      </c>
      <c r="N26" s="19" t="n">
        <v>0.17</v>
      </c>
      <c r="O26" s="19" t="n">
        <v>0.16</v>
      </c>
      <c r="P26" s="19" t="n">
        <v>0.16</v>
      </c>
    </row>
    <row r="27">
      <c r="A27" s="15" t="inlineStr">
        <is>
          <t>نرخ رشد قیمت حامل‌های انرژی</t>
        </is>
      </c>
      <c r="B27" s="16" t="inlineStr">
        <is>
          <t>MAC.energy</t>
        </is>
      </c>
      <c r="C27" s="17" t="inlineStr">
        <is>
          <t>درصد</t>
        </is>
      </c>
      <c r="D27" s="19" t="n">
        <v>0.3</v>
      </c>
      <c r="E27" s="19" t="n">
        <v>0.28</v>
      </c>
      <c r="F27" s="19" t="n">
        <v>0.26</v>
      </c>
      <c r="G27" s="19" t="n">
        <v>0.25</v>
      </c>
      <c r="H27" s="19" t="n">
        <v>0.23</v>
      </c>
      <c r="I27" s="19" t="n">
        <v>0.22</v>
      </c>
      <c r="J27" s="19" t="n">
        <v>0.21</v>
      </c>
      <c r="K27" s="19" t="n">
        <v>0.2</v>
      </c>
      <c r="L27" s="19" t="n">
        <v>0.2</v>
      </c>
      <c r="M27" s="19" t="n">
        <v>0.19</v>
      </c>
      <c r="N27" s="19" t="n">
        <v>0.18</v>
      </c>
      <c r="O27" s="19" t="n">
        <v>0.18</v>
      </c>
      <c r="P27" s="19" t="n">
        <v>0.18</v>
      </c>
    </row>
    <row r="28">
      <c r="A28" s="15" t="inlineStr">
        <is>
          <t>نرخ ارز (ریال به ازای دلار)</t>
        </is>
      </c>
      <c r="B28" s="16" t="inlineStr">
        <is>
          <t>MAC.fx</t>
        </is>
      </c>
      <c r="C28" s="17" t="inlineStr">
        <is>
          <t>ریال/دلار</t>
        </is>
      </c>
      <c r="D28" s="21" t="n">
        <v>500000</v>
      </c>
      <c r="E28" s="21" t="n">
        <v>620000</v>
      </c>
      <c r="F28" s="21" t="n">
        <v>760000</v>
      </c>
      <c r="G28" s="21" t="n">
        <v>930000</v>
      </c>
      <c r="H28" s="21" t="n">
        <v>1120000</v>
      </c>
      <c r="I28" s="21" t="n">
        <v>1340000</v>
      </c>
      <c r="J28" s="21" t="n">
        <v>1590000</v>
      </c>
      <c r="K28" s="21" t="n">
        <v>1870000</v>
      </c>
      <c r="L28" s="21" t="n">
        <v>2180000</v>
      </c>
      <c r="M28" s="21" t="n">
        <v>2510000</v>
      </c>
      <c r="N28" s="21" t="n">
        <v>2860000</v>
      </c>
      <c r="O28" s="21" t="n">
        <v>3230000</v>
      </c>
      <c r="P28" s="21" t="n">
        <v>3610000</v>
      </c>
    </row>
    <row r="29">
      <c r="A29" s="15" t="inlineStr">
        <is>
          <t>قیمت جهانی سرب (LME)</t>
        </is>
      </c>
      <c r="B29" s="16" t="inlineStr">
        <is>
          <t>MAC.lme</t>
        </is>
      </c>
      <c r="C29" s="17" t="inlineStr">
        <is>
          <t>دلار/تن</t>
        </is>
      </c>
      <c r="D29" s="21" t="n">
        <v>2100</v>
      </c>
      <c r="E29" s="21" t="n">
        <v>2150</v>
      </c>
      <c r="F29" s="21" t="n">
        <v>2200</v>
      </c>
      <c r="G29" s="21" t="n">
        <v>2250</v>
      </c>
      <c r="H29" s="21" t="n">
        <v>2250</v>
      </c>
      <c r="I29" s="21" t="n">
        <v>2300</v>
      </c>
      <c r="J29" s="21" t="n">
        <v>2300</v>
      </c>
      <c r="K29" s="21" t="n">
        <v>2350</v>
      </c>
      <c r="L29" s="21" t="n">
        <v>2350</v>
      </c>
      <c r="M29" s="21" t="n">
        <v>2400</v>
      </c>
      <c r="N29" s="21" t="n">
        <v>2400</v>
      </c>
      <c r="O29" s="21" t="n">
        <v>2450</v>
      </c>
      <c r="P29" s="21" t="n">
        <v>2450</v>
      </c>
    </row>
    <row r="30">
      <c r="A30" s="15" t="inlineStr">
        <is>
          <t>نرخ سود بدون ریسک اسمی</t>
        </is>
      </c>
      <c r="B30" s="16" t="inlineStr">
        <is>
          <t>MAC.rf</t>
        </is>
      </c>
      <c r="C30" s="17" t="inlineStr">
        <is>
          <t>درصد</t>
        </is>
      </c>
      <c r="D30" s="19" t="n">
        <v>0.24</v>
      </c>
      <c r="E30" s="19" t="n">
        <v>0.24</v>
      </c>
      <c r="F30" s="19" t="n">
        <v>0.23</v>
      </c>
      <c r="G30" s="19" t="n">
        <v>0.23</v>
      </c>
      <c r="H30" s="19" t="n">
        <v>0.22</v>
      </c>
      <c r="I30" s="19" t="n">
        <v>0.22</v>
      </c>
      <c r="J30" s="19" t="n">
        <v>0.21</v>
      </c>
      <c r="K30" s="19" t="n">
        <v>0.21</v>
      </c>
      <c r="L30" s="19" t="n">
        <v>0.2</v>
      </c>
      <c r="M30" s="19" t="n">
        <v>0.2</v>
      </c>
      <c r="N30" s="19" t="n">
        <v>0.2</v>
      </c>
      <c r="O30" s="19" t="n">
        <v>0.19</v>
      </c>
      <c r="P30" s="19" t="n">
        <v>0.19</v>
      </c>
    </row>
    <row r="31">
      <c r="A31" s="15" t="inlineStr">
        <is>
          <t>رشد GDP بخش هدف</t>
        </is>
      </c>
      <c r="B31" s="16" t="inlineStr">
        <is>
          <t>MAC.gdp</t>
        </is>
      </c>
      <c r="C31" s="17" t="inlineStr">
        <is>
          <t>درصد</t>
        </is>
      </c>
      <c r="D31" s="19" t="n">
        <v>0.03</v>
      </c>
      <c r="E31" s="19" t="n">
        <v>0.03</v>
      </c>
      <c r="F31" s="19" t="n">
        <v>0.035</v>
      </c>
      <c r="G31" s="19" t="n">
        <v>0.035</v>
      </c>
      <c r="H31" s="19" t="n">
        <v>0.04</v>
      </c>
      <c r="I31" s="19" t="n">
        <v>0.04</v>
      </c>
      <c r="J31" s="19" t="n">
        <v>0.04</v>
      </c>
      <c r="K31" s="19" t="n">
        <v>0.035</v>
      </c>
      <c r="L31" s="19" t="n">
        <v>0.035</v>
      </c>
      <c r="M31" s="19" t="n">
        <v>0.03</v>
      </c>
      <c r="N31" s="19" t="n">
        <v>0.03</v>
      </c>
      <c r="O31" s="19" t="n">
        <v>0.03</v>
      </c>
      <c r="P31" s="19" t="n">
        <v>0.03</v>
      </c>
    </row>
    <row r="32">
      <c r="A32" s="15" t="inlineStr">
        <is>
          <t>شاخص قیمت تولیدکننده</t>
        </is>
      </c>
      <c r="B32" s="16" t="inlineStr">
        <is>
          <t>MAC.ppi</t>
        </is>
      </c>
      <c r="C32" s="17" t="inlineStr">
        <is>
          <t>درصد</t>
        </is>
      </c>
      <c r="D32" s="19" t="n">
        <v>0.24</v>
      </c>
      <c r="E32" s="19" t="n">
        <v>0.24</v>
      </c>
      <c r="F32" s="19" t="n">
        <v>0.22</v>
      </c>
      <c r="G32" s="19" t="n">
        <v>0.21</v>
      </c>
      <c r="H32" s="19" t="n">
        <v>0.2</v>
      </c>
      <c r="I32" s="19" t="n">
        <v>0.19</v>
      </c>
      <c r="J32" s="19" t="n">
        <v>0.18</v>
      </c>
      <c r="K32" s="19" t="n">
        <v>0.18</v>
      </c>
      <c r="L32" s="19" t="n">
        <v>0.17</v>
      </c>
      <c r="M32" s="19" t="n">
        <v>0.16</v>
      </c>
      <c r="N32" s="19" t="n">
        <v>0.16</v>
      </c>
      <c r="O32" s="19" t="n">
        <v>0.15</v>
      </c>
      <c r="P32" s="19" t="n">
        <v>0.15</v>
      </c>
    </row>
    <row r="33">
      <c r="A33" s="15" t="inlineStr">
        <is>
          <t>پرچم دوره ساخت (1=بله)</t>
        </is>
      </c>
      <c r="B33" s="16" t="inlineStr">
        <is>
          <t>MAC.constr_flg</t>
        </is>
      </c>
      <c r="C33" s="17" t="inlineStr">
        <is>
          <t>1/0</t>
        </is>
      </c>
      <c r="D33" s="21" t="n">
        <v>1</v>
      </c>
      <c r="E33" s="21" t="n">
        <v>0</v>
      </c>
      <c r="F33" s="21" t="n">
        <v>0</v>
      </c>
      <c r="G33" s="21" t="n">
        <v>0</v>
      </c>
      <c r="H33" s="21" t="n">
        <v>0</v>
      </c>
      <c r="I33" s="21" t="n">
        <v>0</v>
      </c>
      <c r="J33" s="21" t="n">
        <v>0</v>
      </c>
      <c r="K33" s="21" t="n">
        <v>0</v>
      </c>
      <c r="L33" s="21" t="n">
        <v>0</v>
      </c>
      <c r="M33" s="21" t="n">
        <v>0</v>
      </c>
      <c r="N33" s="21" t="n">
        <v>0</v>
      </c>
      <c r="O33" s="21" t="n">
        <v>0</v>
      </c>
      <c r="P33" s="21" t="n">
        <v>0</v>
      </c>
    </row>
    <row r="34">
      <c r="A34" s="15" t="inlineStr">
        <is>
          <t>پرچم دوره بهره‌برداری (1=بله)</t>
        </is>
      </c>
      <c r="B34" s="16" t="inlineStr">
        <is>
          <t>MAC.ops_flg</t>
        </is>
      </c>
      <c r="C34" s="17" t="inlineStr">
        <is>
          <t>1/0</t>
        </is>
      </c>
      <c r="D34" s="21" t="n">
        <v>0</v>
      </c>
      <c r="E34" s="21" t="n">
        <v>1</v>
      </c>
      <c r="F34" s="21" t="n">
        <v>1</v>
      </c>
      <c r="G34" s="21" t="n">
        <v>1</v>
      </c>
      <c r="H34" s="21" t="n">
        <v>1</v>
      </c>
      <c r="I34" s="21" t="n">
        <v>1</v>
      </c>
      <c r="J34" s="21" t="n">
        <v>1</v>
      </c>
      <c r="K34" s="21" t="n">
        <v>1</v>
      </c>
      <c r="L34" s="21" t="n">
        <v>1</v>
      </c>
      <c r="M34" s="21" t="n">
        <v>1</v>
      </c>
      <c r="N34" s="21" t="n">
        <v>1</v>
      </c>
      <c r="O34" s="21" t="n">
        <v>1</v>
      </c>
      <c r="P34" s="21" t="n">
        <v>1</v>
      </c>
    </row>
    <row r="35"/>
    <row r="36">
      <c r="A36" s="4" t="inlineStr">
        <is>
          <t>ج) یادداشت‌های روش‌شناختی</t>
        </is>
      </c>
      <c r="B36" s="5" t="n"/>
      <c r="C36" s="5" t="n"/>
      <c r="D36" s="5" t="n"/>
      <c r="E36" s="5" t="n"/>
      <c r="F36" s="5" t="n"/>
      <c r="G36" s="5" t="n"/>
      <c r="H36" s="5" t="n"/>
      <c r="I36" s="5" t="n"/>
      <c r="J36" s="5" t="n"/>
      <c r="K36" s="5" t="n"/>
      <c r="L36" s="5" t="n"/>
      <c r="M36" s="5" t="n"/>
      <c r="N36" s="5" t="n"/>
      <c r="O36" s="5" t="n"/>
      <c r="P36" s="5" t="n"/>
      <c r="Q36" s="5" t="n"/>
    </row>
    <row r="37">
      <c r="A37" s="7" t="inlineStr">
        <is>
          <t>۱. شاخص‌های قیمتی از سال پایه (t=0) ساخته می‌شوند؛ مقدار شاخص در t=0 برابر یک است.</t>
        </is>
      </c>
    </row>
    <row r="38">
      <c r="A38" s="7" t="inlineStr">
        <is>
          <t>۲. نرخ ارز به‌صورت «ریال به ازای هر دلار» وارد می‌شود و مسیر آن مبنای تعدیل اقلام ارزی است.</t>
        </is>
      </c>
    </row>
    <row r="39">
      <c r="A39" s="7" t="inlineStr">
        <is>
          <t>۳. قیمت جهانی سرب (LME) مبنای قیمت‌گذاری محصولاتِ پیوند‌خورده و نیز قیمت خرید باتری ضایعاتی است.</t>
        </is>
      </c>
    </row>
    <row r="40">
      <c r="A40" s="7" t="inlineStr">
        <is>
          <t>۴. روش ارزش پایانی: ۱=رشد دائمی (گوردون)، ۲=ضریب خروج (EV/EBITDA).</t>
        </is>
      </c>
    </row>
  </sheetData>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Q59"/>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۲. پارامترهای فنی خط تولید (ایستگاه‌های ۱ تا ۶)</t>
        </is>
      </c>
      <c r="B1" s="2" t="inlineStr">
        <is>
          <t>لایه ورودی</t>
        </is>
      </c>
    </row>
    <row r="2">
      <c r="A2" s="3" t="inlineStr">
        <is>
          <t>ظرفیت اسمی و مؤثر، راندمان، ضایعات، زمان‌های توقف و محرک‌های تخصیص هزینه.</t>
        </is>
      </c>
    </row>
    <row r="3"/>
    <row r="4"/>
    <row r="5"/>
    <row r="6"/>
    <row r="7">
      <c r="A7" s="4" t="inlineStr">
        <is>
          <t>الف) پارامترهای سطح کارخانه</t>
        </is>
      </c>
      <c r="B7" s="5" t="n"/>
      <c r="C7" s="5" t="n"/>
      <c r="D7" s="5" t="n"/>
      <c r="E7" s="5" t="n"/>
      <c r="F7" s="5" t="n"/>
      <c r="G7" s="5" t="n"/>
      <c r="H7" s="5" t="n"/>
      <c r="I7" s="5" t="n"/>
      <c r="J7" s="5" t="n"/>
      <c r="K7" s="5" t="n"/>
      <c r="L7" s="5" t="n"/>
      <c r="M7" s="5" t="n"/>
      <c r="N7" s="5" t="n"/>
      <c r="O7" s="5" t="n"/>
      <c r="P7" s="5" t="n"/>
      <c r="Q7" s="5" t="n"/>
    </row>
    <row r="8">
      <c r="A8" s="15" t="inlineStr">
        <is>
          <t>ظرفیت اسمی ورودی باتری</t>
        </is>
      </c>
      <c r="B8" s="16" t="inlineStr">
        <is>
          <t>TECH.cap_in</t>
        </is>
      </c>
      <c r="C8" s="17" t="inlineStr">
        <is>
          <t>تن/سال</t>
        </is>
      </c>
      <c r="D8" s="21" t="n">
        <v>40000</v>
      </c>
    </row>
    <row r="9">
      <c r="A9" s="15" t="inlineStr">
        <is>
          <t>روزهای کاری در سال</t>
        </is>
      </c>
      <c r="B9" s="16" t="inlineStr">
        <is>
          <t>TECH.days</t>
        </is>
      </c>
      <c r="C9" s="17" t="inlineStr">
        <is>
          <t>روز</t>
        </is>
      </c>
      <c r="D9" s="21" t="n">
        <v>330</v>
      </c>
    </row>
    <row r="10">
      <c r="A10" s="15" t="inlineStr">
        <is>
          <t>شیفت در روز</t>
        </is>
      </c>
      <c r="B10" s="16" t="inlineStr">
        <is>
          <t>TECH.shifts</t>
        </is>
      </c>
      <c r="C10" s="17" t="inlineStr">
        <is>
          <t>شیفت</t>
        </is>
      </c>
      <c r="D10" s="21" t="n">
        <v>3</v>
      </c>
    </row>
    <row r="11">
      <c r="A11" s="15" t="inlineStr">
        <is>
          <t>ساعت در شیفت</t>
        </is>
      </c>
      <c r="B11" s="16" t="inlineStr">
        <is>
          <t>TECH.hshift</t>
        </is>
      </c>
      <c r="C11" s="17" t="inlineStr">
        <is>
          <t>ساعت</t>
        </is>
      </c>
      <c r="D11" s="21" t="n">
        <v>8</v>
      </c>
    </row>
    <row r="12">
      <c r="A12" s="15" t="inlineStr">
        <is>
          <t>توقف برنامه‌ریزی‌شده</t>
        </is>
      </c>
      <c r="B12" s="16" t="inlineStr">
        <is>
          <t>TECH.dt_plan</t>
        </is>
      </c>
      <c r="C12" s="17" t="inlineStr">
        <is>
          <t>ساعت/سال</t>
        </is>
      </c>
      <c r="D12" s="21" t="n">
        <v>400</v>
      </c>
    </row>
    <row r="13">
      <c r="A13" s="15" t="inlineStr">
        <is>
          <t>توقف اضطراری</t>
        </is>
      </c>
      <c r="B13" s="16" t="inlineStr">
        <is>
          <t>TECH.dt_unplan</t>
        </is>
      </c>
      <c r="C13" s="17" t="inlineStr">
        <is>
          <t>ساعت/سال</t>
        </is>
      </c>
      <c r="D13" s="21" t="n">
        <v>300</v>
      </c>
    </row>
    <row r="14"/>
    <row r="15">
      <c r="A15" s="4" t="inlineStr">
        <is>
          <t>ب) عوامل بازیابی و تبدیل مواد</t>
        </is>
      </c>
      <c r="B15" s="5" t="n"/>
      <c r="C15" s="5" t="n"/>
      <c r="D15" s="5" t="n"/>
      <c r="E15" s="5" t="n"/>
      <c r="F15" s="5" t="n"/>
      <c r="G15" s="5" t="n"/>
      <c r="H15" s="5" t="n"/>
      <c r="I15" s="5" t="n"/>
      <c r="J15" s="5" t="n"/>
      <c r="K15" s="5" t="n"/>
      <c r="L15" s="5" t="n"/>
      <c r="M15" s="5" t="n"/>
      <c r="N15" s="5" t="n"/>
      <c r="O15" s="5" t="n"/>
      <c r="P15" s="5" t="n"/>
      <c r="Q15" s="5" t="n"/>
    </row>
    <row r="16">
      <c r="A16" s="15" t="inlineStr">
        <is>
          <t>عیار سرب در خمیر</t>
        </is>
      </c>
      <c r="B16" s="16" t="inlineStr">
        <is>
          <t>TECH.pb_paste</t>
        </is>
      </c>
      <c r="C16" s="17" t="inlineStr">
        <is>
          <t>درصد</t>
        </is>
      </c>
      <c r="D16" s="19" t="n">
        <v>0.72</v>
      </c>
    </row>
    <row r="17">
      <c r="A17" s="15" t="inlineStr">
        <is>
          <t>عیار سرب در قطعات فلزی</t>
        </is>
      </c>
      <c r="B17" s="16" t="inlineStr">
        <is>
          <t>TECH.pb_metal</t>
        </is>
      </c>
      <c r="C17" s="17" t="inlineStr">
        <is>
          <t>درصد</t>
        </is>
      </c>
      <c r="D17" s="19" t="n">
        <v>0.95</v>
      </c>
    </row>
    <row r="18">
      <c r="A18" s="15" t="inlineStr">
        <is>
          <t>راندمان سولفات‌زدایی</t>
        </is>
      </c>
      <c r="B18" s="16" t="inlineStr">
        <is>
          <t>TECH.desulf</t>
        </is>
      </c>
      <c r="C18" s="17" t="inlineStr">
        <is>
          <t>درصد</t>
        </is>
      </c>
      <c r="D18" s="19" t="n">
        <v>0.95</v>
      </c>
    </row>
    <row r="19">
      <c r="A19" s="15" t="inlineStr">
        <is>
          <t>راندمان کوره ذوب و احیا</t>
        </is>
      </c>
      <c r="B19" s="16" t="inlineStr">
        <is>
          <t>TECH.smelt</t>
        </is>
      </c>
      <c r="C19" s="17" t="inlineStr">
        <is>
          <t>درصد</t>
        </is>
      </c>
      <c r="D19" s="19" t="n">
        <v>0.97</v>
      </c>
    </row>
    <row r="20">
      <c r="A20" s="15" t="inlineStr">
        <is>
          <t>راندمان تصفیه نهایی</t>
        </is>
      </c>
      <c r="B20" s="16" t="inlineStr">
        <is>
          <t>TECH.refine</t>
        </is>
      </c>
      <c r="C20" s="17" t="inlineStr">
        <is>
          <t>درصد</t>
        </is>
      </c>
      <c r="D20" s="19" t="n">
        <v>0.99</v>
      </c>
    </row>
    <row r="21">
      <c r="A21" s="15" t="inlineStr">
        <is>
          <t>راندمان بازیابی پلی‌پروپیلن</t>
        </is>
      </c>
      <c r="B21" s="16" t="inlineStr">
        <is>
          <t>TECH.pp_rec</t>
        </is>
      </c>
      <c r="C21" s="17" t="inlineStr">
        <is>
          <t>درصد</t>
        </is>
      </c>
      <c r="D21" s="19" t="n">
        <v>0.92</v>
      </c>
    </row>
    <row r="22">
      <c r="A22" s="15" t="inlineStr">
        <is>
          <t>ضریب تولید سولفات سدیم</t>
        </is>
      </c>
      <c r="B22" s="16" t="inlineStr">
        <is>
          <t>TECH.na2so4</t>
        </is>
      </c>
      <c r="C22" s="17" t="inlineStr">
        <is>
          <t>تن/تن</t>
        </is>
      </c>
      <c r="D22" s="19" t="n">
        <v>0.13</v>
      </c>
    </row>
    <row r="23">
      <c r="A23" s="15" t="inlineStr">
        <is>
          <t>سهم سرب خالص از سرب تصفیه‌شده</t>
        </is>
      </c>
      <c r="B23" s="16" t="inlineStr">
        <is>
          <t>TECH.sp_soft</t>
        </is>
      </c>
      <c r="C23" s="17" t="inlineStr">
        <is>
          <t>درصد</t>
        </is>
      </c>
      <c r="D23" s="19" t="n">
        <v>0.6</v>
      </c>
    </row>
    <row r="24">
      <c r="A24" s="15" t="inlineStr">
        <is>
          <t>سهم آلیاژ از سرب تصفیه‌شده</t>
        </is>
      </c>
      <c r="B24" s="16" t="inlineStr">
        <is>
          <t>TECH.sp_alloy</t>
        </is>
      </c>
      <c r="C24" s="17" t="inlineStr">
        <is>
          <t>درصد</t>
        </is>
      </c>
      <c r="D24" s="19" t="n">
        <v>0.4</v>
      </c>
    </row>
    <row r="25"/>
    <row r="26">
      <c r="A26" s="4" t="inlineStr">
        <is>
          <t>ج) ترکیب جرمی باتری ورودی (سهم از هر تن)</t>
        </is>
      </c>
      <c r="B26" s="5" t="n"/>
      <c r="C26" s="5" t="n"/>
      <c r="D26" s="5" t="n"/>
      <c r="E26" s="5" t="n"/>
      <c r="F26" s="5" t="n"/>
      <c r="G26" s="5" t="n"/>
      <c r="H26" s="5" t="n"/>
      <c r="I26" s="5" t="n"/>
      <c r="J26" s="5" t="n"/>
      <c r="K26" s="5" t="n"/>
      <c r="L26" s="5" t="n"/>
      <c r="M26" s="5" t="n"/>
      <c r="N26" s="5" t="n"/>
      <c r="O26" s="5" t="n"/>
      <c r="P26" s="5" t="n"/>
      <c r="Q26" s="5" t="n"/>
    </row>
    <row r="27">
      <c r="A27" s="15" t="inlineStr">
        <is>
          <t>خمیر سرب (Paste)</t>
        </is>
      </c>
      <c r="B27" s="16" t="inlineStr">
        <is>
          <t>TECH.sh_paste</t>
        </is>
      </c>
      <c r="C27" s="17" t="inlineStr">
        <is>
          <t>درصد</t>
        </is>
      </c>
      <c r="D27" s="19" t="n">
        <v>0.38</v>
      </c>
    </row>
    <row r="28">
      <c r="A28" s="15" t="inlineStr">
        <is>
          <t>قطعات فلزی سربی (Grid / Posts)</t>
        </is>
      </c>
      <c r="B28" s="16" t="inlineStr">
        <is>
          <t>TECH.sh_metal</t>
        </is>
      </c>
      <c r="C28" s="17" t="inlineStr">
        <is>
          <t>درصد</t>
        </is>
      </c>
      <c r="D28" s="19" t="n">
        <v>0.26</v>
      </c>
    </row>
    <row r="29">
      <c r="A29" s="15" t="inlineStr">
        <is>
          <t>پلی‌پروپیلن</t>
        </is>
      </c>
      <c r="B29" s="16" t="inlineStr">
        <is>
          <t>TECH.sh_pp</t>
        </is>
      </c>
      <c r="C29" s="17" t="inlineStr">
        <is>
          <t>درصد</t>
        </is>
      </c>
      <c r="D29" s="19" t="n">
        <v>0.09</v>
      </c>
    </row>
    <row r="30">
      <c r="A30" s="15" t="inlineStr">
        <is>
          <t>الکترولیت (اسید سولفوریک)</t>
        </is>
      </c>
      <c r="B30" s="16" t="inlineStr">
        <is>
          <t>TECH.sh_elec</t>
        </is>
      </c>
      <c r="C30" s="17" t="inlineStr">
        <is>
          <t>درصد</t>
        </is>
      </c>
      <c r="D30" s="19" t="n">
        <v>0.12</v>
      </c>
    </row>
    <row r="31">
      <c r="A31" s="15" t="inlineStr">
        <is>
          <t>جداکننده‌ها و سایر پسماند</t>
        </is>
      </c>
      <c r="B31" s="16" t="inlineStr">
        <is>
          <t>TECH.sh_res</t>
        </is>
      </c>
      <c r="C31" s="17" t="inlineStr">
        <is>
          <t>درصد</t>
        </is>
      </c>
      <c r="D31" s="19" t="n">
        <v>0.15</v>
      </c>
    </row>
    <row r="32"/>
    <row r="33">
      <c r="A33" s="4" t="inlineStr">
        <is>
          <t>د) جدول پارامترهای ایستگاه‌ها</t>
        </is>
      </c>
      <c r="B33" s="5" t="n"/>
      <c r="C33" s="5" t="n"/>
      <c r="D33" s="5" t="n"/>
      <c r="E33" s="5" t="n"/>
      <c r="F33" s="5" t="n"/>
      <c r="G33" s="5" t="n"/>
      <c r="H33" s="5" t="n"/>
      <c r="I33" s="5" t="n"/>
      <c r="J33" s="5" t="n"/>
      <c r="K33" s="5" t="n"/>
      <c r="L33" s="5" t="n"/>
      <c r="M33" s="5" t="n"/>
      <c r="N33" s="5" t="n"/>
      <c r="O33" s="5" t="n"/>
      <c r="P33" s="5" t="n"/>
      <c r="Q33" s="5" t="n"/>
    </row>
    <row r="34">
      <c r="A34" s="11" t="inlineStr">
        <is>
          <t>ایستگاه</t>
        </is>
      </c>
      <c r="D34" s="12" t="inlineStr">
        <is>
          <t>S1</t>
        </is>
      </c>
      <c r="E34" s="12" t="inlineStr">
        <is>
          <t>S2</t>
        </is>
      </c>
      <c r="F34" s="12" t="inlineStr">
        <is>
          <t>S3</t>
        </is>
      </c>
      <c r="G34" s="12" t="inlineStr">
        <is>
          <t>S4</t>
        </is>
      </c>
      <c r="H34" s="12" t="inlineStr">
        <is>
          <t>S5</t>
        </is>
      </c>
      <c r="I34" s="12" t="inlineStr">
        <is>
          <t>S6</t>
        </is>
      </c>
    </row>
    <row r="35">
      <c r="D35" s="22" t="inlineStr">
        <is>
          <t>پذیرش، تخلیه و جداسازی الکترولیت</t>
        </is>
      </c>
      <c r="E35" s="22" t="inlineStr">
        <is>
          <t>خردایش و جدایش هیدرودینامیکی</t>
        </is>
      </c>
      <c r="F35" s="22" t="inlineStr">
        <is>
          <t>سولفات‌زدایی خمیر سرب</t>
        </is>
      </c>
      <c r="G35" s="22" t="inlineStr">
        <is>
          <t>کوره ذوب و احیا</t>
        </is>
      </c>
      <c r="H35" s="22" t="inlineStr">
        <is>
          <t>تصفیه و آلیاژسازی</t>
        </is>
      </c>
      <c r="I35" s="22" t="inlineStr">
        <is>
          <t>شمش‌ریزی، بسته‌بندی و انبار</t>
        </is>
      </c>
    </row>
    <row r="36">
      <c r="A36" s="15" t="inlineStr">
        <is>
          <t>ظرفیت اسمی (تن در سال)</t>
        </is>
      </c>
      <c r="B36" s="16" t="inlineStr">
        <is>
          <t>TECH.cap_yr</t>
        </is>
      </c>
      <c r="C36" s="17" t="inlineStr">
        <is>
          <t>تن/سال</t>
        </is>
      </c>
      <c r="D36" s="23" t="n">
        <v>42000</v>
      </c>
      <c r="E36" s="23" t="n">
        <v>42000</v>
      </c>
      <c r="F36" s="23" t="n">
        <v>17000</v>
      </c>
      <c r="G36" s="23" t="n">
        <v>27000</v>
      </c>
      <c r="H36" s="23" t="n">
        <v>21000</v>
      </c>
      <c r="I36" s="23" t="n">
        <v>30000</v>
      </c>
    </row>
    <row r="37">
      <c r="A37" s="15" t="inlineStr">
        <is>
          <t>ظرفیت اسمی (تن در ساعت)</t>
        </is>
      </c>
      <c r="B37" s="16" t="inlineStr">
        <is>
          <t>TECH.cap_hr</t>
        </is>
      </c>
      <c r="C37" s="17" t="inlineStr">
        <is>
          <t>تن/ساعت</t>
        </is>
      </c>
      <c r="D37" s="23" t="n">
        <v>6.5</v>
      </c>
      <c r="E37" s="23" t="n">
        <v>6.5</v>
      </c>
      <c r="F37" s="23" t="n">
        <v>2.6</v>
      </c>
      <c r="G37" s="23" t="n">
        <v>4.2</v>
      </c>
      <c r="H37" s="23" t="n">
        <v>3.3</v>
      </c>
      <c r="I37" s="23" t="n">
        <v>4.7</v>
      </c>
    </row>
    <row r="38">
      <c r="A38" s="15" t="inlineStr">
        <is>
          <t>نرخ دسترسی (Availability)</t>
        </is>
      </c>
      <c r="B38" s="16" t="inlineStr">
        <is>
          <t>TECH.avail</t>
        </is>
      </c>
      <c r="C38" s="17" t="inlineStr">
        <is>
          <t>درصد</t>
        </is>
      </c>
      <c r="D38" s="19" t="n">
        <v>0.92</v>
      </c>
      <c r="E38" s="19" t="n">
        <v>0.9</v>
      </c>
      <c r="F38" s="19" t="n">
        <v>0.93</v>
      </c>
      <c r="G38" s="19" t="n">
        <v>0.91</v>
      </c>
      <c r="H38" s="19" t="n">
        <v>0.9399999999999999</v>
      </c>
      <c r="I38" s="19" t="n">
        <v>0.95</v>
      </c>
    </row>
    <row r="39">
      <c r="A39" s="15" t="inlineStr">
        <is>
          <t>راندمان ایستگاه</t>
        </is>
      </c>
      <c r="B39" s="16" t="inlineStr">
        <is>
          <t>TECH.yield</t>
        </is>
      </c>
      <c r="C39" s="17" t="inlineStr">
        <is>
          <t>درصد</t>
        </is>
      </c>
      <c r="D39" s="19" t="n">
        <v>0.98</v>
      </c>
      <c r="E39" s="19" t="n">
        <v>0.97</v>
      </c>
      <c r="F39" s="19" t="n">
        <v>0.95</v>
      </c>
      <c r="G39" s="19" t="n">
        <v>0.97</v>
      </c>
      <c r="H39" s="19" t="n">
        <v>0.99</v>
      </c>
      <c r="I39" s="19" t="n">
        <v>0.99</v>
      </c>
    </row>
    <row r="40">
      <c r="A40" s="15" t="inlineStr">
        <is>
          <t>نرخ ضایعات / دورریز</t>
        </is>
      </c>
      <c r="B40" s="16" t="inlineStr">
        <is>
          <t>TECH.scrap</t>
        </is>
      </c>
      <c r="C40" s="17" t="inlineStr">
        <is>
          <t>درصد</t>
        </is>
      </c>
      <c r="D40" s="19" t="n">
        <v>0.005</v>
      </c>
      <c r="E40" s="19" t="n">
        <v>0.01</v>
      </c>
      <c r="F40" s="19" t="n">
        <v>0.01</v>
      </c>
      <c r="G40" s="19" t="n">
        <v>0.005</v>
      </c>
      <c r="H40" s="19" t="n">
        <v>0.005</v>
      </c>
      <c r="I40" s="19" t="n">
        <v>0.01</v>
      </c>
    </row>
    <row r="41">
      <c r="A41" s="15" t="inlineStr">
        <is>
          <t>انرژی ویژه الکتریکی</t>
        </is>
      </c>
      <c r="B41" s="16" t="inlineStr">
        <is>
          <t>TECH.kwh</t>
        </is>
      </c>
      <c r="C41" s="17" t="inlineStr">
        <is>
          <t>kWh/تن</t>
        </is>
      </c>
      <c r="D41" s="23" t="n">
        <v>8</v>
      </c>
      <c r="E41" s="23" t="n">
        <v>22</v>
      </c>
      <c r="F41" s="23" t="n">
        <v>18</v>
      </c>
      <c r="G41" s="23" t="n">
        <v>95</v>
      </c>
      <c r="H41" s="23" t="n">
        <v>40</v>
      </c>
      <c r="I41" s="23" t="n">
        <v>12</v>
      </c>
    </row>
    <row r="42">
      <c r="A42" s="15" t="inlineStr">
        <is>
          <t>آب ویژه</t>
        </is>
      </c>
      <c r="B42" s="16" t="inlineStr">
        <is>
          <t>TECH.water</t>
        </is>
      </c>
      <c r="C42" s="17" t="inlineStr">
        <is>
          <t>m3/تن</t>
        </is>
      </c>
      <c r="D42" s="23" t="n">
        <v>0.1</v>
      </c>
      <c r="E42" s="23" t="n">
        <v>0.6</v>
      </c>
      <c r="F42" s="23" t="n">
        <v>1.2</v>
      </c>
      <c r="G42" s="23" t="n">
        <v>0.25</v>
      </c>
      <c r="H42" s="23" t="n">
        <v>0.2</v>
      </c>
      <c r="I42" s="23" t="n">
        <v>0.35</v>
      </c>
    </row>
    <row r="43"/>
    <row r="44">
      <c r="A44" s="4" t="inlineStr">
        <is>
          <t>ه‍) جدول محرک‌های تخصیص هزینه به ایستگاه‌ها</t>
        </is>
      </c>
      <c r="B44" s="5" t="n"/>
      <c r="C44" s="5" t="n"/>
      <c r="D44" s="5" t="n"/>
      <c r="E44" s="5" t="n"/>
      <c r="F44" s="5" t="n"/>
      <c r="G44" s="5" t="n"/>
      <c r="H44" s="5" t="n"/>
      <c r="I44" s="5" t="n"/>
      <c r="J44" s="5" t="n"/>
      <c r="K44" s="5" t="n"/>
      <c r="L44" s="5" t="n"/>
      <c r="M44" s="5" t="n"/>
      <c r="N44" s="5" t="n"/>
      <c r="O44" s="5" t="n"/>
      <c r="P44" s="5" t="n"/>
      <c r="Q44" s="5" t="n"/>
    </row>
    <row r="45">
      <c r="A45" s="11" t="inlineStr">
        <is>
          <t>محرک / ایستگاه</t>
        </is>
      </c>
      <c r="D45" s="12" t="inlineStr">
        <is>
          <t>S1</t>
        </is>
      </c>
      <c r="E45" s="12" t="inlineStr">
        <is>
          <t>S2</t>
        </is>
      </c>
      <c r="F45" s="12" t="inlineStr">
        <is>
          <t>S3</t>
        </is>
      </c>
      <c r="G45" s="12" t="inlineStr">
        <is>
          <t>S4</t>
        </is>
      </c>
      <c r="H45" s="12" t="inlineStr">
        <is>
          <t>S5</t>
        </is>
      </c>
      <c r="I45" s="12" t="inlineStr">
        <is>
          <t>S6</t>
        </is>
      </c>
    </row>
    <row r="46">
      <c r="D46" s="22" t="inlineStr">
        <is>
          <t>پذیرش، تخلیه و جداسازی الکترولیت</t>
        </is>
      </c>
      <c r="E46" s="22" t="inlineStr">
        <is>
          <t>خردایش و جدایش هیدرودینامیکی</t>
        </is>
      </c>
      <c r="F46" s="22" t="inlineStr">
        <is>
          <t>سولفات‌زدایی خمیر سرب</t>
        </is>
      </c>
      <c r="G46" s="22" t="inlineStr">
        <is>
          <t>کوره ذوب و احیا</t>
        </is>
      </c>
      <c r="H46" s="22" t="inlineStr">
        <is>
          <t>تصفیه و آلیاژسازی</t>
        </is>
      </c>
      <c r="I46" s="22" t="inlineStr">
        <is>
          <t>شمش‌ریزی، بسته‌بندی و انبار</t>
        </is>
      </c>
    </row>
    <row r="47">
      <c r="A47" s="15" t="inlineStr">
        <is>
          <t>جریان مواد (تن/سال در ظرفیت طراحی)</t>
        </is>
      </c>
      <c r="B47" s="16" t="inlineStr">
        <is>
          <t>THROUGHPUT</t>
        </is>
      </c>
      <c r="C47" s="17" t="inlineStr">
        <is>
          <t>تن/سال</t>
        </is>
      </c>
      <c r="D47" s="21" t="n">
        <v>40000</v>
      </c>
      <c r="E47" s="21" t="n">
        <v>40000</v>
      </c>
      <c r="F47" s="21" t="n">
        <v>15200</v>
      </c>
      <c r="G47" s="21" t="n">
        <v>24840</v>
      </c>
      <c r="H47" s="21" t="n">
        <v>19700</v>
      </c>
      <c r="I47" s="21" t="n">
        <v>27900</v>
      </c>
    </row>
    <row r="48">
      <c r="A48" s="15" t="inlineStr">
        <is>
          <t>ساعت کار ماشین در سال (طراحی)</t>
        </is>
      </c>
      <c r="B48" s="16" t="inlineStr">
        <is>
          <t>MACHINE_HOURS</t>
        </is>
      </c>
      <c r="C48" s="17" t="inlineStr">
        <is>
          <t>ساعت/سال</t>
        </is>
      </c>
      <c r="D48" s="21" t="n">
        <v>6000</v>
      </c>
      <c r="E48" s="21" t="n">
        <v>7200</v>
      </c>
      <c r="F48" s="21" t="n">
        <v>6600</v>
      </c>
      <c r="G48" s="21" t="n">
        <v>7920</v>
      </c>
      <c r="H48" s="21" t="n">
        <v>6600</v>
      </c>
      <c r="I48" s="21" t="n">
        <v>7200</v>
      </c>
    </row>
    <row r="49">
      <c r="A49" s="15" t="inlineStr">
        <is>
          <t>تعداد نیروی انسانی مستقر</t>
        </is>
      </c>
      <c r="B49" s="16" t="inlineStr">
        <is>
          <t>HEADCOUNT</t>
        </is>
      </c>
      <c r="C49" s="17" t="inlineStr">
        <is>
          <t>نفر</t>
        </is>
      </c>
      <c r="D49" s="21" t="n">
        <v>12</v>
      </c>
      <c r="E49" s="21" t="n">
        <v>18</v>
      </c>
      <c r="F49" s="21" t="n">
        <v>14</v>
      </c>
      <c r="G49" s="21" t="n">
        <v>24</v>
      </c>
      <c r="H49" s="21" t="n">
        <v>16</v>
      </c>
      <c r="I49" s="21" t="n">
        <v>22</v>
      </c>
    </row>
    <row r="50">
      <c r="A50" s="15" t="inlineStr">
        <is>
          <t>توان نصب‌شده</t>
        </is>
      </c>
      <c r="B50" s="16" t="inlineStr">
        <is>
          <t>POWER</t>
        </is>
      </c>
      <c r="C50" s="17" t="inlineStr">
        <is>
          <t>کیلووات</t>
        </is>
      </c>
      <c r="D50" s="21" t="n">
        <v>350</v>
      </c>
      <c r="E50" s="21" t="n">
        <v>900</v>
      </c>
      <c r="F50" s="21" t="n">
        <v>650</v>
      </c>
      <c r="G50" s="21" t="n">
        <v>1800</v>
      </c>
      <c r="H50" s="21" t="n">
        <v>900</v>
      </c>
      <c r="I50" s="21" t="n">
        <v>700</v>
      </c>
    </row>
    <row r="51">
      <c r="A51" s="15" t="inlineStr">
        <is>
          <t>مساحت اشغالی</t>
        </is>
      </c>
      <c r="B51" s="16" t="inlineStr">
        <is>
          <t>AREA</t>
        </is>
      </c>
      <c r="C51" s="17" t="inlineStr">
        <is>
          <t>m2</t>
        </is>
      </c>
      <c r="D51" s="21" t="n">
        <v>1800</v>
      </c>
      <c r="E51" s="21" t="n">
        <v>1400</v>
      </c>
      <c r="F51" s="21" t="n">
        <v>1200</v>
      </c>
      <c r="G51" s="21" t="n">
        <v>2200</v>
      </c>
      <c r="H51" s="21" t="n">
        <v>1300</v>
      </c>
      <c r="I51" s="21" t="n">
        <v>2600</v>
      </c>
    </row>
    <row r="52">
      <c r="A52" s="15" t="inlineStr">
        <is>
          <t>مصرف آب در سال (طراحی)</t>
        </is>
      </c>
      <c r="B52" s="16" t="inlineStr">
        <is>
          <t>WATER</t>
        </is>
      </c>
      <c r="C52" s="17" t="inlineStr">
        <is>
          <t>m3/سال</t>
        </is>
      </c>
      <c r="D52" s="21" t="n">
        <v>3000</v>
      </c>
      <c r="E52" s="21" t="n">
        <v>24000</v>
      </c>
      <c r="F52" s="21" t="n">
        <v>18000</v>
      </c>
      <c r="G52" s="21" t="n">
        <v>6000</v>
      </c>
      <c r="H52" s="21" t="n">
        <v>4000</v>
      </c>
      <c r="I52" s="21" t="n">
        <v>9000</v>
      </c>
    </row>
    <row r="53"/>
    <row r="54">
      <c r="A54" s="7" t="inlineStr">
        <is>
          <t>توضیح: این جدول مبنای توزیع هزینه‌ها بین ایستگاه‌های ۱ تا ۶ است.</t>
        </is>
      </c>
    </row>
    <row r="55"/>
    <row r="56">
      <c r="A56" s="4" t="inlineStr">
        <is>
          <t>و) منحنی بهره‌برداری از ظرفیت (سهم از ظرفیت اسمی)</t>
        </is>
      </c>
      <c r="B56" s="5" t="n"/>
      <c r="C56" s="5" t="n"/>
      <c r="D56" s="5" t="n"/>
      <c r="E56" s="5" t="n"/>
      <c r="F56" s="5" t="n"/>
      <c r="G56" s="5" t="n"/>
      <c r="H56" s="5" t="n"/>
      <c r="I56" s="5" t="n"/>
      <c r="J56" s="5" t="n"/>
      <c r="K56" s="5" t="n"/>
      <c r="L56" s="5" t="n"/>
      <c r="M56" s="5" t="n"/>
      <c r="N56" s="5" t="n"/>
      <c r="O56" s="5" t="n"/>
      <c r="P56" s="5" t="n"/>
      <c r="Q56" s="5" t="n"/>
    </row>
    <row r="57">
      <c r="A57" s="11" t="inlineStr">
        <is>
          <t>دوره (t)</t>
        </is>
      </c>
      <c r="D57" s="12" t="n">
        <v>0</v>
      </c>
      <c r="E57" s="12" t="n">
        <v>1</v>
      </c>
      <c r="F57" s="12" t="n">
        <v>2</v>
      </c>
      <c r="G57" s="12" t="n">
        <v>3</v>
      </c>
      <c r="H57" s="12" t="n">
        <v>4</v>
      </c>
      <c r="I57" s="12" t="n">
        <v>5</v>
      </c>
      <c r="J57" s="12" t="n">
        <v>6</v>
      </c>
      <c r="K57" s="12" t="n">
        <v>7</v>
      </c>
      <c r="L57" s="12" t="n">
        <v>8</v>
      </c>
      <c r="M57" s="12" t="n">
        <v>9</v>
      </c>
      <c r="N57" s="12" t="n">
        <v>10</v>
      </c>
      <c r="O57" s="12" t="n">
        <v>11</v>
      </c>
      <c r="P57" s="12" t="n">
        <v>12</v>
      </c>
    </row>
    <row r="58">
      <c r="A58" s="13" t="inlineStr">
        <is>
          <t>سال تقویمی</t>
        </is>
      </c>
      <c r="D58" s="14" t="n">
        <v>2026</v>
      </c>
      <c r="E58" s="14" t="n">
        <v>2027</v>
      </c>
      <c r="F58" s="14" t="n">
        <v>2028</v>
      </c>
      <c r="G58" s="14" t="n">
        <v>2029</v>
      </c>
      <c r="H58" s="14" t="n">
        <v>2030</v>
      </c>
      <c r="I58" s="14" t="n">
        <v>2031</v>
      </c>
      <c r="J58" s="14" t="n">
        <v>2032</v>
      </c>
      <c r="K58" s="14" t="n">
        <v>2033</v>
      </c>
      <c r="L58" s="14" t="n">
        <v>2034</v>
      </c>
      <c r="M58" s="14" t="n">
        <v>2035</v>
      </c>
      <c r="N58" s="14" t="n">
        <v>2036</v>
      </c>
      <c r="O58" s="14" t="n">
        <v>2037</v>
      </c>
      <c r="P58" s="14" t="n">
        <v>2038</v>
      </c>
    </row>
    <row r="59">
      <c r="A59" s="15" t="inlineStr">
        <is>
          <t>ضریب دستیابی به ظرفیت اسمی</t>
        </is>
      </c>
      <c r="B59" s="16" t="inlineStr">
        <is>
          <t>TECH.ramp</t>
        </is>
      </c>
      <c r="C59" s="17" t="inlineStr">
        <is>
          <t>درصد</t>
        </is>
      </c>
      <c r="D59" s="19" t="n">
        <v>0</v>
      </c>
      <c r="E59" s="19" t="n">
        <v>0.6</v>
      </c>
      <c r="F59" s="19" t="n">
        <v>0.8</v>
      </c>
      <c r="G59" s="19" t="n">
        <v>0.9</v>
      </c>
      <c r="H59" s="19" t="n">
        <v>1</v>
      </c>
      <c r="I59" s="19" t="n">
        <v>1</v>
      </c>
      <c r="J59" s="19" t="n">
        <v>1</v>
      </c>
      <c r="K59" s="19" t="n">
        <v>1</v>
      </c>
      <c r="L59" s="19" t="n">
        <v>1</v>
      </c>
      <c r="M59" s="19" t="n">
        <v>1</v>
      </c>
      <c r="N59" s="19" t="n">
        <v>1</v>
      </c>
      <c r="O59" s="19" t="n">
        <v>1</v>
      </c>
      <c r="P59" s="19" t="n">
        <v>1</v>
      </c>
    </row>
  </sheetData>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Q24"/>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۳. مفروضات قیمت‌گذاری و فروش</t>
        </is>
      </c>
      <c r="B1" s="2" t="inlineStr">
        <is>
          <t>لایه ورودی</t>
        </is>
      </c>
    </row>
    <row r="2">
      <c r="A2" s="3" t="inlineStr">
        <is>
          <t>قیمت پایه، پیوند به قیمت جهانی، ترکیب سبد محصولات و سیاست‌های تخفیف و اعتبار.</t>
        </is>
      </c>
    </row>
    <row r="3"/>
    <row r="4"/>
    <row r="5"/>
    <row r="6"/>
    <row r="7">
      <c r="A7" s="4" t="inlineStr">
        <is>
          <t>الف) ویژگی‌های سبد محصولات</t>
        </is>
      </c>
      <c r="B7" s="5" t="n"/>
      <c r="C7" s="5" t="n"/>
      <c r="D7" s="5" t="n"/>
      <c r="E7" s="5" t="n"/>
      <c r="F7" s="5" t="n"/>
      <c r="G7" s="5" t="n"/>
      <c r="H7" s="5" t="n"/>
      <c r="I7" s="5" t="n"/>
      <c r="J7" s="5" t="n"/>
      <c r="K7" s="5" t="n"/>
      <c r="L7" s="5" t="n"/>
      <c r="M7" s="5" t="n"/>
      <c r="N7" s="5" t="n"/>
      <c r="O7" s="5" t="n"/>
      <c r="P7" s="5" t="n"/>
      <c r="Q7" s="5" t="n"/>
    </row>
    <row r="8">
      <c r="A8" s="11" t="inlineStr">
        <is>
          <t>محصول</t>
        </is>
      </c>
      <c r="D8" s="12" t="inlineStr">
        <is>
          <t>P1</t>
        </is>
      </c>
      <c r="E8" s="12" t="inlineStr">
        <is>
          <t>P2</t>
        </is>
      </c>
      <c r="F8" s="12" t="inlineStr">
        <is>
          <t>P3</t>
        </is>
      </c>
      <c r="G8" s="12" t="inlineStr">
        <is>
          <t>P4</t>
        </is>
      </c>
    </row>
    <row r="9">
      <c r="D9" s="22" t="inlineStr">
        <is>
          <t>شمش سرب خالص (Pb 99.97)</t>
        </is>
      </c>
      <c r="E9" s="22" t="inlineStr">
        <is>
          <t>شمش آلیاژ سرب (Pb-Sb / Pb-Ca)</t>
        </is>
      </c>
      <c r="F9" s="22" t="inlineStr">
        <is>
          <t>گرانول پلی‌پروپیلن بازیافتی</t>
        </is>
      </c>
      <c r="G9" s="22" t="inlineStr">
        <is>
          <t>سولفات سدیم (محصول جانبی)</t>
        </is>
      </c>
    </row>
    <row r="10">
      <c r="A10" s="15" t="inlineStr">
        <is>
          <t>قیمت پایه (سال پایه)</t>
        </is>
      </c>
      <c r="B10" s="16" t="inlineStr">
        <is>
          <t>SAL.price</t>
        </is>
      </c>
      <c r="C10" s="17" t="inlineStr">
        <is>
          <t>میلیون ریال/تن</t>
        </is>
      </c>
      <c r="D10" s="23" t="n">
        <v>1050</v>
      </c>
      <c r="E10" s="23" t="n">
        <v>1082</v>
      </c>
      <c r="F10" s="23" t="n">
        <v>325</v>
      </c>
      <c r="G10" s="23" t="n">
        <v>60</v>
      </c>
    </row>
    <row r="11">
      <c r="A11" s="15" t="inlineStr">
        <is>
          <t>پیوند قیمت به LME (1=بله/0=خیر)</t>
        </is>
      </c>
      <c r="B11" s="16" t="inlineStr">
        <is>
          <t>SAL.lme</t>
        </is>
      </c>
      <c r="C11" s="17" t="inlineStr">
        <is>
          <t>1/0</t>
        </is>
      </c>
      <c r="D11" s="23" t="n">
        <v>1</v>
      </c>
      <c r="E11" s="23" t="n">
        <v>1</v>
      </c>
      <c r="F11" s="23" t="n">
        <v>0</v>
      </c>
      <c r="G11" s="23" t="n">
        <v>0</v>
      </c>
    </row>
    <row r="12">
      <c r="A12" s="15" t="inlineStr">
        <is>
          <t>ضریب تعدیل نسبت به LME</t>
        </is>
      </c>
      <c r="B12" s="16" t="inlineStr">
        <is>
          <t>SAL.lmef</t>
        </is>
      </c>
      <c r="C12" s="17" t="inlineStr">
        <is>
          <t>ضریب</t>
        </is>
      </c>
      <c r="D12" s="20" t="n">
        <v>1</v>
      </c>
      <c r="E12" s="20" t="n">
        <v>1.03</v>
      </c>
      <c r="F12" s="20" t="n">
        <v>1</v>
      </c>
      <c r="G12" s="20" t="n">
        <v>1</v>
      </c>
    </row>
    <row r="13">
      <c r="A13" s="15" t="inlineStr">
        <is>
          <t>نرخ رشد سالانه قیمت داخلی</t>
        </is>
      </c>
      <c r="B13" s="16" t="inlineStr">
        <is>
          <t>SAL.esc</t>
        </is>
      </c>
      <c r="C13" s="17" t="inlineStr">
        <is>
          <t>درصد</t>
        </is>
      </c>
      <c r="D13" s="19" t="n">
        <v>0.2</v>
      </c>
      <c r="E13" s="19" t="n">
        <v>0.2</v>
      </c>
      <c r="F13" s="19" t="n">
        <v>0.22</v>
      </c>
      <c r="G13" s="19" t="n">
        <v>0.2</v>
      </c>
    </row>
    <row r="14">
      <c r="A14" s="15" t="inlineStr">
        <is>
          <t>سهم ارزی (صادراتی/شاخص ارز)</t>
        </is>
      </c>
      <c r="B14" s="16" t="inlineStr">
        <is>
          <t>SAL.fxsh</t>
        </is>
      </c>
      <c r="C14" s="17" t="inlineStr">
        <is>
          <t>درصد</t>
        </is>
      </c>
      <c r="D14" s="19" t="n">
        <v>0.35</v>
      </c>
      <c r="E14" s="19" t="n">
        <v>0.35</v>
      </c>
      <c r="F14" s="19" t="n">
        <v>0.1</v>
      </c>
      <c r="G14" s="19" t="n">
        <v>0.5</v>
      </c>
    </row>
    <row r="15">
      <c r="A15" s="15" t="inlineStr">
        <is>
          <t>نرخ تخفیف و برگشت از فروش</t>
        </is>
      </c>
      <c r="B15" s="16" t="inlineStr">
        <is>
          <t>SAL.disc</t>
        </is>
      </c>
      <c r="C15" s="17" t="inlineStr">
        <is>
          <t>درصد</t>
        </is>
      </c>
      <c r="D15" s="19" t="n">
        <v>0.015</v>
      </c>
      <c r="E15" s="19" t="n">
        <v>0.015</v>
      </c>
      <c r="F15" s="19" t="n">
        <v>0.03</v>
      </c>
      <c r="G15" s="19" t="n">
        <v>0.05</v>
      </c>
    </row>
    <row r="16">
      <c r="A16" s="15" t="inlineStr">
        <is>
          <t>ضریب تحقق فروش (فروش/تولید)</t>
        </is>
      </c>
      <c r="B16" s="16" t="inlineStr">
        <is>
          <t>SAL.real</t>
        </is>
      </c>
      <c r="C16" s="17" t="inlineStr">
        <is>
          <t>ضریب</t>
        </is>
      </c>
      <c r="D16" s="20" t="n">
        <v>1</v>
      </c>
      <c r="E16" s="20" t="n">
        <v>1</v>
      </c>
      <c r="F16" s="20" t="n">
        <v>0.98</v>
      </c>
      <c r="G16" s="20" t="n">
        <v>0.95</v>
      </c>
    </row>
    <row r="17"/>
    <row r="18">
      <c r="A18" s="4" t="inlineStr">
        <is>
          <t>ب) سیاست‌های اعتباری و فروش</t>
        </is>
      </c>
      <c r="B18" s="5" t="n"/>
      <c r="C18" s="5" t="n"/>
      <c r="D18" s="5" t="n"/>
      <c r="E18" s="5" t="n"/>
      <c r="F18" s="5" t="n"/>
      <c r="G18" s="5" t="n"/>
      <c r="H18" s="5" t="n"/>
      <c r="I18" s="5" t="n"/>
      <c r="J18" s="5" t="n"/>
      <c r="K18" s="5" t="n"/>
      <c r="L18" s="5" t="n"/>
      <c r="M18" s="5" t="n"/>
      <c r="N18" s="5" t="n"/>
      <c r="O18" s="5" t="n"/>
      <c r="P18" s="5" t="n"/>
      <c r="Q18" s="5" t="n"/>
    </row>
    <row r="19">
      <c r="A19" s="15" t="inlineStr">
        <is>
          <t>نرخ برگشت از فروش و ادعاهای کیفی</t>
        </is>
      </c>
      <c r="B19" s="16" t="inlineStr">
        <is>
          <t>SAL.disc_late</t>
        </is>
      </c>
      <c r="C19" s="17" t="inlineStr">
        <is>
          <t>درصد</t>
        </is>
      </c>
      <c r="D19" s="19" t="n">
        <v>0.01</v>
      </c>
    </row>
    <row r="20">
      <c r="A20" s="15" t="inlineStr">
        <is>
          <t>دوره بازنگری قیمت‌ها (ماه)</t>
        </is>
      </c>
      <c r="B20" s="16" t="inlineStr">
        <is>
          <t>SAL.price_rev</t>
        </is>
      </c>
      <c r="C20" s="17" t="inlineStr">
        <is>
          <t>ماه</t>
        </is>
      </c>
      <c r="D20" s="21" t="n">
        <v>3</v>
      </c>
    </row>
    <row r="21">
      <c r="A21" s="15" t="inlineStr">
        <is>
          <t>سهم فروش قراردادی بلندمدت</t>
        </is>
      </c>
      <c r="B21" s="16" t="inlineStr">
        <is>
          <t>SAL.contract</t>
        </is>
      </c>
      <c r="C21" s="17" t="inlineStr">
        <is>
          <t>درصد</t>
        </is>
      </c>
      <c r="D21" s="19" t="n">
        <v>0.4</v>
      </c>
    </row>
    <row r="22">
      <c r="A22" s="15" t="inlineStr">
        <is>
          <t>سهم فروش نقدی/فوری</t>
        </is>
      </c>
      <c r="B22" s="16" t="inlineStr">
        <is>
          <t>SAL.spot</t>
        </is>
      </c>
      <c r="C22" s="17" t="inlineStr">
        <is>
          <t>درصد</t>
        </is>
      </c>
      <c r="D22" s="19" t="n">
        <v>0.6</v>
      </c>
    </row>
    <row r="23"/>
    <row r="24">
      <c r="A24" s="7" t="inlineStr">
        <is>
          <t>توضیح: «سهم ارزی» نشان می‌دهد چه بخشی از درآمدِ هر محصول با نرخ ارز تعدیل می‌شود (مبنای تحلیل حساسیت ارزی).</t>
        </is>
      </c>
    </row>
  </sheetData>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Q65"/>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۴. پارامترهای هزینه‌ای (FPC / OPC / DPC)</t>
        </is>
      </c>
      <c r="B1" s="2" t="inlineStr">
        <is>
          <t>لایه ورودی</t>
        </is>
      </c>
    </row>
    <row r="2">
      <c r="A2" s="3" t="inlineStr">
        <is>
          <t>نرخ‌های واحد، پرسنل، مراکز هزینهٔ خدماتی و ماتریس اقلام هزینه با مبنای محاسبه و تخصیص.</t>
        </is>
      </c>
    </row>
    <row r="3"/>
    <row r="4"/>
    <row r="5"/>
    <row r="6"/>
    <row r="7">
      <c r="A7" s="4" t="inlineStr">
        <is>
          <t>الف) نرخ‌ها و پارامترهای پایه</t>
        </is>
      </c>
      <c r="B7" s="5" t="n"/>
      <c r="C7" s="5" t="n"/>
      <c r="D7" s="5" t="n"/>
      <c r="E7" s="5" t="n"/>
      <c r="F7" s="5" t="n"/>
      <c r="G7" s="5" t="n"/>
      <c r="H7" s="5" t="n"/>
      <c r="I7" s="5" t="n"/>
      <c r="J7" s="5" t="n"/>
      <c r="K7" s="5" t="n"/>
      <c r="L7" s="5" t="n"/>
      <c r="M7" s="5" t="n"/>
      <c r="N7" s="5" t="n"/>
      <c r="O7" s="5" t="n"/>
      <c r="P7" s="5" t="n"/>
      <c r="Q7" s="5" t="n"/>
    </row>
    <row r="8">
      <c r="A8" s="15" t="inlineStr">
        <is>
          <t>سهم ارزی هزینه‌های متغیر</t>
        </is>
      </c>
      <c r="B8" s="16" t="inlineStr">
        <is>
          <t>CST.fx_var</t>
        </is>
      </c>
      <c r="C8" s="17" t="inlineStr">
        <is>
          <t>درصد</t>
        </is>
      </c>
      <c r="D8" s="19" t="n">
        <v>0.2</v>
      </c>
    </row>
    <row r="9">
      <c r="A9" s="15" t="inlineStr">
        <is>
          <t>سهم ارزی هزینه‌های ثابت</t>
        </is>
      </c>
      <c r="B9" s="16" t="inlineStr">
        <is>
          <t>CST.fx_fix</t>
        </is>
      </c>
      <c r="C9" s="17" t="inlineStr">
        <is>
          <t>درصد</t>
        </is>
      </c>
      <c r="D9" s="19" t="n">
        <v>0.05</v>
      </c>
    </row>
    <row r="10">
      <c r="A10" s="15" t="inlineStr">
        <is>
          <t>ماه‌های پرداخت حقوق در سال</t>
        </is>
      </c>
      <c r="B10" s="16" t="inlineStr">
        <is>
          <t>CST.months</t>
        </is>
      </c>
      <c r="C10" s="17" t="inlineStr">
        <is>
          <t>ماه</t>
        </is>
      </c>
      <c r="D10" s="21" t="n">
        <v>12</v>
      </c>
    </row>
    <row r="11">
      <c r="A11" s="15" t="inlineStr">
        <is>
          <t>ضریب مزایا، عیدی و سنوات</t>
        </is>
      </c>
      <c r="B11" s="16" t="inlineStr">
        <is>
          <t>CST.bonus</t>
        </is>
      </c>
      <c r="C11" s="17" t="inlineStr">
        <is>
          <t>ضریب</t>
        </is>
      </c>
      <c r="D11" s="20" t="n">
        <v>1.08</v>
      </c>
    </row>
    <row r="12"/>
    <row r="13">
      <c r="A13" s="4" t="inlineStr">
        <is>
          <t>ب) پرسنل (تعداد و حقوق ماهانهٔ پایه)</t>
        </is>
      </c>
      <c r="B13" s="5" t="n"/>
      <c r="C13" s="5" t="n"/>
      <c r="D13" s="5" t="n"/>
      <c r="E13" s="5" t="n"/>
      <c r="F13" s="5" t="n"/>
      <c r="G13" s="5" t="n"/>
      <c r="H13" s="5" t="n"/>
      <c r="I13" s="5" t="n"/>
      <c r="J13" s="5" t="n"/>
      <c r="K13" s="5" t="n"/>
      <c r="L13" s="5" t="n"/>
      <c r="M13" s="5" t="n"/>
      <c r="N13" s="5" t="n"/>
      <c r="O13" s="5" t="n"/>
      <c r="P13" s="5" t="n"/>
      <c r="Q13" s="5" t="n"/>
    </row>
    <row r="14">
      <c r="D14" s="12" t="inlineStr">
        <is>
          <t>کد طبقه</t>
        </is>
      </c>
      <c r="E14" s="12" t="inlineStr">
        <is>
          <t>تعداد نفر</t>
        </is>
      </c>
      <c r="F14" s="12" t="inlineStr">
        <is>
          <t>حقوق ماهانه</t>
        </is>
      </c>
      <c r="G14" s="12" t="inlineStr">
        <is>
          <t>واحد</t>
        </is>
      </c>
    </row>
    <row r="15">
      <c r="A15" s="8" t="inlineStr">
        <is>
          <t>تولید مستقیم</t>
        </is>
      </c>
      <c r="B15" s="16" t="inlineStr">
        <is>
          <t>PAY1</t>
        </is>
      </c>
      <c r="D15" s="24" t="n">
        <v>96</v>
      </c>
      <c r="E15" s="25" t="n">
        <v>250</v>
      </c>
      <c r="F15" s="17" t="inlineStr">
        <is>
          <t>نفر / میلیون ریال</t>
        </is>
      </c>
    </row>
    <row r="16">
      <c r="A16" s="8" t="inlineStr">
        <is>
          <t>تولید غیرمستقیم</t>
        </is>
      </c>
      <c r="B16" s="16" t="inlineStr">
        <is>
          <t>PAY2</t>
        </is>
      </c>
      <c r="D16" s="24" t="n">
        <v>24</v>
      </c>
      <c r="E16" s="25" t="n">
        <v>320</v>
      </c>
      <c r="F16" s="17" t="inlineStr">
        <is>
          <t>نفر / میلیون ریال</t>
        </is>
      </c>
    </row>
    <row r="17">
      <c r="A17" s="8" t="inlineStr">
        <is>
          <t>نگهداری و تعمیرات</t>
        </is>
      </c>
      <c r="B17" s="16" t="inlineStr">
        <is>
          <t>PAY3</t>
        </is>
      </c>
      <c r="D17" s="24" t="n">
        <v>18</v>
      </c>
      <c r="E17" s="25" t="n">
        <v>300</v>
      </c>
      <c r="F17" s="17" t="inlineStr">
        <is>
          <t>نفر / میلیون ریال</t>
        </is>
      </c>
    </row>
    <row r="18">
      <c r="A18" s="8" t="inlineStr">
        <is>
          <t>اداری و مالی</t>
        </is>
      </c>
      <c r="B18" s="16" t="inlineStr">
        <is>
          <t>PAY4</t>
        </is>
      </c>
      <c r="D18" s="24" t="n">
        <v>22</v>
      </c>
      <c r="E18" s="25" t="n">
        <v>380</v>
      </c>
      <c r="F18" s="17" t="inlineStr">
        <is>
          <t>نفر / میلیون ریال</t>
        </is>
      </c>
    </row>
    <row r="19">
      <c r="A19" s="8" t="inlineStr">
        <is>
          <t>فروش و بازاریابی</t>
        </is>
      </c>
      <c r="B19" s="16" t="inlineStr">
        <is>
          <t>PAY5</t>
        </is>
      </c>
      <c r="D19" s="24" t="n">
        <v>8</v>
      </c>
      <c r="E19" s="25" t="n">
        <v>350</v>
      </c>
      <c r="F19" s="17" t="inlineStr">
        <is>
          <t>نفر / میلیون ریال</t>
        </is>
      </c>
    </row>
    <row r="20"/>
    <row r="21">
      <c r="A21" s="4" t="inlineStr">
        <is>
          <t>ج) مراکز هزینهٔ خدماتی</t>
        </is>
      </c>
      <c r="B21" s="5" t="n"/>
      <c r="C21" s="5" t="n"/>
      <c r="D21" s="5" t="n"/>
      <c r="E21" s="5" t="n"/>
      <c r="F21" s="5" t="n"/>
      <c r="G21" s="5" t="n"/>
      <c r="H21" s="5" t="n"/>
      <c r="I21" s="5" t="n"/>
      <c r="J21" s="5" t="n"/>
      <c r="K21" s="5" t="n"/>
      <c r="L21" s="5" t="n"/>
      <c r="M21" s="5" t="n"/>
      <c r="N21" s="5" t="n"/>
      <c r="O21" s="5" t="n"/>
      <c r="P21" s="5" t="n"/>
      <c r="Q21" s="5" t="n"/>
    </row>
    <row r="22">
      <c r="D22" s="12" t="inlineStr">
        <is>
          <t>نام مرکز</t>
        </is>
      </c>
      <c r="E22" s="12" t="inlineStr">
        <is>
          <t>محرک تخصیص</t>
        </is>
      </c>
      <c r="F22" s="12" t="inlineStr">
        <is>
          <t>هزینه سالانهٔ پایه</t>
        </is>
      </c>
      <c r="G22" s="12" t="inlineStr">
        <is>
          <t>رفتار</t>
        </is>
      </c>
      <c r="H22" s="12" t="inlineStr">
        <is>
          <t>ترتیب</t>
        </is>
      </c>
    </row>
    <row r="23">
      <c r="A23" s="8" t="inlineStr">
        <is>
          <t>نگهداری و تعمیرات مرکزی</t>
        </is>
      </c>
      <c r="B23" s="16" t="inlineStr">
        <is>
          <t>SC1</t>
        </is>
      </c>
      <c r="D23" s="26" t="inlineStr">
        <is>
          <t>نگهداری و تعمیرات مرکزی</t>
        </is>
      </c>
      <c r="E23" s="27" t="inlineStr">
        <is>
          <t>MACHINE_HOURS</t>
        </is>
      </c>
      <c r="F23" s="24" t="n">
        <v>300000</v>
      </c>
      <c r="G23" s="27" t="inlineStr">
        <is>
          <t>F</t>
        </is>
      </c>
      <c r="H23" s="27" t="n">
        <v>1</v>
      </c>
    </row>
    <row r="24">
      <c r="A24" s="8" t="inlineStr">
        <is>
          <t>منابع انسانی و خدمات پشتیبانی</t>
        </is>
      </c>
      <c r="B24" s="16" t="inlineStr">
        <is>
          <t>SC2</t>
        </is>
      </c>
      <c r="D24" s="26" t="inlineStr">
        <is>
          <t>منابع انسانی و خدمات پشتیبانی</t>
        </is>
      </c>
      <c r="E24" s="27" t="inlineStr">
        <is>
          <t>HEADCOUNT</t>
        </is>
      </c>
      <c r="F24" s="24" t="n">
        <v>100000</v>
      </c>
      <c r="G24" s="27" t="inlineStr">
        <is>
          <t>F</t>
        </is>
      </c>
      <c r="H24" s="27" t="n">
        <v>2</v>
      </c>
    </row>
    <row r="25">
      <c r="A25" s="8" t="inlineStr">
        <is>
          <t>لجستیک و انبارداری</t>
        </is>
      </c>
      <c r="B25" s="16" t="inlineStr">
        <is>
          <t>SC3</t>
        </is>
      </c>
      <c r="D25" s="26" t="inlineStr">
        <is>
          <t>لجستیک و انبارداری</t>
        </is>
      </c>
      <c r="E25" s="27" t="inlineStr">
        <is>
          <t>THROUGHPUT</t>
        </is>
      </c>
      <c r="F25" s="24" t="n">
        <v>150000</v>
      </c>
      <c r="G25" s="27" t="inlineStr">
        <is>
          <t>F</t>
        </is>
      </c>
      <c r="H25" s="27" t="n">
        <v>3</v>
      </c>
    </row>
    <row r="26">
      <c r="A26" s="8" t="inlineStr">
        <is>
          <t>تصفیه‌خانه و محیط‌زیست</t>
        </is>
      </c>
      <c r="B26" s="16" t="inlineStr">
        <is>
          <t>SC4</t>
        </is>
      </c>
      <c r="D26" s="26" t="inlineStr">
        <is>
          <t>تصفیه‌خانه و محیط‌زیست</t>
        </is>
      </c>
      <c r="E26" s="27" t="inlineStr">
        <is>
          <t>WATER</t>
        </is>
      </c>
      <c r="F26" s="24" t="n">
        <v>250000</v>
      </c>
      <c r="G26" s="27" t="inlineStr">
        <is>
          <t>V</t>
        </is>
      </c>
      <c r="H26" s="27" t="n">
        <v>4</v>
      </c>
    </row>
    <row r="27">
      <c r="A27" s="8" t="inlineStr">
        <is>
          <t>آزمایشگاه و کنترل کیفیت</t>
        </is>
      </c>
      <c r="B27" s="16" t="inlineStr">
        <is>
          <t>SC5</t>
        </is>
      </c>
      <c r="D27" s="26" t="inlineStr">
        <is>
          <t>آزمایشگاه و کنترل کیفیت</t>
        </is>
      </c>
      <c r="E27" s="27" t="inlineStr">
        <is>
          <t>THROUGHPUT</t>
        </is>
      </c>
      <c r="F27" s="24" t="n">
        <v>80000</v>
      </c>
      <c r="G27" s="27" t="inlineStr">
        <is>
          <t>V</t>
        </is>
      </c>
      <c r="H27" s="27" t="n">
        <v>5</v>
      </c>
    </row>
    <row r="28"/>
    <row r="29">
      <c r="A29" s="7" t="inlineStr">
        <is>
          <t>رفتار هزینه: V = متغیر (تابع حجم)، F = ثابت (سالانه).</t>
        </is>
      </c>
    </row>
    <row r="30"/>
    <row r="31">
      <c r="A31" s="4" t="inlineStr">
        <is>
          <t>د) ماتریس اقلام هزینه (مبنای محاسبه، تعدیل و تخصیص)</t>
        </is>
      </c>
      <c r="B31" s="5" t="n"/>
      <c r="C31" s="5" t="n"/>
      <c r="D31" s="5" t="n"/>
      <c r="E31" s="5" t="n"/>
      <c r="F31" s="5" t="n"/>
      <c r="G31" s="5" t="n"/>
      <c r="H31" s="5" t="n"/>
      <c r="I31" s="5" t="n"/>
      <c r="J31" s="5" t="n"/>
      <c r="K31" s="5" t="n"/>
      <c r="L31" s="5" t="n"/>
      <c r="M31" s="5" t="n"/>
      <c r="N31" s="5" t="n"/>
      <c r="O31" s="5" t="n"/>
      <c r="P31" s="5" t="n"/>
      <c r="Q31" s="5" t="n"/>
    </row>
    <row r="32">
      <c r="D32" s="12" t="inlineStr">
        <is>
          <t>طبقه</t>
        </is>
      </c>
      <c r="E32" s="12" t="inlineStr">
        <is>
          <t>مبنای محاسبه</t>
        </is>
      </c>
      <c r="F32" s="12" t="inlineStr">
        <is>
          <t>پارامتر / مرجع</t>
        </is>
      </c>
      <c r="G32" s="12" t="inlineStr">
        <is>
          <t>شاخص تعدیل</t>
        </is>
      </c>
      <c r="H32" s="12" t="inlineStr">
        <is>
          <t>مبنای تخصیص</t>
        </is>
      </c>
      <c r="I32" s="12" t="inlineStr">
        <is>
          <t>رفتار</t>
        </is>
      </c>
    </row>
    <row r="33">
      <c r="A33" s="8" t="inlineStr">
        <is>
          <t>باتری ضایعاتی (مواد اولیه اصلی)</t>
        </is>
      </c>
      <c r="B33" s="16" t="inlineStr">
        <is>
          <t>DPC-01</t>
        </is>
      </c>
      <c r="C33" s="17" t="inlineStr">
        <is>
          <t>میلیون ریال/تن</t>
        </is>
      </c>
      <c r="D33" s="27" t="inlineStr">
        <is>
          <t>DPC</t>
        </is>
      </c>
      <c r="E33" s="27" t="inlineStr">
        <is>
          <t>SCRAP_LME</t>
        </is>
      </c>
      <c r="F33" s="28" t="n">
        <v>348</v>
      </c>
      <c r="G33" s="27" t="inlineStr">
        <is>
          <t>NONE</t>
        </is>
      </c>
      <c r="H33" s="27" t="inlineStr">
        <is>
          <t>THROUGHPUT</t>
        </is>
      </c>
      <c r="I33" s="27" t="inlineStr">
        <is>
          <t>V</t>
        </is>
      </c>
    </row>
    <row r="34">
      <c r="A34" s="8" t="inlineStr">
        <is>
          <t>مواد مصرفی و واکنشگرها</t>
        </is>
      </c>
      <c r="B34" s="16" t="inlineStr">
        <is>
          <t>DPC-02</t>
        </is>
      </c>
      <c r="C34" s="17" t="inlineStr">
        <is>
          <t>میلیون ریال/تن</t>
        </is>
      </c>
      <c r="D34" s="27" t="inlineStr">
        <is>
          <t>DPC</t>
        </is>
      </c>
      <c r="E34" s="27" t="inlineStr">
        <is>
          <t>PER_TON_BATT</t>
        </is>
      </c>
      <c r="F34" s="28" t="n">
        <v>15</v>
      </c>
      <c r="G34" s="27" t="inlineStr">
        <is>
          <t>CPI</t>
        </is>
      </c>
      <c r="H34" s="27" t="inlineStr">
        <is>
          <t>THROUGHPUT</t>
        </is>
      </c>
      <c r="I34" s="27" t="inlineStr">
        <is>
          <t>V</t>
        </is>
      </c>
    </row>
    <row r="35">
      <c r="A35" s="8" t="inlineStr">
        <is>
          <t>دستمزد مستقیم تولید</t>
        </is>
      </c>
      <c r="B35" s="16" t="inlineStr">
        <is>
          <t>DPC-03</t>
        </is>
      </c>
      <c r="C35" s="17" t="inlineStr">
        <is>
          <t>─</t>
        </is>
      </c>
      <c r="D35" s="27" t="inlineStr">
        <is>
          <t>DPC</t>
        </is>
      </c>
      <c r="E35" s="27" t="inlineStr">
        <is>
          <t>PAY</t>
        </is>
      </c>
      <c r="F35" s="27" t="inlineStr">
        <is>
          <t>PAY:1</t>
        </is>
      </c>
      <c r="G35" s="27" t="inlineStr">
        <is>
          <t>WAGE</t>
        </is>
      </c>
      <c r="H35" s="27" t="inlineStr">
        <is>
          <t>HEADCOUNT</t>
        </is>
      </c>
      <c r="I35" s="27" t="inlineStr">
        <is>
          <t>V</t>
        </is>
      </c>
    </row>
    <row r="36">
      <c r="A36" s="8" t="inlineStr">
        <is>
          <t>مواد بسته‌بندی</t>
        </is>
      </c>
      <c r="B36" s="16" t="inlineStr">
        <is>
          <t>DPC-04</t>
        </is>
      </c>
      <c r="C36" s="17" t="inlineStr">
        <is>
          <t>میلیون ریال/تن</t>
        </is>
      </c>
      <c r="D36" s="27" t="inlineStr">
        <is>
          <t>DPC</t>
        </is>
      </c>
      <c r="E36" s="27" t="inlineStr">
        <is>
          <t>PER_TON_PROD</t>
        </is>
      </c>
      <c r="F36" s="28" t="n">
        <v>4</v>
      </c>
      <c r="G36" s="27" t="inlineStr">
        <is>
          <t>CPI</t>
        </is>
      </c>
      <c r="H36" s="27" t="inlineStr">
        <is>
          <t>THROUGHPUT</t>
        </is>
      </c>
      <c r="I36" s="27" t="inlineStr">
        <is>
          <t>V</t>
        </is>
      </c>
    </row>
    <row r="37">
      <c r="A37" s="8" t="inlineStr">
        <is>
          <t>حمل‌ونقل ورودی مواد</t>
        </is>
      </c>
      <c r="B37" s="16" t="inlineStr">
        <is>
          <t>DPC-05</t>
        </is>
      </c>
      <c r="C37" s="17" t="inlineStr">
        <is>
          <t>میلیون ریال/تن</t>
        </is>
      </c>
      <c r="D37" s="27" t="inlineStr">
        <is>
          <t>DPC</t>
        </is>
      </c>
      <c r="E37" s="27" t="inlineStr">
        <is>
          <t>PER_TON_BATT</t>
        </is>
      </c>
      <c r="F37" s="28" t="n">
        <v>6</v>
      </c>
      <c r="G37" s="27" t="inlineStr">
        <is>
          <t>CPI</t>
        </is>
      </c>
      <c r="H37" s="27" t="inlineStr">
        <is>
          <t>THROUGHPUT</t>
        </is>
      </c>
      <c r="I37" s="27" t="inlineStr">
        <is>
          <t>V</t>
        </is>
      </c>
    </row>
    <row r="38">
      <c r="A38" s="8" t="inlineStr">
        <is>
          <t>انرژی الکتریکی فرآیندی</t>
        </is>
      </c>
      <c r="B38" s="16" t="inlineStr">
        <is>
          <t>DPC-06</t>
        </is>
      </c>
      <c r="C38" s="17" t="inlineStr">
        <is>
          <t>میلیون ریال/kWh</t>
        </is>
      </c>
      <c r="D38" s="27" t="inlineStr">
        <is>
          <t>DPC</t>
        </is>
      </c>
      <c r="E38" s="27" t="inlineStr">
        <is>
          <t>PER_KWH</t>
        </is>
      </c>
      <c r="F38" s="28" t="n">
        <v>0.006</v>
      </c>
      <c r="G38" s="27" t="inlineStr">
        <is>
          <t>ENERGY</t>
        </is>
      </c>
      <c r="H38" s="27" t="inlineStr">
        <is>
          <t>MACHINE_HOURS</t>
        </is>
      </c>
      <c r="I38" s="27" t="inlineStr">
        <is>
          <t>V</t>
        </is>
      </c>
    </row>
    <row r="39">
      <c r="A39" s="8" t="inlineStr">
        <is>
          <t>سوخت و مواد احیاکننده</t>
        </is>
      </c>
      <c r="B39" s="16" t="inlineStr">
        <is>
          <t>OPC-01</t>
        </is>
      </c>
      <c r="C39" s="17" t="inlineStr">
        <is>
          <t>میلیون ریال/تن</t>
        </is>
      </c>
      <c r="D39" s="27" t="inlineStr">
        <is>
          <t>OPC</t>
        </is>
      </c>
      <c r="E39" s="27" t="inlineStr">
        <is>
          <t>PER_TON_BATT</t>
        </is>
      </c>
      <c r="F39" s="28" t="n">
        <v>12.5</v>
      </c>
      <c r="G39" s="27" t="inlineStr">
        <is>
          <t>ENERGY</t>
        </is>
      </c>
      <c r="H39" s="27" t="inlineStr">
        <is>
          <t>THROUGHPUT</t>
        </is>
      </c>
      <c r="I39" s="27" t="inlineStr">
        <is>
          <t>V</t>
        </is>
      </c>
    </row>
    <row r="40">
      <c r="A40" s="8" t="inlineStr">
        <is>
          <t>آب و پساب</t>
        </is>
      </c>
      <c r="B40" s="16" t="inlineStr">
        <is>
          <t>OPC-02</t>
        </is>
      </c>
      <c r="C40" s="17" t="inlineStr">
        <is>
          <t>میلیون ریال/m3</t>
        </is>
      </c>
      <c r="D40" s="27" t="inlineStr">
        <is>
          <t>OPC</t>
        </is>
      </c>
      <c r="E40" s="27" t="inlineStr">
        <is>
          <t>PER_M3</t>
        </is>
      </c>
      <c r="F40" s="28" t="n">
        <v>0.25</v>
      </c>
      <c r="G40" s="27" t="inlineStr">
        <is>
          <t>CPI</t>
        </is>
      </c>
      <c r="H40" s="27" t="inlineStr">
        <is>
          <t>WATER</t>
        </is>
      </c>
      <c r="I40" s="27" t="inlineStr">
        <is>
          <t>V</t>
        </is>
      </c>
    </row>
    <row r="41">
      <c r="A41" s="8" t="inlineStr">
        <is>
          <t>دفع پسماند و لجن</t>
        </is>
      </c>
      <c r="B41" s="16" t="inlineStr">
        <is>
          <t>OPC-03</t>
        </is>
      </c>
      <c r="C41" s="17" t="inlineStr">
        <is>
          <t>میلیون ریال/تن</t>
        </is>
      </c>
      <c r="D41" s="27" t="inlineStr">
        <is>
          <t>OPC</t>
        </is>
      </c>
      <c r="E41" s="27" t="inlineStr">
        <is>
          <t>PER_TON_BATT</t>
        </is>
      </c>
      <c r="F41" s="28" t="n">
        <v>7.5</v>
      </c>
      <c r="G41" s="27" t="inlineStr">
        <is>
          <t>CPI</t>
        </is>
      </c>
      <c r="H41" s="27" t="inlineStr">
        <is>
          <t>THROUGHPUT</t>
        </is>
      </c>
      <c r="I41" s="27" t="inlineStr">
        <is>
          <t>V</t>
        </is>
      </c>
    </row>
    <row r="42">
      <c r="A42" s="8" t="inlineStr">
        <is>
          <t>نگهداری و تعمیرات متغیر</t>
        </is>
      </c>
      <c r="B42" s="16" t="inlineStr">
        <is>
          <t>OPC-04</t>
        </is>
      </c>
      <c r="C42" s="17" t="inlineStr">
        <is>
          <t>میلیون ریال/تن</t>
        </is>
      </c>
      <c r="D42" s="27" t="inlineStr">
        <is>
          <t>OPC</t>
        </is>
      </c>
      <c r="E42" s="27" t="inlineStr">
        <is>
          <t>PER_TON_BATT</t>
        </is>
      </c>
      <c r="F42" s="28" t="n">
        <v>9</v>
      </c>
      <c r="G42" s="27" t="inlineStr">
        <is>
          <t>CPI</t>
        </is>
      </c>
      <c r="H42" s="27" t="inlineStr">
        <is>
          <t>MACHINE_HOURS</t>
        </is>
      </c>
      <c r="I42" s="27" t="inlineStr">
        <is>
          <t>V</t>
        </is>
      </c>
    </row>
    <row r="43">
      <c r="A43" s="8" t="inlineStr">
        <is>
          <t>مرکز خدماتی: نگهداری و تعمیرات</t>
        </is>
      </c>
      <c r="B43" s="16" t="inlineStr">
        <is>
          <t>OPC-05</t>
        </is>
      </c>
      <c r="C43" s="17" t="inlineStr">
        <is>
          <t>─</t>
        </is>
      </c>
      <c r="D43" s="27" t="inlineStr">
        <is>
          <t>OPC</t>
        </is>
      </c>
      <c r="E43" s="27" t="inlineStr">
        <is>
          <t>SRV</t>
        </is>
      </c>
      <c r="F43" s="27" t="inlineStr">
        <is>
          <t>SRV:1</t>
        </is>
      </c>
      <c r="G43" s="27" t="inlineStr">
        <is>
          <t>CPI</t>
        </is>
      </c>
      <c r="H43" s="27" t="inlineStr">
        <is>
          <t>SRV</t>
        </is>
      </c>
      <c r="I43" s="27" t="inlineStr">
        <is>
          <t>F</t>
        </is>
      </c>
    </row>
    <row r="44">
      <c r="A44" s="8" t="inlineStr">
        <is>
          <t>مرکز خدماتی: لجستیک و انبارداری</t>
        </is>
      </c>
      <c r="B44" s="16" t="inlineStr">
        <is>
          <t>OPC-06</t>
        </is>
      </c>
      <c r="C44" s="17" t="inlineStr">
        <is>
          <t>─</t>
        </is>
      </c>
      <c r="D44" s="27" t="inlineStr">
        <is>
          <t>OPC</t>
        </is>
      </c>
      <c r="E44" s="27" t="inlineStr">
        <is>
          <t>SRV</t>
        </is>
      </c>
      <c r="F44" s="27" t="inlineStr">
        <is>
          <t>SRV:3</t>
        </is>
      </c>
      <c r="G44" s="27" t="inlineStr">
        <is>
          <t>CPI</t>
        </is>
      </c>
      <c r="H44" s="27" t="inlineStr">
        <is>
          <t>SRV</t>
        </is>
      </c>
      <c r="I44" s="27" t="inlineStr">
        <is>
          <t>F</t>
        </is>
      </c>
    </row>
    <row r="45">
      <c r="A45" s="8" t="inlineStr">
        <is>
          <t>مرکز خدماتی: تصفیه‌خانه</t>
        </is>
      </c>
      <c r="B45" s="16" t="inlineStr">
        <is>
          <t>OPC-07</t>
        </is>
      </c>
      <c r="C45" s="17" t="inlineStr">
        <is>
          <t>─</t>
        </is>
      </c>
      <c r="D45" s="27" t="inlineStr">
        <is>
          <t>OPC</t>
        </is>
      </c>
      <c r="E45" s="27" t="inlineStr">
        <is>
          <t>SRV</t>
        </is>
      </c>
      <c r="F45" s="27" t="inlineStr">
        <is>
          <t>SRV:4</t>
        </is>
      </c>
      <c r="G45" s="27" t="inlineStr">
        <is>
          <t>CPI</t>
        </is>
      </c>
      <c r="H45" s="27" t="inlineStr">
        <is>
          <t>SRV</t>
        </is>
      </c>
      <c r="I45" s="27" t="inlineStr">
        <is>
          <t>V</t>
        </is>
      </c>
    </row>
    <row r="46">
      <c r="A46" s="8" t="inlineStr">
        <is>
          <t>مرکز خدماتی: آزمایشگاه و QC</t>
        </is>
      </c>
      <c r="B46" s="16" t="inlineStr">
        <is>
          <t>OPC-08</t>
        </is>
      </c>
      <c r="C46" s="17" t="inlineStr">
        <is>
          <t>─</t>
        </is>
      </c>
      <c r="D46" s="27" t="inlineStr">
        <is>
          <t>OPC</t>
        </is>
      </c>
      <c r="E46" s="27" t="inlineStr">
        <is>
          <t>SRV</t>
        </is>
      </c>
      <c r="F46" s="27" t="inlineStr">
        <is>
          <t>SRV:5</t>
        </is>
      </c>
      <c r="G46" s="27" t="inlineStr">
        <is>
          <t>CPI</t>
        </is>
      </c>
      <c r="H46" s="27" t="inlineStr">
        <is>
          <t>SRV</t>
        </is>
      </c>
      <c r="I46" s="27" t="inlineStr">
        <is>
          <t>V</t>
        </is>
      </c>
    </row>
    <row r="47">
      <c r="A47" s="8" t="inlineStr">
        <is>
          <t>هزینه فروش، توزیع و کارمزد فروش</t>
        </is>
      </c>
      <c r="B47" s="16" t="inlineStr">
        <is>
          <t>OPC-09</t>
        </is>
      </c>
      <c r="C47" s="17" t="inlineStr">
        <is>
          <t>درصد از درآمد</t>
        </is>
      </c>
      <c r="D47" s="27" t="inlineStr">
        <is>
          <t>OPC</t>
        </is>
      </c>
      <c r="E47" s="27" t="inlineStr">
        <is>
          <t>PCT_REV</t>
        </is>
      </c>
      <c r="F47" s="28" t="n">
        <v>0.012</v>
      </c>
      <c r="G47" s="27" t="inlineStr">
        <is>
          <t>NONE</t>
        </is>
      </c>
      <c r="H47" s="27" t="inlineStr">
        <is>
          <t>THROUGHPUT</t>
        </is>
      </c>
      <c r="I47" s="27" t="inlineStr">
        <is>
          <t>V</t>
        </is>
      </c>
    </row>
    <row r="48">
      <c r="A48" s="8" t="inlineStr">
        <is>
          <t>استهلاک دارایی‌های ثابت</t>
        </is>
      </c>
      <c r="B48" s="16" t="inlineStr">
        <is>
          <t>FPC-01</t>
        </is>
      </c>
      <c r="C48" s="17" t="inlineStr">
        <is>
          <t>─</t>
        </is>
      </c>
      <c r="D48" s="27" t="inlineStr">
        <is>
          <t>FPC</t>
        </is>
      </c>
      <c r="E48" s="27" t="inlineStr">
        <is>
          <t>DEP</t>
        </is>
      </c>
      <c r="F48" s="27" t="inlineStr">
        <is>
          <t>DEP</t>
        </is>
      </c>
      <c r="G48" s="27" t="inlineStr">
        <is>
          <t>NONE</t>
        </is>
      </c>
      <c r="H48" s="27" t="inlineStr">
        <is>
          <t>POWER</t>
        </is>
      </c>
      <c r="I48" s="27" t="inlineStr">
        <is>
          <t>F</t>
        </is>
      </c>
    </row>
    <row r="49">
      <c r="A49" s="8" t="inlineStr">
        <is>
          <t>بیمه دارایی‌ها</t>
        </is>
      </c>
      <c r="B49" s="16" t="inlineStr">
        <is>
          <t>FPC-02</t>
        </is>
      </c>
      <c r="C49" s="17" t="inlineStr">
        <is>
          <t>درصد ارزش دفتری</t>
        </is>
      </c>
      <c r="D49" s="27" t="inlineStr">
        <is>
          <t>FPC</t>
        </is>
      </c>
      <c r="E49" s="27" t="inlineStr">
        <is>
          <t>PCT_ASSET</t>
        </is>
      </c>
      <c r="F49" s="28" t="n">
        <v>0.006</v>
      </c>
      <c r="G49" s="27" t="inlineStr">
        <is>
          <t>NONE</t>
        </is>
      </c>
      <c r="H49" s="27" t="inlineStr">
        <is>
          <t>POWER</t>
        </is>
      </c>
      <c r="I49" s="27" t="inlineStr">
        <is>
          <t>F</t>
        </is>
      </c>
    </row>
    <row r="50">
      <c r="A50" s="8" t="inlineStr">
        <is>
          <t>اجاره و حق‌الامتیاز</t>
        </is>
      </c>
      <c r="B50" s="16" t="inlineStr">
        <is>
          <t>FPC-03</t>
        </is>
      </c>
      <c r="C50" s="17" t="inlineStr">
        <is>
          <t>میلیون ریال/سال</t>
        </is>
      </c>
      <c r="D50" s="27" t="inlineStr">
        <is>
          <t>FPC</t>
        </is>
      </c>
      <c r="E50" s="27" t="inlineStr">
        <is>
          <t>ANNUAL</t>
        </is>
      </c>
      <c r="F50" s="28" t="n">
        <v>80000</v>
      </c>
      <c r="G50" s="27" t="inlineStr">
        <is>
          <t>CPI</t>
        </is>
      </c>
      <c r="H50" s="27" t="inlineStr">
        <is>
          <t>AREA</t>
        </is>
      </c>
      <c r="I50" s="27" t="inlineStr">
        <is>
          <t>F</t>
        </is>
      </c>
    </row>
    <row r="51">
      <c r="A51" s="8" t="inlineStr">
        <is>
          <t>حقوق غیرمستقیم تولید</t>
        </is>
      </c>
      <c r="B51" s="16" t="inlineStr">
        <is>
          <t>FPC-04</t>
        </is>
      </c>
      <c r="C51" s="17" t="inlineStr">
        <is>
          <t>─</t>
        </is>
      </c>
      <c r="D51" s="27" t="inlineStr">
        <is>
          <t>FPC</t>
        </is>
      </c>
      <c r="E51" s="27" t="inlineStr">
        <is>
          <t>PAY</t>
        </is>
      </c>
      <c r="F51" s="27" t="inlineStr">
        <is>
          <t>PAY:2</t>
        </is>
      </c>
      <c r="G51" s="27" t="inlineStr">
        <is>
          <t>WAGE</t>
        </is>
      </c>
      <c r="H51" s="27" t="inlineStr">
        <is>
          <t>HEADCOUNT</t>
        </is>
      </c>
      <c r="I51" s="27" t="inlineStr">
        <is>
          <t>F</t>
        </is>
      </c>
    </row>
    <row r="52">
      <c r="A52" s="8" t="inlineStr">
        <is>
          <t>حقوق نگهداری و تعمیرات</t>
        </is>
      </c>
      <c r="B52" s="16" t="inlineStr">
        <is>
          <t>FPC-05</t>
        </is>
      </c>
      <c r="C52" s="17" t="inlineStr">
        <is>
          <t>─</t>
        </is>
      </c>
      <c r="D52" s="27" t="inlineStr">
        <is>
          <t>FPC</t>
        </is>
      </c>
      <c r="E52" s="27" t="inlineStr">
        <is>
          <t>PAY</t>
        </is>
      </c>
      <c r="F52" s="27" t="inlineStr">
        <is>
          <t>PAY:3</t>
        </is>
      </c>
      <c r="G52" s="27" t="inlineStr">
        <is>
          <t>WAGE</t>
        </is>
      </c>
      <c r="H52" s="27" t="inlineStr">
        <is>
          <t>HEADCOUNT</t>
        </is>
      </c>
      <c r="I52" s="27" t="inlineStr">
        <is>
          <t>F</t>
        </is>
      </c>
    </row>
    <row r="53">
      <c r="A53" s="8" t="inlineStr">
        <is>
          <t>حقوق اداری و مالی</t>
        </is>
      </c>
      <c r="B53" s="16" t="inlineStr">
        <is>
          <t>FPC-06</t>
        </is>
      </c>
      <c r="C53" s="17" t="inlineStr">
        <is>
          <t>─</t>
        </is>
      </c>
      <c r="D53" s="27" t="inlineStr">
        <is>
          <t>FPC</t>
        </is>
      </c>
      <c r="E53" s="27" t="inlineStr">
        <is>
          <t>PAY</t>
        </is>
      </c>
      <c r="F53" s="27" t="inlineStr">
        <is>
          <t>PAY:4</t>
        </is>
      </c>
      <c r="G53" s="27" t="inlineStr">
        <is>
          <t>WAGE</t>
        </is>
      </c>
      <c r="H53" s="27" t="inlineStr">
        <is>
          <t>HEADCOUNT</t>
        </is>
      </c>
      <c r="I53" s="27" t="inlineStr">
        <is>
          <t>F</t>
        </is>
      </c>
    </row>
    <row r="54">
      <c r="A54" s="8" t="inlineStr">
        <is>
          <t>حقوق فروش و بازاریابی</t>
        </is>
      </c>
      <c r="B54" s="16" t="inlineStr">
        <is>
          <t>FPC-07</t>
        </is>
      </c>
      <c r="C54" s="17" t="inlineStr">
        <is>
          <t>─</t>
        </is>
      </c>
      <c r="D54" s="27" t="inlineStr">
        <is>
          <t>FPC</t>
        </is>
      </c>
      <c r="E54" s="27" t="inlineStr">
        <is>
          <t>PAY</t>
        </is>
      </c>
      <c r="F54" s="27" t="inlineStr">
        <is>
          <t>PAY:5</t>
        </is>
      </c>
      <c r="G54" s="27" t="inlineStr">
        <is>
          <t>WAGE</t>
        </is>
      </c>
      <c r="H54" s="27" t="inlineStr">
        <is>
          <t>HEADCOUNT</t>
        </is>
      </c>
      <c r="I54" s="27" t="inlineStr">
        <is>
          <t>F</t>
        </is>
      </c>
    </row>
    <row r="55">
      <c r="A55" s="8" t="inlineStr">
        <is>
          <t>هزینه‌های عمومی و اداری غیرپرسنلی</t>
        </is>
      </c>
      <c r="B55" s="16" t="inlineStr">
        <is>
          <t>FPC-08</t>
        </is>
      </c>
      <c r="C55" s="17" t="inlineStr">
        <is>
          <t>میلیون ریال/سال</t>
        </is>
      </c>
      <c r="D55" s="27" t="inlineStr">
        <is>
          <t>FPC</t>
        </is>
      </c>
      <c r="E55" s="27" t="inlineStr">
        <is>
          <t>ANNUAL</t>
        </is>
      </c>
      <c r="F55" s="28" t="n">
        <v>300000</v>
      </c>
      <c r="G55" s="27" t="inlineStr">
        <is>
          <t>CPI</t>
        </is>
      </c>
      <c r="H55" s="27" t="inlineStr">
        <is>
          <t>HEADCOUNT</t>
        </is>
      </c>
      <c r="I55" s="27" t="inlineStr">
        <is>
          <t>F</t>
        </is>
      </c>
    </row>
    <row r="56">
      <c r="A56" s="8" t="inlineStr">
        <is>
          <t>تبلیغات و بازاریابی ثابت</t>
        </is>
      </c>
      <c r="B56" s="16" t="inlineStr">
        <is>
          <t>FPC-09</t>
        </is>
      </c>
      <c r="C56" s="17" t="inlineStr">
        <is>
          <t>میلیون ریال/سال</t>
        </is>
      </c>
      <c r="D56" s="27" t="inlineStr">
        <is>
          <t>FPC</t>
        </is>
      </c>
      <c r="E56" s="27" t="inlineStr">
        <is>
          <t>ANNUAL</t>
        </is>
      </c>
      <c r="F56" s="28" t="n">
        <v>120000</v>
      </c>
      <c r="G56" s="27" t="inlineStr">
        <is>
          <t>CPI</t>
        </is>
      </c>
      <c r="H56" s="27" t="inlineStr">
        <is>
          <t>AREA</t>
        </is>
      </c>
      <c r="I56" s="27" t="inlineStr">
        <is>
          <t>F</t>
        </is>
      </c>
    </row>
    <row r="57">
      <c r="A57" s="8" t="inlineStr">
        <is>
          <t>بار پایه انرژی</t>
        </is>
      </c>
      <c r="B57" s="16" t="inlineStr">
        <is>
          <t>FPC-10</t>
        </is>
      </c>
      <c r="C57" s="17" t="inlineStr">
        <is>
          <t>میلیون ریال/سال</t>
        </is>
      </c>
      <c r="D57" s="27" t="inlineStr">
        <is>
          <t>FPC</t>
        </is>
      </c>
      <c r="E57" s="27" t="inlineStr">
        <is>
          <t>ANNUAL</t>
        </is>
      </c>
      <c r="F57" s="28" t="n">
        <v>400000</v>
      </c>
      <c r="G57" s="27" t="inlineStr">
        <is>
          <t>ENERGY</t>
        </is>
      </c>
      <c r="H57" s="27" t="inlineStr">
        <is>
          <t>POWER</t>
        </is>
      </c>
      <c r="I57" s="27" t="inlineStr">
        <is>
          <t>F</t>
        </is>
      </c>
    </row>
    <row r="58">
      <c r="A58" s="8" t="inlineStr">
        <is>
          <t>مرکز خدماتی: منابع انسانی</t>
        </is>
      </c>
      <c r="B58" s="16" t="inlineStr">
        <is>
          <t>FPC-11</t>
        </is>
      </c>
      <c r="C58" s="17" t="inlineStr">
        <is>
          <t>─</t>
        </is>
      </c>
      <c r="D58" s="27" t="inlineStr">
        <is>
          <t>FPC</t>
        </is>
      </c>
      <c r="E58" s="27" t="inlineStr">
        <is>
          <t>SRV</t>
        </is>
      </c>
      <c r="F58" s="27" t="inlineStr">
        <is>
          <t>SRV:2</t>
        </is>
      </c>
      <c r="G58" s="27" t="inlineStr">
        <is>
          <t>CPI</t>
        </is>
      </c>
      <c r="H58" s="27" t="inlineStr">
        <is>
          <t>SRV</t>
        </is>
      </c>
      <c r="I58" s="27" t="inlineStr">
        <is>
          <t>F</t>
        </is>
      </c>
    </row>
    <row r="59">
      <c r="A59" s="8" t="inlineStr">
        <is>
          <t>سایر هزینه‌های ثابت</t>
        </is>
      </c>
      <c r="B59" s="16" t="inlineStr">
        <is>
          <t>FPC-12</t>
        </is>
      </c>
      <c r="C59" s="17" t="inlineStr">
        <is>
          <t>میلیون ریال/سال</t>
        </is>
      </c>
      <c r="D59" s="27" t="inlineStr">
        <is>
          <t>FPC</t>
        </is>
      </c>
      <c r="E59" s="27" t="inlineStr">
        <is>
          <t>ANNUAL</t>
        </is>
      </c>
      <c r="F59" s="28" t="n">
        <v>150000</v>
      </c>
      <c r="G59" s="27" t="inlineStr">
        <is>
          <t>CPI</t>
        </is>
      </c>
      <c r="H59" s="27" t="inlineStr">
        <is>
          <t>AREA</t>
        </is>
      </c>
      <c r="I59" s="27" t="inlineStr">
        <is>
          <t>F</t>
        </is>
      </c>
    </row>
    <row r="60"/>
    <row r="61">
      <c r="A61" s="7" t="inlineStr">
        <is>
          <t>راهنما: مبنای محاسبه ← SCRAP_LME (خرید مواد اولیه، پیوند به LME×ارز)، PER_TON_BATT، PER_TON_PROD،</t>
        </is>
      </c>
    </row>
    <row r="62">
      <c r="A62" s="7" t="inlineStr">
        <is>
          <t>PER_KWH، PER_M3، ANNUAL (مبلغ سالانه)، PCT_REV (درصد از درآمد)، PCT_ASSET (درصد ارزش دفتری)،</t>
        </is>
      </c>
    </row>
    <row r="63">
      <c r="A63" s="7" t="inlineStr">
        <is>
          <t>DEP (استهلاک از موتور دارایی‌ها)، PAY:n (طبقه حقوقی n)، SRV:n (مرکز خدماتی n).</t>
        </is>
      </c>
    </row>
    <row r="64">
      <c r="A64" s="7" t="inlineStr">
        <is>
          <t>شاخص تعدیل: CPI / WAGE / ENERGY / PPI / FX / NONE. مبنای تخصیص: THROUGHPUT / MACHINE_HOURS /</t>
        </is>
      </c>
    </row>
    <row r="65">
      <c r="A65" s="7" t="inlineStr">
        <is>
          <t>HEADCOUNT / POWER / AREA / WATER / SRV (تخصیص از جدول مراکز خدماتی).</t>
        </is>
      </c>
    </row>
  </sheetData>
  <dataValidations count="5">
    <dataValidation sqref="D33:D59" showDropDown="0" showInputMessage="0" showErrorMessage="0" allowBlank="1" type="list">
      <formula1>"DPC,OPC,FPC"</formula1>
    </dataValidation>
    <dataValidation sqref="E33:E59" showDropDown="0" showInputMessage="0" showErrorMessage="0" allowBlank="1" type="list">
      <formula1>"SCRAP_LME,PER_TON_BATT,PER_TON_PROD,PER_KWH,PER_M3,ANNUAL,PCT_REV,PCT_ASSET,DEP,PAY,SRV"</formula1>
    </dataValidation>
    <dataValidation sqref="G33:G59" showDropDown="0" showInputMessage="0" showErrorMessage="0" allowBlank="1" type="list">
      <formula1>"CPI,WAGE,ENERGY,PPI,FX,NONE"</formula1>
    </dataValidation>
    <dataValidation sqref="H33:H59" showDropDown="0" showInputMessage="0" showErrorMessage="0" allowBlank="1" type="list">
      <formula1>"THROUGHPUT,MACHINE_HOURS,HEADCOUNT,POWER,AREA,WATER,SRV"</formula1>
    </dataValidation>
    <dataValidation sqref="I33:I59" showDropDown="0" showInputMessage="0" showErrorMessage="0" allowBlank="1" type="list">
      <formula1>"V,F"</formula1>
    </dataValidation>
  </dataValidation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Q20"/>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۵. سیاست‌های سرمایه در گردش و چرخه نقدینگی</t>
        </is>
      </c>
      <c r="B1" s="2" t="inlineStr">
        <is>
          <t>لایه ورودی</t>
        </is>
      </c>
    </row>
    <row r="2">
      <c r="A2" s="3" t="inlineStr">
        <is>
          <t>روزهای موجودی، دریافتنی و پرداختنی برای محاسبهٔ چرخهٔ تبدیل نقد (CCC).</t>
        </is>
      </c>
    </row>
    <row r="3"/>
    <row r="4"/>
    <row r="5"/>
    <row r="6"/>
    <row r="7">
      <c r="A7" s="4" t="inlineStr">
        <is>
          <t>الف) دوره‌های سرمایه در گردش (روز)</t>
        </is>
      </c>
      <c r="B7" s="5" t="n"/>
      <c r="C7" s="5" t="n"/>
      <c r="D7" s="5" t="n"/>
      <c r="E7" s="5" t="n"/>
      <c r="F7" s="5" t="n"/>
      <c r="G7" s="5" t="n"/>
      <c r="H7" s="5" t="n"/>
      <c r="I7" s="5" t="n"/>
      <c r="J7" s="5" t="n"/>
      <c r="K7" s="5" t="n"/>
      <c r="L7" s="5" t="n"/>
      <c r="M7" s="5" t="n"/>
      <c r="N7" s="5" t="n"/>
      <c r="O7" s="5" t="n"/>
      <c r="P7" s="5" t="n"/>
      <c r="Q7" s="5" t="n"/>
    </row>
    <row r="8">
      <c r="A8" s="15" t="inlineStr">
        <is>
          <t>موجودی مواد اولیه (باتری ضایعاتی)</t>
        </is>
      </c>
      <c r="B8" s="16" t="inlineStr">
        <is>
          <t>WC.dio_rm</t>
        </is>
      </c>
      <c r="C8" s="17" t="inlineStr">
        <is>
          <t>روز</t>
        </is>
      </c>
      <c r="D8" s="21" t="n">
        <v>25</v>
      </c>
    </row>
    <row r="9">
      <c r="A9" s="15" t="inlineStr">
        <is>
          <t>موجودی کالای در جریان ساخت</t>
        </is>
      </c>
      <c r="B9" s="16" t="inlineStr">
        <is>
          <t>WC.dio_wip</t>
        </is>
      </c>
      <c r="C9" s="17" t="inlineStr">
        <is>
          <t>روز</t>
        </is>
      </c>
      <c r="D9" s="21" t="n">
        <v>8</v>
      </c>
    </row>
    <row r="10">
      <c r="A10" s="15" t="inlineStr">
        <is>
          <t>موجودی محصول نهایی</t>
        </is>
      </c>
      <c r="B10" s="16" t="inlineStr">
        <is>
          <t>WC.dio_fg</t>
        </is>
      </c>
      <c r="C10" s="17" t="inlineStr">
        <is>
          <t>روز</t>
        </is>
      </c>
      <c r="D10" s="21" t="n">
        <v>15</v>
      </c>
    </row>
    <row r="11">
      <c r="A11" s="15" t="inlineStr">
        <is>
          <t>موجودی مواد مصرفی و قطعات یدکی</t>
        </is>
      </c>
      <c r="B11" s="16" t="inlineStr">
        <is>
          <t>WC.dio_cons</t>
        </is>
      </c>
      <c r="C11" s="17" t="inlineStr">
        <is>
          <t>روز</t>
        </is>
      </c>
      <c r="D11" s="21" t="n">
        <v>30</v>
      </c>
    </row>
    <row r="12">
      <c r="A12" s="15" t="inlineStr">
        <is>
          <t>دوره وصول مطالبات (DSO)</t>
        </is>
      </c>
      <c r="B12" s="16" t="inlineStr">
        <is>
          <t>WC.dso</t>
        </is>
      </c>
      <c r="C12" s="17" t="inlineStr">
        <is>
          <t>روز</t>
        </is>
      </c>
      <c r="D12" s="21" t="n">
        <v>45</v>
      </c>
    </row>
    <row r="13">
      <c r="A13" s="15" t="inlineStr">
        <is>
          <t>دوره پرداخت بدهی‌ها (DPO)</t>
        </is>
      </c>
      <c r="B13" s="16" t="inlineStr">
        <is>
          <t>WC.dpo</t>
        </is>
      </c>
      <c r="C13" s="17" t="inlineStr">
        <is>
          <t>روز</t>
        </is>
      </c>
      <c r="D13" s="21" t="n">
        <v>40</v>
      </c>
    </row>
    <row r="14">
      <c r="A14" s="15" t="inlineStr">
        <is>
          <t>دوره پرداخت مالیات</t>
        </is>
      </c>
      <c r="B14" s="16" t="inlineStr">
        <is>
          <t>WC.dpo_tax</t>
        </is>
      </c>
      <c r="C14" s="17" t="inlineStr">
        <is>
          <t>روز</t>
        </is>
      </c>
      <c r="D14" s="21" t="n">
        <v>30</v>
      </c>
    </row>
    <row r="15">
      <c r="A15" s="15" t="inlineStr">
        <is>
          <t>ذخیره نقدی عملیاتی (روز هزینه نقدی)</t>
        </is>
      </c>
      <c r="B15" s="16" t="inlineStr">
        <is>
          <t>WC.cashdays</t>
        </is>
      </c>
      <c r="C15" s="17" t="inlineStr">
        <is>
          <t>روز</t>
        </is>
      </c>
      <c r="D15" s="21" t="n">
        <v>15</v>
      </c>
    </row>
    <row r="16"/>
    <row r="17">
      <c r="A17" s="4" t="inlineStr">
        <is>
          <t>ب) سیاست‌های تأمین مالی سرمایه در گردش</t>
        </is>
      </c>
      <c r="B17" s="5" t="n"/>
      <c r="C17" s="5" t="n"/>
      <c r="D17" s="5" t="n"/>
      <c r="E17" s="5" t="n"/>
      <c r="F17" s="5" t="n"/>
      <c r="G17" s="5" t="n"/>
      <c r="H17" s="5" t="n"/>
      <c r="I17" s="5" t="n"/>
      <c r="J17" s="5" t="n"/>
      <c r="K17" s="5" t="n"/>
      <c r="L17" s="5" t="n"/>
      <c r="M17" s="5" t="n"/>
      <c r="N17" s="5" t="n"/>
      <c r="O17" s="5" t="n"/>
      <c r="P17" s="5" t="n"/>
      <c r="Q17" s="5" t="n"/>
    </row>
    <row r="18">
      <c r="A18" s="15" t="inlineStr">
        <is>
          <t>سهم سرمایه در گردش تأمین‌شده از تسهیلات کوتاه‌مدت</t>
        </is>
      </c>
      <c r="B18" s="16" t="inlineStr">
        <is>
          <t>WC.wc_loan_share</t>
        </is>
      </c>
      <c r="C18" s="17" t="inlineStr">
        <is>
          <t>درصد</t>
        </is>
      </c>
      <c r="D18" s="19" t="n">
        <v>0.3</v>
      </c>
    </row>
    <row r="19">
      <c r="A19" s="15" t="inlineStr">
        <is>
          <t>نرخ ذخیره مطالبات مشکوک‌الوصول</t>
        </is>
      </c>
      <c r="B19" s="16" t="inlineStr">
        <is>
          <t>WC.bad_debt</t>
        </is>
      </c>
      <c r="C19" s="17" t="inlineStr">
        <is>
          <t>درصد</t>
        </is>
      </c>
      <c r="D19" s="29" t="n">
        <v>0.01</v>
      </c>
    </row>
    <row r="20">
      <c r="A20" s="15" t="inlineStr">
        <is>
          <t>ضریب کاهش ارزش موجودی (کهنگی)</t>
        </is>
      </c>
      <c r="B20" s="16" t="inlineStr">
        <is>
          <t>WC.inv_obs</t>
        </is>
      </c>
      <c r="C20" s="17" t="inlineStr">
        <is>
          <t>درصد</t>
        </is>
      </c>
      <c r="D20" s="29" t="n">
        <v>0.005</v>
      </c>
    </row>
  </sheetData>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Q34"/>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۶. ساختار سرمایه، تأمین مالی و برنامه CAPEX</t>
        </is>
      </c>
      <c r="B1" s="2" t="inlineStr">
        <is>
          <t>لایه ورودی</t>
        </is>
      </c>
    </row>
    <row r="2">
      <c r="A2" s="3" t="inlineStr">
        <is>
          <t>درصد بدهی و حقوق صاحبان سهام، نرخ‌های بهره، دوره بازپرداخت، کارمزدها و برنامه تزریق سرمایه.</t>
        </is>
      </c>
    </row>
    <row r="3"/>
    <row r="4"/>
    <row r="5"/>
    <row r="6"/>
    <row r="7">
      <c r="A7" s="4" t="inlineStr">
        <is>
          <t>الف) برنامه سرمایه‌گذاری ثابت (CAPEX)</t>
        </is>
      </c>
      <c r="B7" s="5" t="n"/>
      <c r="C7" s="5" t="n"/>
      <c r="D7" s="5" t="n"/>
      <c r="E7" s="5" t="n"/>
      <c r="F7" s="5" t="n"/>
      <c r="G7" s="5" t="n"/>
      <c r="H7" s="5" t="n"/>
      <c r="I7" s="5" t="n"/>
      <c r="J7" s="5" t="n"/>
      <c r="K7" s="5" t="n"/>
      <c r="L7" s="5" t="n"/>
      <c r="M7" s="5" t="n"/>
      <c r="N7" s="5" t="n"/>
      <c r="O7" s="5" t="n"/>
      <c r="P7" s="5" t="n"/>
      <c r="Q7" s="5" t="n"/>
    </row>
    <row r="8">
      <c r="D8" s="12" t="inlineStr">
        <is>
          <t>مبلغ کل</t>
        </is>
      </c>
      <c r="E8" s="12" t="inlineStr">
        <is>
          <t>سهم ارزی</t>
        </is>
      </c>
      <c r="F8" s="12" t="inlineStr">
        <is>
          <t>عمر مفید</t>
        </is>
      </c>
      <c r="G8" s="12" t="inlineStr">
        <is>
          <t>دوره جایگزینی</t>
        </is>
      </c>
      <c r="H8" s="12" t="inlineStr">
        <is>
          <t>درصد جایگزینی</t>
        </is>
      </c>
      <c r="I8" s="12" t="inlineStr">
        <is>
          <t>ارزش اسقاط</t>
        </is>
      </c>
      <c r="J8" s="12" t="inlineStr">
        <is>
          <t>تزریق t=0</t>
        </is>
      </c>
      <c r="K8" s="12" t="inlineStr">
        <is>
          <t>تزریق t=1</t>
        </is>
      </c>
      <c r="L8" s="12" t="inlineStr">
        <is>
          <t>تزریق t=2</t>
        </is>
      </c>
    </row>
    <row r="9">
      <c r="A9" s="8" t="inlineStr">
        <is>
          <t>زمین</t>
        </is>
      </c>
      <c r="B9" s="16" t="inlineStr">
        <is>
          <t>CAP-01</t>
        </is>
      </c>
      <c r="C9" s="17" t="inlineStr">
        <is>
          <t>میلیون ریال</t>
        </is>
      </c>
      <c r="D9" s="21" t="n">
        <v>300000</v>
      </c>
      <c r="E9" s="19" t="n">
        <v>0</v>
      </c>
      <c r="F9" s="21" t="n">
        <v>0</v>
      </c>
      <c r="G9" s="21" t="n">
        <v>0</v>
      </c>
      <c r="H9" s="19" t="n">
        <v>0</v>
      </c>
      <c r="I9" s="19" t="n">
        <v>1</v>
      </c>
      <c r="J9" s="19" t="n">
        <v>1</v>
      </c>
      <c r="K9" s="19" t="n">
        <v>0</v>
      </c>
      <c r="L9" s="19" t="n">
        <v>0</v>
      </c>
    </row>
    <row r="10">
      <c r="A10" s="8" t="inlineStr">
        <is>
          <t>محوطه‌سازی و ساختمان</t>
        </is>
      </c>
      <c r="B10" s="16" t="inlineStr">
        <is>
          <t>CAP-02</t>
        </is>
      </c>
      <c r="C10" s="17" t="inlineStr">
        <is>
          <t>میلیون ریال</t>
        </is>
      </c>
      <c r="D10" s="21" t="n">
        <v>1600000</v>
      </c>
      <c r="E10" s="19" t="n">
        <v>0.1</v>
      </c>
      <c r="F10" s="21" t="n">
        <v>30</v>
      </c>
      <c r="G10" s="21" t="n">
        <v>0</v>
      </c>
      <c r="H10" s="19" t="n">
        <v>0</v>
      </c>
      <c r="I10" s="19" t="n">
        <v>0.3</v>
      </c>
      <c r="J10" s="19" t="n">
        <v>0.75</v>
      </c>
      <c r="K10" s="19" t="n">
        <v>0.25</v>
      </c>
      <c r="L10" s="19" t="n">
        <v>0</v>
      </c>
    </row>
    <row r="11">
      <c r="A11" s="8" t="inlineStr">
        <is>
          <t>ماشین‌آلات وارداتی</t>
        </is>
      </c>
      <c r="B11" s="16" t="inlineStr">
        <is>
          <t>CAP-03</t>
        </is>
      </c>
      <c r="C11" s="17" t="inlineStr">
        <is>
          <t>میلیون ریال</t>
        </is>
      </c>
      <c r="D11" s="21" t="n">
        <v>4800000</v>
      </c>
      <c r="E11" s="19" t="n">
        <v>0.9</v>
      </c>
      <c r="F11" s="21" t="n">
        <v>15</v>
      </c>
      <c r="G11" s="21" t="n">
        <v>0</v>
      </c>
      <c r="H11" s="19" t="n">
        <v>0.6</v>
      </c>
      <c r="I11" s="19" t="n">
        <v>0.1</v>
      </c>
      <c r="J11" s="19" t="n">
        <v>0.75</v>
      </c>
      <c r="K11" s="19" t="n">
        <v>0.25</v>
      </c>
      <c r="L11" s="19" t="n">
        <v>0</v>
      </c>
    </row>
    <row r="12">
      <c r="A12" s="8" t="inlineStr">
        <is>
          <t>ماشین‌آلات داخلی</t>
        </is>
      </c>
      <c r="B12" s="16" t="inlineStr">
        <is>
          <t>CAP-04</t>
        </is>
      </c>
      <c r="C12" s="17" t="inlineStr">
        <is>
          <t>میلیون ریال</t>
        </is>
      </c>
      <c r="D12" s="21" t="n">
        <v>1900000</v>
      </c>
      <c r="E12" s="19" t="n">
        <v>0.25</v>
      </c>
      <c r="F12" s="21" t="n">
        <v>12</v>
      </c>
      <c r="G12" s="21" t="n">
        <v>12</v>
      </c>
      <c r="H12" s="19" t="n">
        <v>0.7</v>
      </c>
      <c r="I12" s="19" t="n">
        <v>0.1</v>
      </c>
      <c r="J12" s="19" t="n">
        <v>0.75</v>
      </c>
      <c r="K12" s="19" t="n">
        <v>0.25</v>
      </c>
      <c r="L12" s="19" t="n">
        <v>0</v>
      </c>
    </row>
    <row r="13">
      <c r="A13" s="8" t="inlineStr">
        <is>
          <t>تأسیسات و تجهیزات جانبی</t>
        </is>
      </c>
      <c r="B13" s="16" t="inlineStr">
        <is>
          <t>CAP-05</t>
        </is>
      </c>
      <c r="C13" s="17" t="inlineStr">
        <is>
          <t>میلیون ریال</t>
        </is>
      </c>
      <c r="D13" s="21" t="n">
        <v>1200000</v>
      </c>
      <c r="E13" s="19" t="n">
        <v>0.4</v>
      </c>
      <c r="F13" s="21" t="n">
        <v>15</v>
      </c>
      <c r="G13" s="21" t="n">
        <v>0</v>
      </c>
      <c r="H13" s="19" t="n">
        <v>0.5</v>
      </c>
      <c r="I13" s="19" t="n">
        <v>0.1</v>
      </c>
      <c r="J13" s="19" t="n">
        <v>0.75</v>
      </c>
      <c r="K13" s="19" t="n">
        <v>0.25</v>
      </c>
      <c r="L13" s="19" t="n">
        <v>0</v>
      </c>
    </row>
    <row r="14">
      <c r="A14" s="8" t="inlineStr">
        <is>
          <t>تصفیه‌خانه و تجهیزات زیست‌محیطی</t>
        </is>
      </c>
      <c r="B14" s="16" t="inlineStr">
        <is>
          <t>CAP-06</t>
        </is>
      </c>
      <c r="C14" s="17" t="inlineStr">
        <is>
          <t>میلیون ریال</t>
        </is>
      </c>
      <c r="D14" s="21" t="n">
        <v>1050000</v>
      </c>
      <c r="E14" s="19" t="n">
        <v>0.3</v>
      </c>
      <c r="F14" s="21" t="n">
        <v>12</v>
      </c>
      <c r="G14" s="21" t="n">
        <v>12</v>
      </c>
      <c r="H14" s="19" t="n">
        <v>0.7</v>
      </c>
      <c r="I14" s="19" t="n">
        <v>0.1</v>
      </c>
      <c r="J14" s="19" t="n">
        <v>0.75</v>
      </c>
      <c r="K14" s="19" t="n">
        <v>0.25</v>
      </c>
      <c r="L14" s="19" t="n">
        <v>0</v>
      </c>
    </row>
    <row r="15">
      <c r="A15" s="8" t="inlineStr">
        <is>
          <t>تجهیزات حمل‌ونقل داخلی</t>
        </is>
      </c>
      <c r="B15" s="16" t="inlineStr">
        <is>
          <t>CAP-07</t>
        </is>
      </c>
      <c r="C15" s="17" t="inlineStr">
        <is>
          <t>میلیون ریال</t>
        </is>
      </c>
      <c r="D15" s="21" t="n">
        <v>700000</v>
      </c>
      <c r="E15" s="19" t="n">
        <v>0.2</v>
      </c>
      <c r="F15" s="21" t="n">
        <v>8</v>
      </c>
      <c r="G15" s="21" t="n">
        <v>8</v>
      </c>
      <c r="H15" s="19" t="n">
        <v>0.8</v>
      </c>
      <c r="I15" s="19" t="n">
        <v>0.15</v>
      </c>
      <c r="J15" s="19" t="n">
        <v>0.6</v>
      </c>
      <c r="K15" s="19" t="n">
        <v>0.4</v>
      </c>
      <c r="L15" s="19" t="n">
        <v>0</v>
      </c>
    </row>
    <row r="16">
      <c r="A16" s="8" t="inlineStr">
        <is>
          <t>آزمایشگاه و ابزار دقیق</t>
        </is>
      </c>
      <c r="B16" s="16" t="inlineStr">
        <is>
          <t>CAP-08</t>
        </is>
      </c>
      <c r="C16" s="17" t="inlineStr">
        <is>
          <t>میلیون ریال</t>
        </is>
      </c>
      <c r="D16" s="21" t="n">
        <v>450000</v>
      </c>
      <c r="E16" s="19" t="n">
        <v>0.6</v>
      </c>
      <c r="F16" s="21" t="n">
        <v>10</v>
      </c>
      <c r="G16" s="21" t="n">
        <v>10</v>
      </c>
      <c r="H16" s="19" t="n">
        <v>0.6</v>
      </c>
      <c r="I16" s="19" t="n">
        <v>0.1</v>
      </c>
      <c r="J16" s="19" t="n">
        <v>0.5</v>
      </c>
      <c r="K16" s="19" t="n">
        <v>0.5</v>
      </c>
      <c r="L16" s="19" t="n">
        <v>0</v>
      </c>
    </row>
    <row r="17">
      <c r="A17" s="8" t="inlineStr">
        <is>
          <t>مهندسی، نصب و راه‌اندازی</t>
        </is>
      </c>
      <c r="B17" s="16" t="inlineStr">
        <is>
          <t>CAP-09</t>
        </is>
      </c>
      <c r="C17" s="17" t="inlineStr">
        <is>
          <t>میلیون ریال</t>
        </is>
      </c>
      <c r="D17" s="21" t="n">
        <v>900000</v>
      </c>
      <c r="E17" s="19" t="n">
        <v>0.1</v>
      </c>
      <c r="F17" s="21" t="n">
        <v>15</v>
      </c>
      <c r="G17" s="21" t="n">
        <v>0</v>
      </c>
      <c r="H17" s="19" t="n">
        <v>0</v>
      </c>
      <c r="I17" s="19" t="n">
        <v>0</v>
      </c>
      <c r="J17" s="19" t="n">
        <v>0.6</v>
      </c>
      <c r="K17" s="19" t="n">
        <v>0.4</v>
      </c>
      <c r="L17" s="19" t="n">
        <v>0</v>
      </c>
    </row>
    <row r="18">
      <c r="A18" s="8" t="inlineStr">
        <is>
          <t>هزینه‌های پیش از بهره‌برداری</t>
        </is>
      </c>
      <c r="B18" s="16" t="inlineStr">
        <is>
          <t>CAP-10</t>
        </is>
      </c>
      <c r="C18" s="17" t="inlineStr">
        <is>
          <t>میلیون ریال</t>
        </is>
      </c>
      <c r="D18" s="21" t="n">
        <v>420000</v>
      </c>
      <c r="E18" s="19" t="n">
        <v>0.05</v>
      </c>
      <c r="F18" s="21" t="n">
        <v>5</v>
      </c>
      <c r="G18" s="21" t="n">
        <v>5</v>
      </c>
      <c r="H18" s="19" t="n">
        <v>0.5</v>
      </c>
      <c r="I18" s="19" t="n">
        <v>0</v>
      </c>
      <c r="J18" s="19" t="n">
        <v>0.3</v>
      </c>
      <c r="K18" s="19" t="n">
        <v>0.5</v>
      </c>
      <c r="L18" s="19" t="n">
        <v>0.2</v>
      </c>
    </row>
    <row r="19">
      <c r="A19" s="8" t="inlineStr">
        <is>
          <t>ذخیره احتیاطی فیزیکی</t>
        </is>
      </c>
      <c r="B19" s="16" t="inlineStr">
        <is>
          <t>CAP-11</t>
        </is>
      </c>
      <c r="C19" s="17" t="inlineStr">
        <is>
          <t>میلیون ریال</t>
        </is>
      </c>
      <c r="D19" s="21" t="n">
        <v>1200000</v>
      </c>
      <c r="E19" s="19" t="n">
        <v>0.4</v>
      </c>
      <c r="F19" s="21" t="n">
        <v>15</v>
      </c>
      <c r="G19" s="21" t="n">
        <v>0</v>
      </c>
      <c r="H19" s="19" t="n">
        <v>0</v>
      </c>
      <c r="I19" s="19" t="n">
        <v>0.1</v>
      </c>
      <c r="J19" s="19" t="n">
        <v>0.4</v>
      </c>
      <c r="K19" s="19" t="n">
        <v>0.4</v>
      </c>
      <c r="L19" s="19" t="n">
        <v>0.2</v>
      </c>
    </row>
    <row r="20"/>
    <row r="21">
      <c r="A21" s="7" t="inlineStr">
        <is>
          <t>توضیح: عمر مفید صفر = مستهلک نمی‌شود (زمین). دوره جایگزینی صفر = جایگزینی در افق مدل ندارد.</t>
        </is>
      </c>
    </row>
    <row r="22"/>
    <row r="23">
      <c r="A23" s="4" t="inlineStr">
        <is>
          <t>ب) ساختار تأمین مالی</t>
        </is>
      </c>
      <c r="B23" s="5" t="n"/>
      <c r="C23" s="5" t="n"/>
      <c r="D23" s="5" t="n"/>
      <c r="E23" s="5" t="n"/>
      <c r="F23" s="5" t="n"/>
      <c r="G23" s="5" t="n"/>
      <c r="H23" s="5" t="n"/>
      <c r="I23" s="5" t="n"/>
      <c r="J23" s="5" t="n"/>
      <c r="K23" s="5" t="n"/>
      <c r="L23" s="5" t="n"/>
      <c r="M23" s="5" t="n"/>
      <c r="N23" s="5" t="n"/>
      <c r="O23" s="5" t="n"/>
      <c r="P23" s="5" t="n"/>
      <c r="Q23" s="5" t="n"/>
    </row>
    <row r="24">
      <c r="A24" s="15" t="inlineStr">
        <is>
          <t>سهم تسهیلات بلندمدت از CAPEX</t>
        </is>
      </c>
      <c r="B24" s="16" t="inlineStr">
        <is>
          <t>FIN.debt_share</t>
        </is>
      </c>
      <c r="C24" s="17" t="inlineStr">
        <is>
          <t>درصد</t>
        </is>
      </c>
      <c r="D24" s="19" t="n">
        <v>0.6</v>
      </c>
    </row>
    <row r="25">
      <c r="A25" s="15" t="inlineStr">
        <is>
          <t>نرخ سود تسهیلات بلندمدت</t>
        </is>
      </c>
      <c r="B25" s="16" t="inlineStr">
        <is>
          <t>FIN.kd</t>
        </is>
      </c>
      <c r="C25" s="17" t="inlineStr">
        <is>
          <t>درصد</t>
        </is>
      </c>
      <c r="D25" s="19" t="n">
        <v>0.22</v>
      </c>
    </row>
    <row r="26">
      <c r="A26" s="15" t="inlineStr">
        <is>
          <t>کارمزد تخصیص/تعهد یکجا</t>
        </is>
      </c>
      <c r="B26" s="16" t="inlineStr">
        <is>
          <t>FIN.fee_arr</t>
        </is>
      </c>
      <c r="C26" s="17" t="inlineStr">
        <is>
          <t>درصد</t>
        </is>
      </c>
      <c r="D26" s="29" t="n">
        <v>0.015</v>
      </c>
    </row>
    <row r="27">
      <c r="A27" s="15" t="inlineStr">
        <is>
          <t>کارمزد تعهد روی مانده استفاده‌نشده</t>
        </is>
      </c>
      <c r="B27" s="16" t="inlineStr">
        <is>
          <t>FIN.fee_com</t>
        </is>
      </c>
      <c r="C27" s="17" t="inlineStr">
        <is>
          <t>درصد</t>
        </is>
      </c>
      <c r="D27" s="29" t="n">
        <v>0.005</v>
      </c>
    </row>
    <row r="28">
      <c r="A28" s="15" t="inlineStr">
        <is>
          <t>شاخص سال شروع بازپرداخت (t)</t>
        </is>
      </c>
      <c r="B28" s="16" t="inlineStr">
        <is>
          <t>FIN.repay_start</t>
        </is>
      </c>
      <c r="C28" s="17" t="inlineStr">
        <is>
          <t>شاخص</t>
        </is>
      </c>
      <c r="D28" s="21" t="n">
        <v>2</v>
      </c>
    </row>
    <row r="29">
      <c r="A29" s="15" t="inlineStr">
        <is>
          <t>دوره بازپرداخت (سال)</t>
        </is>
      </c>
      <c r="B29" s="16" t="inlineStr">
        <is>
          <t>FIN.repay_years</t>
        </is>
      </c>
      <c r="C29" s="17" t="inlineStr">
        <is>
          <t>سال</t>
        </is>
      </c>
      <c r="D29" s="21" t="n">
        <v>8</v>
      </c>
    </row>
    <row r="30">
      <c r="A30" s="15" t="inlineStr">
        <is>
          <t>روش بازپرداخت (1=اقساط مساوی اصل / 2=آنویتی)</t>
        </is>
      </c>
      <c r="B30" s="16" t="inlineStr">
        <is>
          <t>FIN.repay_method</t>
        </is>
      </c>
      <c r="C30" s="17" t="inlineStr">
        <is>
          <t>1/2</t>
        </is>
      </c>
      <c r="D30" s="21" t="n">
        <v>1</v>
      </c>
    </row>
    <row r="31">
      <c r="A31" s="15" t="inlineStr">
        <is>
          <t>نرخ سود تسهیلات کوتاه‌مدت (سرمایه در گردش)</t>
        </is>
      </c>
      <c r="B31" s="16" t="inlineStr">
        <is>
          <t>FIN.kd_st</t>
        </is>
      </c>
      <c r="C31" s="17" t="inlineStr">
        <is>
          <t>درصد</t>
        </is>
      </c>
      <c r="D31" s="19" t="n">
        <v>0.24</v>
      </c>
    </row>
    <row r="32">
      <c r="A32" s="15" t="inlineStr">
        <is>
          <t>حداقل DSCR قراردادی</t>
        </is>
      </c>
      <c r="B32" s="16" t="inlineStr">
        <is>
          <t>FIN.min_dscr</t>
        </is>
      </c>
      <c r="C32" s="17" t="inlineStr">
        <is>
          <t>ضریب</t>
        </is>
      </c>
      <c r="D32" s="20" t="n">
        <v>1.3</v>
      </c>
    </row>
    <row r="33">
      <c r="A33" s="15" t="inlineStr">
        <is>
          <t>سیاست تقسیم سود (درصد از سود خالص)</t>
        </is>
      </c>
      <c r="B33" s="16" t="inlineStr">
        <is>
          <t>FIN.payout</t>
        </is>
      </c>
      <c r="C33" s="17" t="inlineStr">
        <is>
          <t>درصد</t>
        </is>
      </c>
      <c r="D33" s="19" t="n">
        <v>0.4</v>
      </c>
    </row>
    <row r="34">
      <c r="A34" s="15" t="inlineStr">
        <is>
          <t>نرخ سود سپرده/درآمد غیرعملیاتی نقد</t>
        </is>
      </c>
      <c r="B34" s="16" t="inlineStr">
        <is>
          <t>FIN.i_income</t>
        </is>
      </c>
      <c r="C34" s="17" t="inlineStr">
        <is>
          <t>درصد</t>
        </is>
      </c>
      <c r="D34" s="19" t="n">
        <v>0.1</v>
      </c>
    </row>
  </sheetData>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A1:Q31"/>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۷. تعریف سناریوها و محورهای حساسیت</t>
        </is>
      </c>
      <c r="B1" s="2" t="inlineStr">
        <is>
          <t>لایه ورودی</t>
        </is>
      </c>
    </row>
    <row r="2">
      <c r="A2" s="3" t="inlineStr">
        <is>
          <t>ضرایب تعدیل مفروضات کلیدی در سناریوهای پایه / خوش‌بینانه / بدبینانه و محورهای ماتریس حساسیت.</t>
        </is>
      </c>
    </row>
    <row r="3"/>
    <row r="4"/>
    <row r="5"/>
    <row r="6"/>
    <row r="7">
      <c r="A7" s="4" t="inlineStr">
        <is>
          <t>الف) انتخاب سناریوی فعال</t>
        </is>
      </c>
      <c r="B7" s="5" t="n"/>
      <c r="C7" s="5" t="n"/>
      <c r="D7" s="5" t="n"/>
      <c r="E7" s="5" t="n"/>
      <c r="F7" s="5" t="n"/>
      <c r="G7" s="5" t="n"/>
      <c r="H7" s="5" t="n"/>
      <c r="I7" s="5" t="n"/>
      <c r="J7" s="5" t="n"/>
      <c r="K7" s="5" t="n"/>
      <c r="L7" s="5" t="n"/>
      <c r="M7" s="5" t="n"/>
      <c r="N7" s="5" t="n"/>
      <c r="O7" s="5" t="n"/>
      <c r="P7" s="5" t="n"/>
      <c r="Q7" s="5" t="n"/>
    </row>
    <row r="8">
      <c r="A8" s="15" t="inlineStr">
        <is>
          <t>سناریوی فعال (۱=پایه، ۲=خوش‌بینانه، ۳=بدبینانه)</t>
        </is>
      </c>
      <c r="B8" s="16" t="inlineStr">
        <is>
          <t>SCEN.active_in</t>
        </is>
      </c>
      <c r="C8" s="17" t="inlineStr">
        <is>
          <t>شاخص</t>
        </is>
      </c>
      <c r="D8" s="21" t="n">
        <v>1</v>
      </c>
    </row>
    <row r="9">
      <c r="A9" s="7" t="inlineStr">
        <is>
          <t>تغییر این سلول کل مدل را به‌صورت زنجیره‌ای به‌روزرسانی می‌کند (ورودی ← موتور ← خروجی).</t>
        </is>
      </c>
    </row>
    <row r="10"/>
    <row r="11">
      <c r="A11" s="4" t="inlineStr">
        <is>
          <t>ب) جدول ضرایب سناریوها</t>
        </is>
      </c>
      <c r="B11" s="5" t="n"/>
      <c r="C11" s="5" t="n"/>
      <c r="D11" s="5" t="n"/>
      <c r="E11" s="5" t="n"/>
      <c r="F11" s="5" t="n"/>
      <c r="G11" s="5" t="n"/>
      <c r="H11" s="5" t="n"/>
      <c r="I11" s="5" t="n"/>
      <c r="J11" s="5" t="n"/>
      <c r="K11" s="5" t="n"/>
      <c r="L11" s="5" t="n"/>
      <c r="M11" s="5" t="n"/>
      <c r="N11" s="5" t="n"/>
      <c r="O11" s="5" t="n"/>
      <c r="P11" s="5" t="n"/>
      <c r="Q11" s="5" t="n"/>
    </row>
    <row r="12">
      <c r="D12" s="12" t="inlineStr">
        <is>
          <t>پایه</t>
        </is>
      </c>
      <c r="E12" s="12" t="inlineStr">
        <is>
          <t>خوش‌بینانه</t>
        </is>
      </c>
      <c r="F12" s="12" t="inlineStr">
        <is>
          <t>بدبینانه</t>
        </is>
      </c>
    </row>
    <row r="13">
      <c r="A13" s="8" t="inlineStr">
        <is>
          <t>ضریب حجم تولید و فروش</t>
        </is>
      </c>
      <c r="B13" s="16" t="inlineStr">
        <is>
          <t>VOL</t>
        </is>
      </c>
      <c r="C13" s="17" t="inlineStr">
        <is>
          <t>ضریب</t>
        </is>
      </c>
      <c r="D13" s="20" t="n">
        <v>1</v>
      </c>
      <c r="E13" s="20" t="n">
        <v>1.08</v>
      </c>
      <c r="F13" s="20" t="n">
        <v>0.88</v>
      </c>
    </row>
    <row r="14">
      <c r="A14" s="8" t="inlineStr">
        <is>
          <t>ضریب قیمت فروش محصولات</t>
        </is>
      </c>
      <c r="B14" s="16" t="inlineStr">
        <is>
          <t>PRICE</t>
        </is>
      </c>
      <c r="C14" s="17" t="inlineStr">
        <is>
          <t>ضریب</t>
        </is>
      </c>
      <c r="D14" s="20" t="n">
        <v>1</v>
      </c>
      <c r="E14" s="20" t="n">
        <v>1.1</v>
      </c>
      <c r="F14" s="20" t="n">
        <v>0.9</v>
      </c>
    </row>
    <row r="15">
      <c r="A15" s="8" t="inlineStr">
        <is>
          <t>ضریب قیمت خرید باتری ضایعاتی</t>
        </is>
      </c>
      <c r="B15" s="16" t="inlineStr">
        <is>
          <t>RM</t>
        </is>
      </c>
      <c r="C15" s="17" t="inlineStr">
        <is>
          <t>ضریب</t>
        </is>
      </c>
      <c r="D15" s="20" t="n">
        <v>1</v>
      </c>
      <c r="E15" s="20" t="n">
        <v>0.95</v>
      </c>
      <c r="F15" s="20" t="n">
        <v>1.08</v>
      </c>
    </row>
    <row r="16">
      <c r="A16" s="8" t="inlineStr">
        <is>
          <t>ضریب سایر هزینه‌های متغیر</t>
        </is>
      </c>
      <c r="B16" s="16" t="inlineStr">
        <is>
          <t>VAR</t>
        </is>
      </c>
      <c r="C16" s="17" t="inlineStr">
        <is>
          <t>ضریب</t>
        </is>
      </c>
      <c r="D16" s="20" t="n">
        <v>1</v>
      </c>
      <c r="E16" s="20" t="n">
        <v>0.97</v>
      </c>
      <c r="F16" s="20" t="n">
        <v>1.1</v>
      </c>
    </row>
    <row r="17">
      <c r="A17" s="8" t="inlineStr">
        <is>
          <t>ضریب هزینه‌های ثابت</t>
        </is>
      </c>
      <c r="B17" s="16" t="inlineStr">
        <is>
          <t>FIX</t>
        </is>
      </c>
      <c r="C17" s="17" t="inlineStr">
        <is>
          <t>ضریب</t>
        </is>
      </c>
      <c r="D17" s="20" t="n">
        <v>1</v>
      </c>
      <c r="E17" s="20" t="n">
        <v>0.95</v>
      </c>
      <c r="F17" s="20" t="n">
        <v>1.12</v>
      </c>
    </row>
    <row r="18">
      <c r="A18" s="8" t="inlineStr">
        <is>
          <t>ضریب سرمایه‌گذاری ثابت</t>
        </is>
      </c>
      <c r="B18" s="16" t="inlineStr">
        <is>
          <t>CAPEX</t>
        </is>
      </c>
      <c r="C18" s="17" t="inlineStr">
        <is>
          <t>ضریب</t>
        </is>
      </c>
      <c r="D18" s="20" t="n">
        <v>1</v>
      </c>
      <c r="E18" s="20" t="n">
        <v>0.95</v>
      </c>
      <c r="F18" s="20" t="n">
        <v>1.15</v>
      </c>
    </row>
    <row r="19">
      <c r="A19" s="8" t="inlineStr">
        <is>
          <t>ضریب نرخ ارز</t>
        </is>
      </c>
      <c r="B19" s="16" t="inlineStr">
        <is>
          <t>FX</t>
        </is>
      </c>
      <c r="C19" s="17" t="inlineStr">
        <is>
          <t>ضریب</t>
        </is>
      </c>
      <c r="D19" s="20" t="n">
        <v>1</v>
      </c>
      <c r="E19" s="20" t="n">
        <v>1.05</v>
      </c>
      <c r="F19" s="20" t="n">
        <v>0.95</v>
      </c>
    </row>
    <row r="20">
      <c r="A20" s="8" t="inlineStr">
        <is>
          <t>تعدیل نرخ تنزیل</t>
        </is>
      </c>
      <c r="B20" s="16" t="inlineStr">
        <is>
          <t>WACC</t>
        </is>
      </c>
      <c r="C20" s="17" t="inlineStr">
        <is>
          <t>واحد درصد</t>
        </is>
      </c>
      <c r="D20" s="19" t="n">
        <v>0</v>
      </c>
      <c r="E20" s="19" t="n">
        <v>-0.02</v>
      </c>
      <c r="F20" s="19" t="n">
        <v>0.03</v>
      </c>
    </row>
    <row r="21">
      <c r="A21" s="8" t="inlineStr">
        <is>
          <t>تعدیل نرخ سود تسهیلات</t>
        </is>
      </c>
      <c r="B21" s="16" t="inlineStr">
        <is>
          <t>KD</t>
        </is>
      </c>
      <c r="C21" s="17" t="inlineStr">
        <is>
          <t>واحد درصد</t>
        </is>
      </c>
      <c r="D21" s="19" t="n">
        <v>0</v>
      </c>
      <c r="E21" s="19" t="n">
        <v>-0.01</v>
      </c>
      <c r="F21" s="19" t="n">
        <v>0.03</v>
      </c>
    </row>
    <row r="22"/>
    <row r="23">
      <c r="A23" s="4" t="inlineStr">
        <is>
          <t>ج) محورهای ماتریس حساسیت</t>
        </is>
      </c>
      <c r="B23" s="5" t="n"/>
      <c r="C23" s="5" t="n"/>
      <c r="D23" s="5" t="n"/>
      <c r="E23" s="5" t="n"/>
      <c r="F23" s="5" t="n"/>
      <c r="G23" s="5" t="n"/>
      <c r="H23" s="5" t="n"/>
      <c r="I23" s="5" t="n"/>
      <c r="J23" s="5" t="n"/>
      <c r="K23" s="5" t="n"/>
      <c r="L23" s="5" t="n"/>
      <c r="M23" s="5" t="n"/>
      <c r="N23" s="5" t="n"/>
      <c r="O23" s="5" t="n"/>
      <c r="P23" s="5" t="n"/>
      <c r="Q23" s="5" t="n"/>
    </row>
    <row r="24">
      <c r="A24" s="15" t="inlineStr">
        <is>
          <t>انحراف نرخ بهره/تنزیل</t>
        </is>
      </c>
      <c r="B24" s="16" t="inlineStr">
        <is>
          <t>SCEN.ax_rate</t>
        </is>
      </c>
      <c r="C24" s="17" t="inlineStr">
        <is>
          <t>درصد</t>
        </is>
      </c>
      <c r="D24" s="19" t="n">
        <v>-0.03</v>
      </c>
      <c r="E24" s="19" t="n">
        <v>-0.015</v>
      </c>
      <c r="F24" s="19" t="n">
        <v>0</v>
      </c>
      <c r="G24" s="19" t="n">
        <v>0.015</v>
      </c>
      <c r="H24" s="19" t="n">
        <v>0.03</v>
      </c>
    </row>
    <row r="25">
      <c r="A25" s="15" t="inlineStr">
        <is>
          <t>انحراف نرخ ارز</t>
        </is>
      </c>
      <c r="B25" s="16" t="inlineStr">
        <is>
          <t>SCEN.ax_fx</t>
        </is>
      </c>
      <c r="C25" s="17" t="inlineStr">
        <is>
          <t>درصد</t>
        </is>
      </c>
      <c r="D25" s="19" t="n">
        <v>-0.2</v>
      </c>
      <c r="E25" s="19" t="n">
        <v>-0.1</v>
      </c>
      <c r="F25" s="19" t="n">
        <v>0</v>
      </c>
      <c r="G25" s="19" t="n">
        <v>0.1</v>
      </c>
      <c r="H25" s="19" t="n">
        <v>0.2</v>
      </c>
    </row>
    <row r="26">
      <c r="A26" s="15" t="inlineStr">
        <is>
          <t>انحراف قیمت فروش</t>
        </is>
      </c>
      <c r="B26" s="16" t="inlineStr">
        <is>
          <t>SCEN.ax_price</t>
        </is>
      </c>
      <c r="C26" s="17" t="inlineStr">
        <is>
          <t>درصد</t>
        </is>
      </c>
      <c r="D26" s="19" t="n">
        <v>-0.15</v>
      </c>
      <c r="E26" s="19" t="n">
        <v>-0.075</v>
      </c>
      <c r="F26" s="19" t="n">
        <v>0</v>
      </c>
      <c r="G26" s="19" t="n">
        <v>0.075</v>
      </c>
      <c r="H26" s="19" t="n">
        <v>0.15</v>
      </c>
    </row>
    <row r="27"/>
    <row r="28">
      <c r="A28" s="4" t="inlineStr">
        <is>
          <t>د) شرح سناریوها</t>
        </is>
      </c>
      <c r="B28" s="5" t="n"/>
      <c r="C28" s="5" t="n"/>
      <c r="D28" s="5" t="n"/>
      <c r="E28" s="5" t="n"/>
      <c r="F28" s="5" t="n"/>
      <c r="G28" s="5" t="n"/>
      <c r="H28" s="5" t="n"/>
      <c r="I28" s="5" t="n"/>
      <c r="J28" s="5" t="n"/>
      <c r="K28" s="5" t="n"/>
      <c r="L28" s="5" t="n"/>
      <c r="M28" s="5" t="n"/>
      <c r="N28" s="5" t="n"/>
      <c r="O28" s="5" t="n"/>
      <c r="P28" s="5" t="n"/>
      <c r="Q28" s="5" t="n"/>
    </row>
    <row r="29">
      <c r="A29" s="7" t="inlineStr">
        <is>
          <t>پایه: مفروضاتِ مندرج در شیت‌های ورودی بدون تعدیل (تمام ضرایب برابر یک یا صفر).</t>
        </is>
      </c>
    </row>
    <row r="30">
      <c r="A30" s="7" t="inlineStr">
        <is>
          <t>خوش‌بینانه: رشد حجم و قیمت، کنترل هزینه‌ها و دسترسی بهتر به تأمین مالی.</t>
        </is>
      </c>
    </row>
    <row r="31">
      <c r="A31" s="7" t="inlineStr">
        <is>
          <t>بدبینانه: افت حجم و قیمت، افزایش هزینه‌ها، افزایش CAPEX و نرخ تأمین مالی.</t>
        </is>
      </c>
    </row>
  </sheetData>
  <pageMargins left="0.75" right="0.75" top="1" bottom="1" header="0.5" footer="0.5"/>
</worksheet>
</file>

<file path=xl/worksheets/sheet9.xml><?xml version="1.0" encoding="utf-8"?>
<worksheet xmlns="http://schemas.openxmlformats.org/spreadsheetml/2006/main">
  <sheetPr>
    <tabColor rgb="00A6A6A6"/>
    <outlinePr summaryBelow="1" summaryRight="1"/>
    <pageSetUpPr/>
  </sheetPr>
  <dimension ref="A1:Q141"/>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موتور سناریو و حساسیت</t>
        </is>
      </c>
      <c r="B1" s="2" t="inlineStr">
        <is>
          <t>موتور محاسبات</t>
        </is>
      </c>
    </row>
    <row r="2">
      <c r="A2" s="3" t="inlineStr">
        <is>
          <t>اعمال ضرایب سناریوی فعال روی مفروضات کلیدی، ساخت مسیرهای تعدیل‌شده و شاخص‌های قیمتی.</t>
        </is>
      </c>
    </row>
    <row r="3"/>
    <row r="4"/>
    <row r="5"/>
    <row r="6"/>
    <row r="7">
      <c r="A7" s="11" t="inlineStr">
        <is>
          <t>دوره (t)</t>
        </is>
      </c>
      <c r="D7" s="12" t="n">
        <v>0</v>
      </c>
      <c r="E7" s="12" t="n">
        <v>1</v>
      </c>
      <c r="F7" s="12" t="n">
        <v>2</v>
      </c>
      <c r="G7" s="12" t="n">
        <v>3</v>
      </c>
      <c r="H7" s="12" t="n">
        <v>4</v>
      </c>
      <c r="I7" s="12" t="n">
        <v>5</v>
      </c>
      <c r="J7" s="12" t="n">
        <v>6</v>
      </c>
      <c r="K7" s="12" t="n">
        <v>7</v>
      </c>
      <c r="L7" s="12" t="n">
        <v>8</v>
      </c>
      <c r="M7" s="12" t="n">
        <v>9</v>
      </c>
      <c r="N7" s="12" t="n">
        <v>10</v>
      </c>
      <c r="O7" s="12" t="n">
        <v>11</v>
      </c>
      <c r="P7" s="12" t="n">
        <v>12</v>
      </c>
    </row>
    <row r="8">
      <c r="A8" s="13" t="inlineStr">
        <is>
          <t>سال تقویمی</t>
        </is>
      </c>
      <c r="D8" s="14" t="n">
        <v>2026</v>
      </c>
      <c r="E8" s="14" t="n">
        <v>2027</v>
      </c>
      <c r="F8" s="14" t="n">
        <v>2028</v>
      </c>
      <c r="G8" s="14" t="n">
        <v>2029</v>
      </c>
      <c r="H8" s="14" t="n">
        <v>2030</v>
      </c>
      <c r="I8" s="14" t="n">
        <v>2031</v>
      </c>
      <c r="J8" s="14" t="n">
        <v>2032</v>
      </c>
      <c r="K8" s="14" t="n">
        <v>2033</v>
      </c>
      <c r="L8" s="14" t="n">
        <v>2034</v>
      </c>
      <c r="M8" s="14" t="n">
        <v>2035</v>
      </c>
      <c r="N8" s="14" t="n">
        <v>2036</v>
      </c>
      <c r="O8" s="14" t="n">
        <v>2037</v>
      </c>
      <c r="P8" s="14" t="n">
        <v>2038</v>
      </c>
    </row>
    <row r="9">
      <c r="A9" s="4" t="inlineStr">
        <is>
          <t>الف) سناریوی فعال و ضرایب تعدیل</t>
        </is>
      </c>
      <c r="B9" s="5" t="n"/>
      <c r="C9" s="5" t="n"/>
      <c r="D9" s="5" t="n"/>
      <c r="E9" s="5" t="n"/>
      <c r="F9" s="5" t="n"/>
      <c r="G9" s="5" t="n"/>
      <c r="H9" s="5" t="n"/>
      <c r="I9" s="5" t="n"/>
      <c r="J9" s="5" t="n"/>
      <c r="K9" s="5" t="n"/>
      <c r="L9" s="5" t="n"/>
      <c r="M9" s="5" t="n"/>
      <c r="N9" s="5" t="n"/>
      <c r="O9" s="5" t="n"/>
      <c r="P9" s="5" t="n"/>
      <c r="Q9" s="5" t="n"/>
    </row>
    <row r="10">
      <c r="A10" s="8" t="inlineStr">
        <is>
          <t>سناریوی فعال (۱=پایه / ۲=خوش‌بینانه / ۳=بدبینانه)</t>
        </is>
      </c>
      <c r="C10" s="13" t="inlineStr">
        <is>
          <t>شاخص</t>
        </is>
      </c>
      <c r="D10">
        <f>'IN_SCEN'!$D$8</f>
        <v/>
      </c>
    </row>
    <row r="11">
      <c r="A11" s="8" t="inlineStr">
        <is>
          <t>ضریب حجم تولید و فروش — مقدار فعال</t>
        </is>
      </c>
      <c r="B11" t="inlineStr">
        <is>
          <t>VOL</t>
        </is>
      </c>
      <c r="C11" s="13" t="inlineStr">
        <is>
          <t>ضریب</t>
        </is>
      </c>
      <c r="D11" s="30">
        <f>'IN_SCEN'!$D$13</f>
        <v/>
      </c>
      <c r="E11" s="30">
        <f>'IN_SCEN'!$E$13</f>
        <v/>
      </c>
      <c r="F11" s="30">
        <f>'IN_SCEN'!$F$13</f>
        <v/>
      </c>
      <c r="G11" s="30">
        <f>INDEX('IN_SCEN'!$D$13:$F$13,'ENG_SCEN'!$D$10)</f>
        <v/>
      </c>
    </row>
    <row r="12">
      <c r="A12" s="8" t="inlineStr">
        <is>
          <t>ضریب قیمت فروش محصولات — مقدار فعال</t>
        </is>
      </c>
      <c r="B12" t="inlineStr">
        <is>
          <t>PRICE</t>
        </is>
      </c>
      <c r="C12" s="13" t="inlineStr">
        <is>
          <t>ضریب</t>
        </is>
      </c>
      <c r="D12" s="30">
        <f>'IN_SCEN'!$D$14</f>
        <v/>
      </c>
      <c r="E12" s="30">
        <f>'IN_SCEN'!$E$14</f>
        <v/>
      </c>
      <c r="F12" s="30">
        <f>'IN_SCEN'!$F$14</f>
        <v/>
      </c>
      <c r="G12" s="30">
        <f>INDEX('IN_SCEN'!$D$14:$F$14,'ENG_SCEN'!$D$10)</f>
        <v/>
      </c>
    </row>
    <row r="13">
      <c r="A13" s="8" t="inlineStr">
        <is>
          <t>ضریب قیمت خرید باتری ضایعاتی — مقدار فعال</t>
        </is>
      </c>
      <c r="B13" t="inlineStr">
        <is>
          <t>RM</t>
        </is>
      </c>
      <c r="C13" s="13" t="inlineStr">
        <is>
          <t>ضریب</t>
        </is>
      </c>
      <c r="D13" s="30">
        <f>'IN_SCEN'!$D$15</f>
        <v/>
      </c>
      <c r="E13" s="30">
        <f>'IN_SCEN'!$E$15</f>
        <v/>
      </c>
      <c r="F13" s="30">
        <f>'IN_SCEN'!$F$15</f>
        <v/>
      </c>
      <c r="G13" s="30">
        <f>INDEX('IN_SCEN'!$D$15:$F$15,'ENG_SCEN'!$D$10)</f>
        <v/>
      </c>
    </row>
    <row r="14">
      <c r="A14" s="8" t="inlineStr">
        <is>
          <t>ضریب سایر هزینه‌های متغیر — مقدار فعال</t>
        </is>
      </c>
      <c r="B14" t="inlineStr">
        <is>
          <t>VAR</t>
        </is>
      </c>
      <c r="C14" s="13" t="inlineStr">
        <is>
          <t>ضریب</t>
        </is>
      </c>
      <c r="D14" s="30">
        <f>'IN_SCEN'!$D$16</f>
        <v/>
      </c>
      <c r="E14" s="30">
        <f>'IN_SCEN'!$E$16</f>
        <v/>
      </c>
      <c r="F14" s="30">
        <f>'IN_SCEN'!$F$16</f>
        <v/>
      </c>
      <c r="G14" s="30">
        <f>INDEX('IN_SCEN'!$D$16:$F$16,'ENG_SCEN'!$D$10)</f>
        <v/>
      </c>
    </row>
    <row r="15">
      <c r="A15" s="8" t="inlineStr">
        <is>
          <t>ضریب هزینه‌های ثابت — مقدار فعال</t>
        </is>
      </c>
      <c r="B15" t="inlineStr">
        <is>
          <t>FIX</t>
        </is>
      </c>
      <c r="C15" s="13" t="inlineStr">
        <is>
          <t>ضریب</t>
        </is>
      </c>
      <c r="D15" s="30">
        <f>'IN_SCEN'!$D$17</f>
        <v/>
      </c>
      <c r="E15" s="30">
        <f>'IN_SCEN'!$E$17</f>
        <v/>
      </c>
      <c r="F15" s="30">
        <f>'IN_SCEN'!$F$17</f>
        <v/>
      </c>
      <c r="G15" s="30">
        <f>INDEX('IN_SCEN'!$D$17:$F$17,'ENG_SCEN'!$D$10)</f>
        <v/>
      </c>
    </row>
    <row r="16">
      <c r="A16" s="8" t="inlineStr">
        <is>
          <t>ضریب سرمایه‌گذاری ثابت — مقدار فعال</t>
        </is>
      </c>
      <c r="B16" t="inlineStr">
        <is>
          <t>CAPEX</t>
        </is>
      </c>
      <c r="C16" s="13" t="inlineStr">
        <is>
          <t>ضریب</t>
        </is>
      </c>
      <c r="D16" s="30">
        <f>'IN_SCEN'!$D$18</f>
        <v/>
      </c>
      <c r="E16" s="30">
        <f>'IN_SCEN'!$E$18</f>
        <v/>
      </c>
      <c r="F16" s="30">
        <f>'IN_SCEN'!$F$18</f>
        <v/>
      </c>
      <c r="G16" s="30">
        <f>INDEX('IN_SCEN'!$D$18:$F$18,'ENG_SCEN'!$D$10)</f>
        <v/>
      </c>
    </row>
    <row r="17">
      <c r="A17" s="8" t="inlineStr">
        <is>
          <t>ضریب نرخ ارز — مقدار فعال</t>
        </is>
      </c>
      <c r="B17" t="inlineStr">
        <is>
          <t>FX</t>
        </is>
      </c>
      <c r="C17" s="13" t="inlineStr">
        <is>
          <t>ضریب</t>
        </is>
      </c>
      <c r="D17" s="30">
        <f>'IN_SCEN'!$D$19</f>
        <v/>
      </c>
      <c r="E17" s="30">
        <f>'IN_SCEN'!$E$19</f>
        <v/>
      </c>
      <c r="F17" s="30">
        <f>'IN_SCEN'!$F$19</f>
        <v/>
      </c>
      <c r="G17" s="30">
        <f>INDEX('IN_SCEN'!$D$19:$F$19,'ENG_SCEN'!$D$10)</f>
        <v/>
      </c>
    </row>
    <row r="18">
      <c r="A18" s="8" t="inlineStr">
        <is>
          <t>تعدیل نرخ تنزیل — مقدار فعال</t>
        </is>
      </c>
      <c r="B18" t="inlineStr">
        <is>
          <t>WACC</t>
        </is>
      </c>
      <c r="C18" s="13" t="inlineStr">
        <is>
          <t>واحد درصد</t>
        </is>
      </c>
      <c r="D18" s="31">
        <f>'IN_SCEN'!$D$20</f>
        <v/>
      </c>
      <c r="E18" s="31">
        <f>'IN_SCEN'!$E$20</f>
        <v/>
      </c>
      <c r="F18" s="31">
        <f>'IN_SCEN'!$F$20</f>
        <v/>
      </c>
      <c r="G18" s="31">
        <f>INDEX('IN_SCEN'!$D$20:$F$20,'ENG_SCEN'!$D$10)</f>
        <v/>
      </c>
    </row>
    <row r="19">
      <c r="A19" s="8" t="inlineStr">
        <is>
          <t>تعدیل نرخ سود تسهیلات — مقدار فعال</t>
        </is>
      </c>
      <c r="B19" t="inlineStr">
        <is>
          <t>KD</t>
        </is>
      </c>
      <c r="C19" s="13" t="inlineStr">
        <is>
          <t>واحد درصد</t>
        </is>
      </c>
      <c r="D19" s="31">
        <f>'IN_SCEN'!$D$21</f>
        <v/>
      </c>
      <c r="E19" s="31">
        <f>'IN_SCEN'!$E$21</f>
        <v/>
      </c>
      <c r="F19" s="31">
        <f>'IN_SCEN'!$F$21</f>
        <v/>
      </c>
      <c r="G19" s="31">
        <f>INDEX('IN_SCEN'!$D$21:$F$21,'ENG_SCEN'!$D$10)</f>
        <v/>
      </c>
    </row>
    <row r="20"/>
    <row r="21">
      <c r="A21" s="4" t="inlineStr">
        <is>
          <t>ب) مسیرهای تعدیل‌شدهٔ اقتصاد کلان</t>
        </is>
      </c>
      <c r="B21" s="5" t="n"/>
      <c r="C21" s="5" t="n"/>
      <c r="D21" s="5" t="n"/>
      <c r="E21" s="5" t="n"/>
      <c r="F21" s="5" t="n"/>
      <c r="G21" s="5" t="n"/>
      <c r="H21" s="5" t="n"/>
      <c r="I21" s="5" t="n"/>
      <c r="J21" s="5" t="n"/>
      <c r="K21" s="5" t="n"/>
      <c r="L21" s="5" t="n"/>
      <c r="M21" s="5" t="n"/>
      <c r="N21" s="5" t="n"/>
      <c r="O21" s="5" t="n"/>
      <c r="P21" s="5" t="n"/>
      <c r="Q21" s="5" t="n"/>
    </row>
    <row r="22">
      <c r="A22" s="15" t="inlineStr">
        <is>
          <t>شاخص تورم عمومی</t>
        </is>
      </c>
      <c r="B22" s="16" t="inlineStr">
        <is>
          <t>SCEN.infl</t>
        </is>
      </c>
      <c r="C22" s="17" t="inlineStr">
        <is>
          <t>─</t>
        </is>
      </c>
      <c r="D22" s="32">
        <f>'IN_MACRO'!$D$25</f>
        <v/>
      </c>
      <c r="E22" s="32">
        <f>'IN_MACRO'!$E$25</f>
        <v/>
      </c>
      <c r="F22" s="32">
        <f>'IN_MACRO'!$F$25</f>
        <v/>
      </c>
      <c r="G22" s="32">
        <f>'IN_MACRO'!$G$25</f>
        <v/>
      </c>
      <c r="H22" s="32">
        <f>'IN_MACRO'!$H$25</f>
        <v/>
      </c>
      <c r="I22" s="32">
        <f>'IN_MACRO'!$I$25</f>
        <v/>
      </c>
      <c r="J22" s="32">
        <f>'IN_MACRO'!$J$25</f>
        <v/>
      </c>
      <c r="K22" s="32">
        <f>'IN_MACRO'!$K$25</f>
        <v/>
      </c>
      <c r="L22" s="32">
        <f>'IN_MACRO'!$L$25</f>
        <v/>
      </c>
      <c r="M22" s="32">
        <f>'IN_MACRO'!$M$25</f>
        <v/>
      </c>
      <c r="N22" s="32">
        <f>'IN_MACRO'!$N$25</f>
        <v/>
      </c>
      <c r="O22" s="32">
        <f>'IN_MACRO'!$O$25</f>
        <v/>
      </c>
      <c r="P22" s="32">
        <f>'IN_MACRO'!$P$25</f>
        <v/>
      </c>
    </row>
    <row r="23">
      <c r="A23" s="15" t="inlineStr">
        <is>
          <t>شاخص رشد دستمزد</t>
        </is>
      </c>
      <c r="B23" s="16" t="inlineStr">
        <is>
          <t>SCEN.wage</t>
        </is>
      </c>
      <c r="C23" s="17" t="inlineStr">
        <is>
          <t>─</t>
        </is>
      </c>
      <c r="D23" s="32">
        <f>'IN_MACRO'!$D$26</f>
        <v/>
      </c>
      <c r="E23" s="32">
        <f>'IN_MACRO'!$E$26</f>
        <v/>
      </c>
      <c r="F23" s="32">
        <f>'IN_MACRO'!$F$26</f>
        <v/>
      </c>
      <c r="G23" s="32">
        <f>'IN_MACRO'!$G$26</f>
        <v/>
      </c>
      <c r="H23" s="32">
        <f>'IN_MACRO'!$H$26</f>
        <v/>
      </c>
      <c r="I23" s="32">
        <f>'IN_MACRO'!$I$26</f>
        <v/>
      </c>
      <c r="J23" s="32">
        <f>'IN_MACRO'!$J$26</f>
        <v/>
      </c>
      <c r="K23" s="32">
        <f>'IN_MACRO'!$K$26</f>
        <v/>
      </c>
      <c r="L23" s="32">
        <f>'IN_MACRO'!$L$26</f>
        <v/>
      </c>
      <c r="M23" s="32">
        <f>'IN_MACRO'!$M$26</f>
        <v/>
      </c>
      <c r="N23" s="32">
        <f>'IN_MACRO'!$N$26</f>
        <v/>
      </c>
      <c r="O23" s="32">
        <f>'IN_MACRO'!$O$26</f>
        <v/>
      </c>
      <c r="P23" s="32">
        <f>'IN_MACRO'!$P$26</f>
        <v/>
      </c>
    </row>
    <row r="24">
      <c r="A24" s="15" t="inlineStr">
        <is>
          <t>شاخص رشد قیمت انرژی</t>
        </is>
      </c>
      <c r="B24" s="16" t="inlineStr">
        <is>
          <t>SCEN.energy</t>
        </is>
      </c>
      <c r="C24" s="17" t="inlineStr">
        <is>
          <t>─</t>
        </is>
      </c>
      <c r="D24" s="32">
        <f>'IN_MACRO'!$D$27</f>
        <v/>
      </c>
      <c r="E24" s="32">
        <f>'IN_MACRO'!$E$27</f>
        <v/>
      </c>
      <c r="F24" s="32">
        <f>'IN_MACRO'!$F$27</f>
        <v/>
      </c>
      <c r="G24" s="32">
        <f>'IN_MACRO'!$G$27</f>
        <v/>
      </c>
      <c r="H24" s="32">
        <f>'IN_MACRO'!$H$27</f>
        <v/>
      </c>
      <c r="I24" s="32">
        <f>'IN_MACRO'!$I$27</f>
        <v/>
      </c>
      <c r="J24" s="32">
        <f>'IN_MACRO'!$J$27</f>
        <v/>
      </c>
      <c r="K24" s="32">
        <f>'IN_MACRO'!$K$27</f>
        <v/>
      </c>
      <c r="L24" s="32">
        <f>'IN_MACRO'!$L$27</f>
        <v/>
      </c>
      <c r="M24" s="32">
        <f>'IN_MACRO'!$M$27</f>
        <v/>
      </c>
      <c r="N24" s="32">
        <f>'IN_MACRO'!$N$27</f>
        <v/>
      </c>
      <c r="O24" s="32">
        <f>'IN_MACRO'!$O$27</f>
        <v/>
      </c>
      <c r="P24" s="32">
        <f>'IN_MACRO'!$P$27</f>
        <v/>
      </c>
    </row>
    <row r="25">
      <c r="A25" s="15" t="inlineStr">
        <is>
          <t>شاخص قیمت تولیدکننده</t>
        </is>
      </c>
      <c r="B25" s="16" t="inlineStr">
        <is>
          <t>SCEN.ppi</t>
        </is>
      </c>
      <c r="C25" s="17" t="inlineStr">
        <is>
          <t>─</t>
        </is>
      </c>
      <c r="D25" s="32">
        <f>'IN_MACRO'!$D$32</f>
        <v/>
      </c>
      <c r="E25" s="32">
        <f>'IN_MACRO'!$E$32</f>
        <v/>
      </c>
      <c r="F25" s="32">
        <f>'IN_MACRO'!$F$32</f>
        <v/>
      </c>
      <c r="G25" s="32">
        <f>'IN_MACRO'!$G$32</f>
        <v/>
      </c>
      <c r="H25" s="32">
        <f>'IN_MACRO'!$H$32</f>
        <v/>
      </c>
      <c r="I25" s="32">
        <f>'IN_MACRO'!$I$32</f>
        <v/>
      </c>
      <c r="J25" s="32">
        <f>'IN_MACRO'!$J$32</f>
        <v/>
      </c>
      <c r="K25" s="32">
        <f>'IN_MACRO'!$K$32</f>
        <v/>
      </c>
      <c r="L25" s="32">
        <f>'IN_MACRO'!$L$32</f>
        <v/>
      </c>
      <c r="M25" s="32">
        <f>'IN_MACRO'!$M$32</f>
        <v/>
      </c>
      <c r="N25" s="32">
        <f>'IN_MACRO'!$N$32</f>
        <v/>
      </c>
      <c r="O25" s="32">
        <f>'IN_MACRO'!$O$32</f>
        <v/>
      </c>
      <c r="P25" s="32">
        <f>'IN_MACRO'!$P$32</f>
        <v/>
      </c>
    </row>
    <row r="26">
      <c r="A26" s="15" t="inlineStr">
        <is>
          <t>نرخ سود بدون ریسک</t>
        </is>
      </c>
      <c r="B26" s="16" t="inlineStr">
        <is>
          <t>SCEN.rf</t>
        </is>
      </c>
      <c r="C26" s="17" t="inlineStr">
        <is>
          <t>─</t>
        </is>
      </c>
      <c r="D26" s="32">
        <f>'IN_MACRO'!$D$30</f>
        <v/>
      </c>
      <c r="E26" s="32">
        <f>'IN_MACRO'!$E$30</f>
        <v/>
      </c>
      <c r="F26" s="32">
        <f>'IN_MACRO'!$F$30</f>
        <v/>
      </c>
      <c r="G26" s="32">
        <f>'IN_MACRO'!$G$30</f>
        <v/>
      </c>
      <c r="H26" s="32">
        <f>'IN_MACRO'!$H$30</f>
        <v/>
      </c>
      <c r="I26" s="32">
        <f>'IN_MACRO'!$I$30</f>
        <v/>
      </c>
      <c r="J26" s="32">
        <f>'IN_MACRO'!$J$30</f>
        <v/>
      </c>
      <c r="K26" s="32">
        <f>'IN_MACRO'!$K$30</f>
        <v/>
      </c>
      <c r="L26" s="32">
        <f>'IN_MACRO'!$L$30</f>
        <v/>
      </c>
      <c r="M26" s="32">
        <f>'IN_MACRO'!$M$30</f>
        <v/>
      </c>
      <c r="N26" s="32">
        <f>'IN_MACRO'!$N$30</f>
        <v/>
      </c>
      <c r="O26" s="32">
        <f>'IN_MACRO'!$O$30</f>
        <v/>
      </c>
      <c r="P26" s="32">
        <f>'IN_MACRO'!$P$30</f>
        <v/>
      </c>
    </row>
    <row r="27">
      <c r="A27" s="15" t="inlineStr">
        <is>
          <t>رشد GDP بخش هدف</t>
        </is>
      </c>
      <c r="B27" s="16" t="inlineStr">
        <is>
          <t>SCEN.gdp</t>
        </is>
      </c>
      <c r="C27" s="17" t="inlineStr">
        <is>
          <t>─</t>
        </is>
      </c>
      <c r="D27" s="32">
        <f>'IN_MACRO'!$D$31</f>
        <v/>
      </c>
      <c r="E27" s="32">
        <f>'IN_MACRO'!$E$31</f>
        <v/>
      </c>
      <c r="F27" s="32">
        <f>'IN_MACRO'!$F$31</f>
        <v/>
      </c>
      <c r="G27" s="32">
        <f>'IN_MACRO'!$G$31</f>
        <v/>
      </c>
      <c r="H27" s="32">
        <f>'IN_MACRO'!$H$31</f>
        <v/>
      </c>
      <c r="I27" s="32">
        <f>'IN_MACRO'!$I$31</f>
        <v/>
      </c>
      <c r="J27" s="32">
        <f>'IN_MACRO'!$J$31</f>
        <v/>
      </c>
      <c r="K27" s="32">
        <f>'IN_MACRO'!$K$31</f>
        <v/>
      </c>
      <c r="L27" s="32">
        <f>'IN_MACRO'!$L$31</f>
        <v/>
      </c>
      <c r="M27" s="32">
        <f>'IN_MACRO'!$M$31</f>
        <v/>
      </c>
      <c r="N27" s="32">
        <f>'IN_MACRO'!$N$31</f>
        <v/>
      </c>
      <c r="O27" s="32">
        <f>'IN_MACRO'!$O$31</f>
        <v/>
      </c>
      <c r="P27" s="32">
        <f>'IN_MACRO'!$P$31</f>
        <v/>
      </c>
    </row>
    <row r="28">
      <c r="A28" s="15" t="inlineStr">
        <is>
          <t>قیمت جهانی سرب LME</t>
        </is>
      </c>
      <c r="B28" s="16" t="inlineStr">
        <is>
          <t>SCEN.lme</t>
        </is>
      </c>
      <c r="C28" s="17" t="inlineStr">
        <is>
          <t>─</t>
        </is>
      </c>
      <c r="D28" s="33">
        <f>'IN_MACRO'!$D$29</f>
        <v/>
      </c>
      <c r="E28" s="33">
        <f>'IN_MACRO'!$E$29</f>
        <v/>
      </c>
      <c r="F28" s="33">
        <f>'IN_MACRO'!$F$29</f>
        <v/>
      </c>
      <c r="G28" s="33">
        <f>'IN_MACRO'!$G$29</f>
        <v/>
      </c>
      <c r="H28" s="33">
        <f>'IN_MACRO'!$H$29</f>
        <v/>
      </c>
      <c r="I28" s="33">
        <f>'IN_MACRO'!$I$29</f>
        <v/>
      </c>
      <c r="J28" s="33">
        <f>'IN_MACRO'!$J$29</f>
        <v/>
      </c>
      <c r="K28" s="33">
        <f>'IN_MACRO'!$K$29</f>
        <v/>
      </c>
      <c r="L28" s="33">
        <f>'IN_MACRO'!$L$29</f>
        <v/>
      </c>
      <c r="M28" s="33">
        <f>'IN_MACRO'!$M$29</f>
        <v/>
      </c>
      <c r="N28" s="33">
        <f>'IN_MACRO'!$N$29</f>
        <v/>
      </c>
      <c r="O28" s="33">
        <f>'IN_MACRO'!$O$29</f>
        <v/>
      </c>
      <c r="P28" s="33">
        <f>'IN_MACRO'!$P$29</f>
        <v/>
      </c>
    </row>
    <row r="29">
      <c r="A29" s="15" t="inlineStr">
        <is>
          <t>نرخ ارز (تعدیل‌شده)</t>
        </is>
      </c>
      <c r="B29" s="16" t="inlineStr">
        <is>
          <t>SCEN.fx</t>
        </is>
      </c>
      <c r="C29" s="17" t="inlineStr">
        <is>
          <t>─</t>
        </is>
      </c>
      <c r="D29" s="33">
        <f>'IN_MACRO'!$D$28*'ENG_SCEN'!$G$17</f>
        <v/>
      </c>
      <c r="E29" s="33">
        <f>'IN_MACRO'!$E$28*'ENG_SCEN'!$G$17</f>
        <v/>
      </c>
      <c r="F29" s="33">
        <f>'IN_MACRO'!$F$28*'ENG_SCEN'!$G$17</f>
        <v/>
      </c>
      <c r="G29" s="33">
        <f>'IN_MACRO'!$G$28*'ENG_SCEN'!$G$17</f>
        <v/>
      </c>
      <c r="H29" s="33">
        <f>'IN_MACRO'!$H$28*'ENG_SCEN'!$G$17</f>
        <v/>
      </c>
      <c r="I29" s="33">
        <f>'IN_MACRO'!$I$28*'ENG_SCEN'!$G$17</f>
        <v/>
      </c>
      <c r="J29" s="33">
        <f>'IN_MACRO'!$J$28*'ENG_SCEN'!$G$17</f>
        <v/>
      </c>
      <c r="K29" s="33">
        <f>'IN_MACRO'!$K$28*'ENG_SCEN'!$G$17</f>
        <v/>
      </c>
      <c r="L29" s="33">
        <f>'IN_MACRO'!$L$28*'ENG_SCEN'!$G$17</f>
        <v/>
      </c>
      <c r="M29" s="33">
        <f>'IN_MACRO'!$M$28*'ENG_SCEN'!$G$17</f>
        <v/>
      </c>
      <c r="N29" s="33">
        <f>'IN_MACRO'!$N$28*'ENG_SCEN'!$G$17</f>
        <v/>
      </c>
      <c r="O29" s="33">
        <f>'IN_MACRO'!$O$28*'ENG_SCEN'!$G$17</f>
        <v/>
      </c>
      <c r="P29" s="33">
        <f>'IN_MACRO'!$P$28*'ENG_SCEN'!$G$17</f>
        <v/>
      </c>
    </row>
    <row r="30"/>
    <row r="31">
      <c r="A31" s="4" t="inlineStr">
        <is>
          <t>ج) شاخص‌های قیمتی تجمعی (سال پایه = ۱)</t>
        </is>
      </c>
      <c r="B31" s="5" t="n"/>
      <c r="C31" s="5" t="n"/>
      <c r="D31" s="5" t="n"/>
      <c r="E31" s="5" t="n"/>
      <c r="F31" s="5" t="n"/>
      <c r="G31" s="5" t="n"/>
      <c r="H31" s="5" t="n"/>
      <c r="I31" s="5" t="n"/>
      <c r="J31" s="5" t="n"/>
      <c r="K31" s="5" t="n"/>
      <c r="L31" s="5" t="n"/>
      <c r="M31" s="5" t="n"/>
      <c r="N31" s="5" t="n"/>
      <c r="O31" s="5" t="n"/>
      <c r="P31" s="5" t="n"/>
      <c r="Q31" s="5" t="n"/>
    </row>
    <row r="32">
      <c r="A32" s="8" t="inlineStr">
        <is>
          <t>شاخص تورم عمومی</t>
        </is>
      </c>
      <c r="C32" s="13" t="inlineStr">
        <is>
          <t>ضریب</t>
        </is>
      </c>
      <c r="D32" s="30">
        <f>1</f>
        <v/>
      </c>
      <c r="E32" s="30">
        <f>D32*(1+'ENG_SCEN'!$E$22)</f>
        <v/>
      </c>
      <c r="F32" s="30">
        <f>E32*(1+'ENG_SCEN'!$F$22)</f>
        <v/>
      </c>
      <c r="G32" s="30">
        <f>F32*(1+'ENG_SCEN'!$G$22)</f>
        <v/>
      </c>
      <c r="H32" s="30">
        <f>G32*(1+'ENG_SCEN'!$H$22)</f>
        <v/>
      </c>
      <c r="I32" s="30">
        <f>H32*(1+'ENG_SCEN'!$I$22)</f>
        <v/>
      </c>
      <c r="J32" s="30">
        <f>I32*(1+'ENG_SCEN'!$J$22)</f>
        <v/>
      </c>
      <c r="K32" s="30">
        <f>J32*(1+'ENG_SCEN'!$K$22)</f>
        <v/>
      </c>
      <c r="L32" s="30">
        <f>K32*(1+'ENG_SCEN'!$L$22)</f>
        <v/>
      </c>
      <c r="M32" s="30">
        <f>L32*(1+'ENG_SCEN'!$M$22)</f>
        <v/>
      </c>
      <c r="N32" s="30">
        <f>M32*(1+'ENG_SCEN'!$N$22)</f>
        <v/>
      </c>
      <c r="O32" s="30">
        <f>N32*(1+'ENG_SCEN'!$O$22)</f>
        <v/>
      </c>
      <c r="P32" s="30">
        <f>O32*(1+'ENG_SCEN'!$P$22)</f>
        <v/>
      </c>
    </row>
    <row r="33">
      <c r="A33" s="8" t="inlineStr">
        <is>
          <t>شاخص دستمزد</t>
        </is>
      </c>
      <c r="C33" s="13" t="inlineStr">
        <is>
          <t>ضریب</t>
        </is>
      </c>
      <c r="D33" s="30">
        <f>1</f>
        <v/>
      </c>
      <c r="E33" s="30">
        <f>D33*(1+'ENG_SCEN'!$E$23)</f>
        <v/>
      </c>
      <c r="F33" s="30">
        <f>E33*(1+'ENG_SCEN'!$F$23)</f>
        <v/>
      </c>
      <c r="G33" s="30">
        <f>F33*(1+'ENG_SCEN'!$G$23)</f>
        <v/>
      </c>
      <c r="H33" s="30">
        <f>G33*(1+'ENG_SCEN'!$H$23)</f>
        <v/>
      </c>
      <c r="I33" s="30">
        <f>H33*(1+'ENG_SCEN'!$I$23)</f>
        <v/>
      </c>
      <c r="J33" s="30">
        <f>I33*(1+'ENG_SCEN'!$J$23)</f>
        <v/>
      </c>
      <c r="K33" s="30">
        <f>J33*(1+'ENG_SCEN'!$K$23)</f>
        <v/>
      </c>
      <c r="L33" s="30">
        <f>K33*(1+'ENG_SCEN'!$L$23)</f>
        <v/>
      </c>
      <c r="M33" s="30">
        <f>L33*(1+'ENG_SCEN'!$M$23)</f>
        <v/>
      </c>
      <c r="N33" s="30">
        <f>M33*(1+'ENG_SCEN'!$N$23)</f>
        <v/>
      </c>
      <c r="O33" s="30">
        <f>N33*(1+'ENG_SCEN'!$O$23)</f>
        <v/>
      </c>
      <c r="P33" s="30">
        <f>O33*(1+'ENG_SCEN'!$P$23)</f>
        <v/>
      </c>
    </row>
    <row r="34">
      <c r="A34" s="8" t="inlineStr">
        <is>
          <t>شاخص قیمت انرژی</t>
        </is>
      </c>
      <c r="C34" s="13" t="inlineStr">
        <is>
          <t>ضریب</t>
        </is>
      </c>
      <c r="D34" s="30">
        <f>1</f>
        <v/>
      </c>
      <c r="E34" s="30">
        <f>D34*(1+'ENG_SCEN'!$E$24)</f>
        <v/>
      </c>
      <c r="F34" s="30">
        <f>E34*(1+'ENG_SCEN'!$F$24)</f>
        <v/>
      </c>
      <c r="G34" s="30">
        <f>F34*(1+'ENG_SCEN'!$G$24)</f>
        <v/>
      </c>
      <c r="H34" s="30">
        <f>G34*(1+'ENG_SCEN'!$H$24)</f>
        <v/>
      </c>
      <c r="I34" s="30">
        <f>H34*(1+'ENG_SCEN'!$I$24)</f>
        <v/>
      </c>
      <c r="J34" s="30">
        <f>I34*(1+'ENG_SCEN'!$J$24)</f>
        <v/>
      </c>
      <c r="K34" s="30">
        <f>J34*(1+'ENG_SCEN'!$K$24)</f>
        <v/>
      </c>
      <c r="L34" s="30">
        <f>K34*(1+'ENG_SCEN'!$L$24)</f>
        <v/>
      </c>
      <c r="M34" s="30">
        <f>L34*(1+'ENG_SCEN'!$M$24)</f>
        <v/>
      </c>
      <c r="N34" s="30">
        <f>M34*(1+'ENG_SCEN'!$N$24)</f>
        <v/>
      </c>
      <c r="O34" s="30">
        <f>N34*(1+'ENG_SCEN'!$O$24)</f>
        <v/>
      </c>
      <c r="P34" s="30">
        <f>O34*(1+'ENG_SCEN'!$P$24)</f>
        <v/>
      </c>
    </row>
    <row r="35">
      <c r="A35" s="8" t="inlineStr">
        <is>
          <t>شاخص قیمت تولیدکننده</t>
        </is>
      </c>
      <c r="C35" s="13" t="inlineStr">
        <is>
          <t>ضریب</t>
        </is>
      </c>
      <c r="D35" s="30">
        <f>1</f>
        <v/>
      </c>
      <c r="E35" s="30">
        <f>D35*(1+'ENG_SCEN'!$E$25)</f>
        <v/>
      </c>
      <c r="F35" s="30">
        <f>E35*(1+'ENG_SCEN'!$F$25)</f>
        <v/>
      </c>
      <c r="G35" s="30">
        <f>F35*(1+'ENG_SCEN'!$G$25)</f>
        <v/>
      </c>
      <c r="H35" s="30">
        <f>G35*(1+'ENG_SCEN'!$H$25)</f>
        <v/>
      </c>
      <c r="I35" s="30">
        <f>H35*(1+'ENG_SCEN'!$I$25)</f>
        <v/>
      </c>
      <c r="J35" s="30">
        <f>I35*(1+'ENG_SCEN'!$J$25)</f>
        <v/>
      </c>
      <c r="K35" s="30">
        <f>J35*(1+'ENG_SCEN'!$K$25)</f>
        <v/>
      </c>
      <c r="L35" s="30">
        <f>K35*(1+'ENG_SCEN'!$L$25)</f>
        <v/>
      </c>
      <c r="M35" s="30">
        <f>L35*(1+'ENG_SCEN'!$M$25)</f>
        <v/>
      </c>
      <c r="N35" s="30">
        <f>M35*(1+'ENG_SCEN'!$N$25)</f>
        <v/>
      </c>
      <c r="O35" s="30">
        <f>N35*(1+'ENG_SCEN'!$O$25)</f>
        <v/>
      </c>
      <c r="P35" s="30">
        <f>O35*(1+'ENG_SCEN'!$P$25)</f>
        <v/>
      </c>
    </row>
    <row r="36">
      <c r="A36" s="8" t="inlineStr">
        <is>
          <t>شاخص نرخ ارز</t>
        </is>
      </c>
      <c r="D36" s="30">
        <f>'ENG_SCEN'!$D$29/'ENG_SCEN'!$D$29</f>
        <v/>
      </c>
      <c r="E36" s="30">
        <f>'ENG_SCEN'!$E$29/'ENG_SCEN'!$D$29</f>
        <v/>
      </c>
      <c r="F36" s="30">
        <f>'ENG_SCEN'!$F$29/'ENG_SCEN'!$D$29</f>
        <v/>
      </c>
      <c r="G36" s="30">
        <f>'ENG_SCEN'!$G$29/'ENG_SCEN'!$D$29</f>
        <v/>
      </c>
      <c r="H36" s="30">
        <f>'ENG_SCEN'!$H$29/'ENG_SCEN'!$D$29</f>
        <v/>
      </c>
      <c r="I36" s="30">
        <f>'ENG_SCEN'!$I$29/'ENG_SCEN'!$D$29</f>
        <v/>
      </c>
      <c r="J36" s="30">
        <f>'ENG_SCEN'!$J$29/'ENG_SCEN'!$D$29</f>
        <v/>
      </c>
      <c r="K36" s="30">
        <f>'ENG_SCEN'!$K$29/'ENG_SCEN'!$D$29</f>
        <v/>
      </c>
      <c r="L36" s="30">
        <f>'ENG_SCEN'!$L$29/'ENG_SCEN'!$D$29</f>
        <v/>
      </c>
      <c r="M36" s="30">
        <f>'ENG_SCEN'!$M$29/'ENG_SCEN'!$D$29</f>
        <v/>
      </c>
      <c r="N36" s="30">
        <f>'ENG_SCEN'!$N$29/'ENG_SCEN'!$D$29</f>
        <v/>
      </c>
      <c r="O36" s="30">
        <f>'ENG_SCEN'!$O$29/'ENG_SCEN'!$D$29</f>
        <v/>
      </c>
      <c r="P36" s="30">
        <f>'ENG_SCEN'!$P$29/'ENG_SCEN'!$D$29</f>
        <v/>
      </c>
    </row>
    <row r="37">
      <c r="A37" s="8" t="inlineStr">
        <is>
          <t>شاخص ترکیبی LME×ارز</t>
        </is>
      </c>
      <c r="D37" s="30">
        <f>('ENG_SCEN'!$D$28*'ENG_SCEN'!$D$29)/('ENG_SCEN'!$D$28*'ENG_SCEN'!$D$29)</f>
        <v/>
      </c>
      <c r="E37" s="30">
        <f>('ENG_SCEN'!$E$28*'ENG_SCEN'!$E$29)/('ENG_SCEN'!$D$28*'ENG_SCEN'!$D$29)</f>
        <v/>
      </c>
      <c r="F37" s="30">
        <f>('ENG_SCEN'!$F$28*'ENG_SCEN'!$F$29)/('ENG_SCEN'!$D$28*'ENG_SCEN'!$D$29)</f>
        <v/>
      </c>
      <c r="G37" s="30">
        <f>('ENG_SCEN'!$G$28*'ENG_SCEN'!$G$29)/('ENG_SCEN'!$D$28*'ENG_SCEN'!$D$29)</f>
        <v/>
      </c>
      <c r="H37" s="30">
        <f>('ENG_SCEN'!$H$28*'ENG_SCEN'!$H$29)/('ENG_SCEN'!$D$28*'ENG_SCEN'!$D$29)</f>
        <v/>
      </c>
      <c r="I37" s="30">
        <f>('ENG_SCEN'!$I$28*'ENG_SCEN'!$I$29)/('ENG_SCEN'!$D$28*'ENG_SCEN'!$D$29)</f>
        <v/>
      </c>
      <c r="J37" s="30">
        <f>('ENG_SCEN'!$J$28*'ENG_SCEN'!$J$29)/('ENG_SCEN'!$D$28*'ENG_SCEN'!$D$29)</f>
        <v/>
      </c>
      <c r="K37" s="30">
        <f>('ENG_SCEN'!$K$28*'ENG_SCEN'!$K$29)/('ENG_SCEN'!$D$28*'ENG_SCEN'!$D$29)</f>
        <v/>
      </c>
      <c r="L37" s="30">
        <f>('ENG_SCEN'!$L$28*'ENG_SCEN'!$L$29)/('ENG_SCEN'!$D$28*'ENG_SCEN'!$D$29)</f>
        <v/>
      </c>
      <c r="M37" s="30">
        <f>('ENG_SCEN'!$M$28*'ENG_SCEN'!$M$29)/('ENG_SCEN'!$D$28*'ENG_SCEN'!$D$29)</f>
        <v/>
      </c>
      <c r="N37" s="30">
        <f>('ENG_SCEN'!$N$28*'ENG_SCEN'!$N$29)/('ENG_SCEN'!$D$28*'ENG_SCEN'!$D$29)</f>
        <v/>
      </c>
      <c r="O37" s="30">
        <f>('ENG_SCEN'!$O$28*'ENG_SCEN'!$O$29)/('ENG_SCEN'!$D$28*'ENG_SCEN'!$D$29)</f>
        <v/>
      </c>
      <c r="P37" s="30">
        <f>('ENG_SCEN'!$P$28*'ENG_SCEN'!$P$29)/('ENG_SCEN'!$D$28*'ENG_SCEN'!$D$29)</f>
        <v/>
      </c>
    </row>
    <row r="38"/>
    <row r="39">
      <c r="A39" s="4" t="inlineStr">
        <is>
          <t>د) مدل سایهٔ سه سناریو (پایه / خوش‌بینانه / بدبینانه)</t>
        </is>
      </c>
      <c r="B39" s="5" t="n"/>
      <c r="C39" s="5" t="n"/>
      <c r="D39" s="5" t="n"/>
      <c r="E39" s="5" t="n"/>
      <c r="F39" s="5" t="n"/>
      <c r="G39" s="5" t="n"/>
      <c r="H39" s="5" t="n"/>
      <c r="I39" s="5" t="n"/>
      <c r="J39" s="5" t="n"/>
      <c r="K39" s="5" t="n"/>
      <c r="L39" s="5" t="n"/>
      <c r="M39" s="5" t="n"/>
      <c r="N39" s="5" t="n"/>
      <c r="O39" s="5" t="n"/>
      <c r="P39" s="5" t="n"/>
      <c r="Q39" s="5" t="n"/>
    </row>
    <row r="40">
      <c r="A40" t="inlineStr">
        <is>
          <t>توضیح: مدل تفصیلی برای «سناریوی فعال» اجرا می‌شود؛ این مدل سایه با استفاده از نسبت‌های ساختاریِ استخراج‌شده از همان مدل تفصیلی (فرمول‌محور، بدون عدد ثابت) شاخص‌های هر سه سناریو را هم‌زمان محاسبه می‌کند.</t>
        </is>
      </c>
    </row>
    <row r="41">
      <c r="A41" s="4" t="inlineStr">
        <is>
          <t>سناریوی 1: پایه</t>
        </is>
      </c>
      <c r="B41" s="5" t="n"/>
      <c r="C41" s="5" t="n"/>
      <c r="D41" s="5" t="n"/>
      <c r="E41" s="5" t="n"/>
      <c r="F41" s="5" t="n"/>
      <c r="G41" s="5" t="n"/>
      <c r="H41" s="5" t="n"/>
      <c r="I41" s="5" t="n"/>
      <c r="J41" s="5" t="n"/>
      <c r="K41" s="5" t="n"/>
      <c r="L41" s="5" t="n"/>
      <c r="M41" s="5" t="n"/>
      <c r="N41" s="5" t="n"/>
      <c r="O41" s="5" t="n"/>
      <c r="P41" s="5" t="n"/>
      <c r="Q41" s="5" t="n"/>
    </row>
    <row r="42">
      <c r="A42" s="15" t="inlineStr">
        <is>
          <t>[1] حجم فروش محصولات (تن)</t>
        </is>
      </c>
      <c r="B42" s="16" t="inlineStr">
        <is>
          <t>SB1.vol</t>
        </is>
      </c>
      <c r="C42" s="17" t="inlineStr">
        <is>
          <t>تن</t>
        </is>
      </c>
      <c r="D42" s="33">
        <f>'ENG_OPS'!$D$82*'IN_SCEN'!$D$13</f>
        <v/>
      </c>
      <c r="E42" s="33">
        <f>'ENG_OPS'!$E$82*'IN_SCEN'!$D$13</f>
        <v/>
      </c>
      <c r="F42" s="33">
        <f>'ENG_OPS'!$F$82*'IN_SCEN'!$D$13</f>
        <v/>
      </c>
      <c r="G42" s="33">
        <f>'ENG_OPS'!$G$82*'IN_SCEN'!$D$13</f>
        <v/>
      </c>
      <c r="H42" s="33">
        <f>'ENG_OPS'!$H$82*'IN_SCEN'!$D$13</f>
        <v/>
      </c>
      <c r="I42" s="33">
        <f>'ENG_OPS'!$I$82*'IN_SCEN'!$D$13</f>
        <v/>
      </c>
      <c r="J42" s="33">
        <f>'ENG_OPS'!$J$82*'IN_SCEN'!$D$13</f>
        <v/>
      </c>
      <c r="K42" s="33">
        <f>'ENG_OPS'!$K$82*'IN_SCEN'!$D$13</f>
        <v/>
      </c>
      <c r="L42" s="33">
        <f>'ENG_OPS'!$L$82*'IN_SCEN'!$D$13</f>
        <v/>
      </c>
      <c r="M42" s="33">
        <f>'ENG_OPS'!$M$82*'IN_SCEN'!$D$13</f>
        <v/>
      </c>
      <c r="N42" s="33">
        <f>'ENG_OPS'!$N$82*'IN_SCEN'!$D$13</f>
        <v/>
      </c>
      <c r="O42" s="33">
        <f>'ENG_OPS'!$O$82*'IN_SCEN'!$D$13</f>
        <v/>
      </c>
      <c r="P42" s="33">
        <f>'ENG_OPS'!$P$82*'IN_SCEN'!$D$13</f>
        <v/>
      </c>
    </row>
    <row r="43">
      <c r="A43" s="15" t="inlineStr">
        <is>
          <t>[1] درآمد خالص هر تن</t>
        </is>
      </c>
      <c r="B43" s="16" t="inlineStr">
        <is>
          <t>SB1.price</t>
        </is>
      </c>
      <c r="C43" s="17" t="inlineStr">
        <is>
          <t>میلیون ریال/تن</t>
        </is>
      </c>
      <c r="D43" s="34">
        <f>'ENG_OPS'!$D$83*'IN_SCEN'!$D$14</f>
        <v/>
      </c>
      <c r="E43" s="34">
        <f>'ENG_OPS'!$E$83*'IN_SCEN'!$D$14</f>
        <v/>
      </c>
      <c r="F43" s="34">
        <f>'ENG_OPS'!$F$83*'IN_SCEN'!$D$14</f>
        <v/>
      </c>
      <c r="G43" s="34">
        <f>'ENG_OPS'!$G$83*'IN_SCEN'!$D$14</f>
        <v/>
      </c>
      <c r="H43" s="34">
        <f>'ENG_OPS'!$H$83*'IN_SCEN'!$D$14</f>
        <v/>
      </c>
      <c r="I43" s="34">
        <f>'ENG_OPS'!$I$83*'IN_SCEN'!$D$14</f>
        <v/>
      </c>
      <c r="J43" s="34">
        <f>'ENG_OPS'!$J$83*'IN_SCEN'!$D$14</f>
        <v/>
      </c>
      <c r="K43" s="34">
        <f>'ENG_OPS'!$K$83*'IN_SCEN'!$D$14</f>
        <v/>
      </c>
      <c r="L43" s="34">
        <f>'ENG_OPS'!$L$83*'IN_SCEN'!$D$14</f>
        <v/>
      </c>
      <c r="M43" s="34">
        <f>'ENG_OPS'!$M$83*'IN_SCEN'!$D$14</f>
        <v/>
      </c>
      <c r="N43" s="34">
        <f>'ENG_OPS'!$N$83*'IN_SCEN'!$D$14</f>
        <v/>
      </c>
      <c r="O43" s="34">
        <f>'ENG_OPS'!$O$83*'IN_SCEN'!$D$14</f>
        <v/>
      </c>
      <c r="P43" s="34">
        <f>'ENG_OPS'!$P$83*'IN_SCEN'!$D$14</f>
        <v/>
      </c>
    </row>
    <row r="44">
      <c r="A44" s="15" t="inlineStr">
        <is>
          <t>[1] درآمد خالص</t>
        </is>
      </c>
      <c r="B44" s="16" t="inlineStr">
        <is>
          <t>SB1.rev</t>
        </is>
      </c>
      <c r="C44" s="17" t="inlineStr">
        <is>
          <t>میلیون ریال</t>
        </is>
      </c>
      <c r="D44" s="33">
        <f>'ENG_SCEN'!$D$42*'ENG_SCEN'!$D$43</f>
        <v/>
      </c>
      <c r="E44" s="33">
        <f>'ENG_SCEN'!$E$42*'ENG_SCEN'!$E$43</f>
        <v/>
      </c>
      <c r="F44" s="33">
        <f>'ENG_SCEN'!$F$42*'ENG_SCEN'!$F$43</f>
        <v/>
      </c>
      <c r="G44" s="33">
        <f>'ENG_SCEN'!$G$42*'ENG_SCEN'!$G$43</f>
        <v/>
      </c>
      <c r="H44" s="33">
        <f>'ENG_SCEN'!$H$42*'ENG_SCEN'!$H$43</f>
        <v/>
      </c>
      <c r="I44" s="33">
        <f>'ENG_SCEN'!$I$42*'ENG_SCEN'!$I$43</f>
        <v/>
      </c>
      <c r="J44" s="33">
        <f>'ENG_SCEN'!$J$42*'ENG_SCEN'!$J$43</f>
        <v/>
      </c>
      <c r="K44" s="33">
        <f>'ENG_SCEN'!$K$42*'ENG_SCEN'!$K$43</f>
        <v/>
      </c>
      <c r="L44" s="33">
        <f>'ENG_SCEN'!$L$42*'ENG_SCEN'!$L$43</f>
        <v/>
      </c>
      <c r="M44" s="33">
        <f>'ENG_SCEN'!$M$42*'ENG_SCEN'!$M$43</f>
        <v/>
      </c>
      <c r="N44" s="33">
        <f>'ENG_SCEN'!$N$42*'ENG_SCEN'!$N$43</f>
        <v/>
      </c>
      <c r="O44" s="33">
        <f>'ENG_SCEN'!$O$42*'ENG_SCEN'!$O$43</f>
        <v/>
      </c>
      <c r="P44" s="33">
        <f>'ENG_SCEN'!$P$42*'ENG_SCEN'!$P$43</f>
        <v/>
      </c>
    </row>
    <row r="45">
      <c r="A45" s="15" t="inlineStr">
        <is>
          <t>[1] هزینه مواد اولیه</t>
        </is>
      </c>
      <c r="B45" s="16" t="inlineStr">
        <is>
          <t>SB1.rm</t>
        </is>
      </c>
      <c r="C45" s="17" t="inlineStr">
        <is>
          <t>میلیون ریال</t>
        </is>
      </c>
      <c r="D45" s="33">
        <f>'ENG_COST'!$D$264*'IN_SCEN'!$D$13*'IN_SCEN'!$D$15</f>
        <v/>
      </c>
      <c r="E45" s="33">
        <f>'ENG_COST'!$E$264*'IN_SCEN'!$D$13*'IN_SCEN'!$D$15</f>
        <v/>
      </c>
      <c r="F45" s="33">
        <f>'ENG_COST'!$F$264*'IN_SCEN'!$D$13*'IN_SCEN'!$D$15</f>
        <v/>
      </c>
      <c r="G45" s="33">
        <f>'ENG_COST'!$G$264*'IN_SCEN'!$D$13*'IN_SCEN'!$D$15</f>
        <v/>
      </c>
      <c r="H45" s="33">
        <f>'ENG_COST'!$H$264*'IN_SCEN'!$D$13*'IN_SCEN'!$D$15</f>
        <v/>
      </c>
      <c r="I45" s="33">
        <f>'ENG_COST'!$I$264*'IN_SCEN'!$D$13*'IN_SCEN'!$D$15</f>
        <v/>
      </c>
      <c r="J45" s="33">
        <f>'ENG_COST'!$J$264*'IN_SCEN'!$D$13*'IN_SCEN'!$D$15</f>
        <v/>
      </c>
      <c r="K45" s="33">
        <f>'ENG_COST'!$K$264*'IN_SCEN'!$D$13*'IN_SCEN'!$D$15</f>
        <v/>
      </c>
      <c r="L45" s="33">
        <f>'ENG_COST'!$L$264*'IN_SCEN'!$D$13*'IN_SCEN'!$D$15</f>
        <v/>
      </c>
      <c r="M45" s="33">
        <f>'ENG_COST'!$M$264*'IN_SCEN'!$D$13*'IN_SCEN'!$D$15</f>
        <v/>
      </c>
      <c r="N45" s="33">
        <f>'ENG_COST'!$N$264*'IN_SCEN'!$D$13*'IN_SCEN'!$D$15</f>
        <v/>
      </c>
      <c r="O45" s="33">
        <f>'ENG_COST'!$O$264*'IN_SCEN'!$D$13*'IN_SCEN'!$D$15</f>
        <v/>
      </c>
      <c r="P45" s="33">
        <f>'ENG_COST'!$P$264*'IN_SCEN'!$D$13*'IN_SCEN'!$D$15</f>
        <v/>
      </c>
    </row>
    <row r="46">
      <c r="A46" s="15" t="inlineStr">
        <is>
          <t>[1] سایر هزینه‌های متغیر</t>
        </is>
      </c>
      <c r="B46" s="16" t="inlineStr">
        <is>
          <t>SB1.var</t>
        </is>
      </c>
      <c r="C46" s="17" t="inlineStr">
        <is>
          <t>میلیون ریال</t>
        </is>
      </c>
      <c r="D46" s="33">
        <f>'ENG_COST'!$D$265*'IN_SCEN'!$D$13*'IN_SCEN'!$D$16</f>
        <v/>
      </c>
      <c r="E46" s="33">
        <f>'ENG_COST'!$E$265*'IN_SCEN'!$D$13*'IN_SCEN'!$D$16</f>
        <v/>
      </c>
      <c r="F46" s="33">
        <f>'ENG_COST'!$F$265*'IN_SCEN'!$D$13*'IN_SCEN'!$D$16</f>
        <v/>
      </c>
      <c r="G46" s="33">
        <f>'ENG_COST'!$G$265*'IN_SCEN'!$D$13*'IN_SCEN'!$D$16</f>
        <v/>
      </c>
      <c r="H46" s="33">
        <f>'ENG_COST'!$H$265*'IN_SCEN'!$D$13*'IN_SCEN'!$D$16</f>
        <v/>
      </c>
      <c r="I46" s="33">
        <f>'ENG_COST'!$I$265*'IN_SCEN'!$D$13*'IN_SCEN'!$D$16</f>
        <v/>
      </c>
      <c r="J46" s="33">
        <f>'ENG_COST'!$J$265*'IN_SCEN'!$D$13*'IN_SCEN'!$D$16</f>
        <v/>
      </c>
      <c r="K46" s="33">
        <f>'ENG_COST'!$K$265*'IN_SCEN'!$D$13*'IN_SCEN'!$D$16</f>
        <v/>
      </c>
      <c r="L46" s="33">
        <f>'ENG_COST'!$L$265*'IN_SCEN'!$D$13*'IN_SCEN'!$D$16</f>
        <v/>
      </c>
      <c r="M46" s="33">
        <f>'ENG_COST'!$M$265*'IN_SCEN'!$D$13*'IN_SCEN'!$D$16</f>
        <v/>
      </c>
      <c r="N46" s="33">
        <f>'ENG_COST'!$N$265*'IN_SCEN'!$D$13*'IN_SCEN'!$D$16</f>
        <v/>
      </c>
      <c r="O46" s="33">
        <f>'ENG_COST'!$O$265*'IN_SCEN'!$D$13*'IN_SCEN'!$D$16</f>
        <v/>
      </c>
      <c r="P46" s="33">
        <f>'ENG_COST'!$P$265*'IN_SCEN'!$D$13*'IN_SCEN'!$D$16</f>
        <v/>
      </c>
    </row>
    <row r="47">
      <c r="A47" s="15" t="inlineStr">
        <is>
          <t>[1] هزینه‌های ثابت نقدی</t>
        </is>
      </c>
      <c r="B47" s="16" t="inlineStr">
        <is>
          <t>SB1.fix</t>
        </is>
      </c>
      <c r="C47" s="17" t="inlineStr">
        <is>
          <t>میلیون ریال</t>
        </is>
      </c>
      <c r="D47" s="33">
        <f>'ENG_COST'!$D$268*'IN_SCEN'!$D$17</f>
        <v/>
      </c>
      <c r="E47" s="33">
        <f>'ENG_COST'!$E$268*'IN_SCEN'!$D$17</f>
        <v/>
      </c>
      <c r="F47" s="33">
        <f>'ENG_COST'!$F$268*'IN_SCEN'!$D$17</f>
        <v/>
      </c>
      <c r="G47" s="33">
        <f>'ENG_COST'!$G$268*'IN_SCEN'!$D$17</f>
        <v/>
      </c>
      <c r="H47" s="33">
        <f>'ENG_COST'!$H$268*'IN_SCEN'!$D$17</f>
        <v/>
      </c>
      <c r="I47" s="33">
        <f>'ENG_COST'!$I$268*'IN_SCEN'!$D$17</f>
        <v/>
      </c>
      <c r="J47" s="33">
        <f>'ENG_COST'!$J$268*'IN_SCEN'!$D$17</f>
        <v/>
      </c>
      <c r="K47" s="33">
        <f>'ENG_COST'!$K$268*'IN_SCEN'!$D$17</f>
        <v/>
      </c>
      <c r="L47" s="33">
        <f>'ENG_COST'!$L$268*'IN_SCEN'!$D$17</f>
        <v/>
      </c>
      <c r="M47" s="33">
        <f>'ENG_COST'!$M$268*'IN_SCEN'!$D$17</f>
        <v/>
      </c>
      <c r="N47" s="33">
        <f>'ENG_COST'!$N$268*'IN_SCEN'!$D$17</f>
        <v/>
      </c>
      <c r="O47" s="33">
        <f>'ENG_COST'!$O$268*'IN_SCEN'!$D$17</f>
        <v/>
      </c>
      <c r="P47" s="33">
        <f>'ENG_COST'!$P$268*'IN_SCEN'!$D$17</f>
        <v/>
      </c>
    </row>
    <row r="48">
      <c r="A48" s="15" t="inlineStr">
        <is>
          <t>[1] استهلاک</t>
        </is>
      </c>
      <c r="B48" s="16" t="inlineStr">
        <is>
          <t>SB1.dep</t>
        </is>
      </c>
      <c r="C48" s="17" t="inlineStr">
        <is>
          <t>میلیون ریال</t>
        </is>
      </c>
      <c r="D48" s="33">
        <f>'ENG_CAPEX'!$D$81*'IN_SCEN'!$D$18</f>
        <v/>
      </c>
      <c r="E48" s="33">
        <f>'ENG_CAPEX'!$E$81*'IN_SCEN'!$D$18</f>
        <v/>
      </c>
      <c r="F48" s="33">
        <f>'ENG_CAPEX'!$F$81*'IN_SCEN'!$D$18</f>
        <v/>
      </c>
      <c r="G48" s="33">
        <f>'ENG_CAPEX'!$G$81*'IN_SCEN'!$D$18</f>
        <v/>
      </c>
      <c r="H48" s="33">
        <f>'ENG_CAPEX'!$H$81*'IN_SCEN'!$D$18</f>
        <v/>
      </c>
      <c r="I48" s="33">
        <f>'ENG_CAPEX'!$I$81*'IN_SCEN'!$D$18</f>
        <v/>
      </c>
      <c r="J48" s="33">
        <f>'ENG_CAPEX'!$J$81*'IN_SCEN'!$D$18</f>
        <v/>
      </c>
      <c r="K48" s="33">
        <f>'ENG_CAPEX'!$K$81*'IN_SCEN'!$D$18</f>
        <v/>
      </c>
      <c r="L48" s="33">
        <f>'ENG_CAPEX'!$L$81*'IN_SCEN'!$D$18</f>
        <v/>
      </c>
      <c r="M48" s="33">
        <f>'ENG_CAPEX'!$M$81*'IN_SCEN'!$D$18</f>
        <v/>
      </c>
      <c r="N48" s="33">
        <f>'ENG_CAPEX'!$N$81*'IN_SCEN'!$D$18</f>
        <v/>
      </c>
      <c r="O48" s="33">
        <f>'ENG_CAPEX'!$O$81*'IN_SCEN'!$D$18</f>
        <v/>
      </c>
      <c r="P48" s="33">
        <f>'ENG_CAPEX'!$P$81*'IN_SCEN'!$D$18</f>
        <v/>
      </c>
    </row>
    <row r="49">
      <c r="A49" s="15" t="inlineStr">
        <is>
          <t>[1] EBITDA</t>
        </is>
      </c>
      <c r="B49" s="16" t="inlineStr">
        <is>
          <t>SB1.ebitda</t>
        </is>
      </c>
      <c r="C49" s="17" t="inlineStr">
        <is>
          <t>میلیون ریال</t>
        </is>
      </c>
      <c r="D49" s="33">
        <f>'ENG_SCEN'!$D$44-'ENG_SCEN'!$D$45-'ENG_SCEN'!$D$46-'ENG_SCEN'!$D$47</f>
        <v/>
      </c>
      <c r="E49" s="33">
        <f>'ENG_SCEN'!$E$44-'ENG_SCEN'!$E$45-'ENG_SCEN'!$E$46-'ENG_SCEN'!$E$47</f>
        <v/>
      </c>
      <c r="F49" s="33">
        <f>'ENG_SCEN'!$F$44-'ENG_SCEN'!$F$45-'ENG_SCEN'!$F$46-'ENG_SCEN'!$F$47</f>
        <v/>
      </c>
      <c r="G49" s="33">
        <f>'ENG_SCEN'!$G$44-'ENG_SCEN'!$G$45-'ENG_SCEN'!$G$46-'ENG_SCEN'!$G$47</f>
        <v/>
      </c>
      <c r="H49" s="33">
        <f>'ENG_SCEN'!$H$44-'ENG_SCEN'!$H$45-'ENG_SCEN'!$H$46-'ENG_SCEN'!$H$47</f>
        <v/>
      </c>
      <c r="I49" s="33">
        <f>'ENG_SCEN'!$I$44-'ENG_SCEN'!$I$45-'ENG_SCEN'!$I$46-'ENG_SCEN'!$I$47</f>
        <v/>
      </c>
      <c r="J49" s="33">
        <f>'ENG_SCEN'!$J$44-'ENG_SCEN'!$J$45-'ENG_SCEN'!$J$46-'ENG_SCEN'!$J$47</f>
        <v/>
      </c>
      <c r="K49" s="33">
        <f>'ENG_SCEN'!$K$44-'ENG_SCEN'!$K$45-'ENG_SCEN'!$K$46-'ENG_SCEN'!$K$47</f>
        <v/>
      </c>
      <c r="L49" s="33">
        <f>'ENG_SCEN'!$L$44-'ENG_SCEN'!$L$45-'ENG_SCEN'!$L$46-'ENG_SCEN'!$L$47</f>
        <v/>
      </c>
      <c r="M49" s="33">
        <f>'ENG_SCEN'!$M$44-'ENG_SCEN'!$M$45-'ENG_SCEN'!$M$46-'ENG_SCEN'!$M$47</f>
        <v/>
      </c>
      <c r="N49" s="33">
        <f>'ENG_SCEN'!$N$44-'ENG_SCEN'!$N$45-'ENG_SCEN'!$N$46-'ENG_SCEN'!$N$47</f>
        <v/>
      </c>
      <c r="O49" s="33">
        <f>'ENG_SCEN'!$O$44-'ENG_SCEN'!$O$45-'ENG_SCEN'!$O$46-'ENG_SCEN'!$O$47</f>
        <v/>
      </c>
      <c r="P49" s="33">
        <f>'ENG_SCEN'!$P$44-'ENG_SCEN'!$P$45-'ENG_SCEN'!$P$46-'ENG_SCEN'!$P$47</f>
        <v/>
      </c>
    </row>
    <row r="50">
      <c r="A50" s="15" t="inlineStr">
        <is>
          <t>[1] EBIT</t>
        </is>
      </c>
      <c r="B50" s="16" t="inlineStr">
        <is>
          <t>SB1.ebit</t>
        </is>
      </c>
      <c r="C50" s="17" t="inlineStr">
        <is>
          <t>میلیون ریال</t>
        </is>
      </c>
      <c r="D50" s="33">
        <f>'ENG_SCEN'!$D$49-'ENG_SCEN'!$D$48</f>
        <v/>
      </c>
      <c r="E50" s="33">
        <f>'ENG_SCEN'!$E$49-'ENG_SCEN'!$E$48</f>
        <v/>
      </c>
      <c r="F50" s="33">
        <f>'ENG_SCEN'!$F$49-'ENG_SCEN'!$F$48</f>
        <v/>
      </c>
      <c r="G50" s="33">
        <f>'ENG_SCEN'!$G$49-'ENG_SCEN'!$G$48</f>
        <v/>
      </c>
      <c r="H50" s="33">
        <f>'ENG_SCEN'!$H$49-'ENG_SCEN'!$H$48</f>
        <v/>
      </c>
      <c r="I50" s="33">
        <f>'ENG_SCEN'!$I$49-'ENG_SCEN'!$I$48</f>
        <v/>
      </c>
      <c r="J50" s="33">
        <f>'ENG_SCEN'!$J$49-'ENG_SCEN'!$J$48</f>
        <v/>
      </c>
      <c r="K50" s="33">
        <f>'ENG_SCEN'!$K$49-'ENG_SCEN'!$K$48</f>
        <v/>
      </c>
      <c r="L50" s="33">
        <f>'ENG_SCEN'!$L$49-'ENG_SCEN'!$L$48</f>
        <v/>
      </c>
      <c r="M50" s="33">
        <f>'ENG_SCEN'!$M$49-'ENG_SCEN'!$M$48</f>
        <v/>
      </c>
      <c r="N50" s="33">
        <f>'ENG_SCEN'!$N$49-'ENG_SCEN'!$N$48</f>
        <v/>
      </c>
      <c r="O50" s="33">
        <f>'ENG_SCEN'!$O$49-'ENG_SCEN'!$O$48</f>
        <v/>
      </c>
      <c r="P50" s="33">
        <f>'ENG_SCEN'!$P$49-'ENG_SCEN'!$P$48</f>
        <v/>
      </c>
    </row>
    <row r="51">
      <c r="A51" s="15" t="inlineStr">
        <is>
          <t>[1] مالیات</t>
        </is>
      </c>
      <c r="B51" s="16" t="inlineStr">
        <is>
          <t>SB1.tax</t>
        </is>
      </c>
      <c r="C51" s="17" t="inlineStr">
        <is>
          <t>میلیون ریال</t>
        </is>
      </c>
      <c r="D51" s="33">
        <f>MAX(0,'ENG_SCEN'!$D$50)*'IN_MACRO'!$D$14</f>
        <v/>
      </c>
      <c r="E51" s="33">
        <f>MAX(0,'ENG_SCEN'!$E$50)*'IN_MACRO'!$D$14</f>
        <v/>
      </c>
      <c r="F51" s="33">
        <f>MAX(0,'ENG_SCEN'!$F$50)*'IN_MACRO'!$D$14</f>
        <v/>
      </c>
      <c r="G51" s="33">
        <f>MAX(0,'ENG_SCEN'!$G$50)*'IN_MACRO'!$D$14</f>
        <v/>
      </c>
      <c r="H51" s="33">
        <f>MAX(0,'ENG_SCEN'!$H$50)*'IN_MACRO'!$D$14</f>
        <v/>
      </c>
      <c r="I51" s="33">
        <f>MAX(0,'ENG_SCEN'!$I$50)*'IN_MACRO'!$D$14</f>
        <v/>
      </c>
      <c r="J51" s="33">
        <f>MAX(0,'ENG_SCEN'!$J$50)*'IN_MACRO'!$D$14</f>
        <v/>
      </c>
      <c r="K51" s="33">
        <f>MAX(0,'ENG_SCEN'!$K$50)*'IN_MACRO'!$D$14</f>
        <v/>
      </c>
      <c r="L51" s="33">
        <f>MAX(0,'ENG_SCEN'!$L$50)*'IN_MACRO'!$D$14</f>
        <v/>
      </c>
      <c r="M51" s="33">
        <f>MAX(0,'ENG_SCEN'!$M$50)*'IN_MACRO'!$D$14</f>
        <v/>
      </c>
      <c r="N51" s="33">
        <f>MAX(0,'ENG_SCEN'!$N$50)*'IN_MACRO'!$D$14</f>
        <v/>
      </c>
      <c r="O51" s="33">
        <f>MAX(0,'ENG_SCEN'!$O$50)*'IN_MACRO'!$D$14</f>
        <v/>
      </c>
      <c r="P51" s="33">
        <f>MAX(0,'ENG_SCEN'!$P$50)*'IN_MACRO'!$D$14</f>
        <v/>
      </c>
    </row>
    <row r="52">
      <c r="A52" s="15" t="inlineStr">
        <is>
          <t>[1] NOPAT</t>
        </is>
      </c>
      <c r="B52" s="16" t="inlineStr">
        <is>
          <t>SB1.nopat</t>
        </is>
      </c>
      <c r="C52" s="17" t="inlineStr">
        <is>
          <t>میلیون ریال</t>
        </is>
      </c>
      <c r="D52" s="33">
        <f>'ENG_SCEN'!$D$50-'ENG_SCEN'!$D$51</f>
        <v/>
      </c>
      <c r="E52" s="33">
        <f>'ENG_SCEN'!$E$50-'ENG_SCEN'!$E$51</f>
        <v/>
      </c>
      <c r="F52" s="33">
        <f>'ENG_SCEN'!$F$50-'ENG_SCEN'!$F$51</f>
        <v/>
      </c>
      <c r="G52" s="33">
        <f>'ENG_SCEN'!$G$50-'ENG_SCEN'!$G$51</f>
        <v/>
      </c>
      <c r="H52" s="33">
        <f>'ENG_SCEN'!$H$50-'ENG_SCEN'!$H$51</f>
        <v/>
      </c>
      <c r="I52" s="33">
        <f>'ENG_SCEN'!$I$50-'ENG_SCEN'!$I$51</f>
        <v/>
      </c>
      <c r="J52" s="33">
        <f>'ENG_SCEN'!$J$50-'ENG_SCEN'!$J$51</f>
        <v/>
      </c>
      <c r="K52" s="33">
        <f>'ENG_SCEN'!$K$50-'ENG_SCEN'!$K$51</f>
        <v/>
      </c>
      <c r="L52" s="33">
        <f>'ENG_SCEN'!$L$50-'ENG_SCEN'!$L$51</f>
        <v/>
      </c>
      <c r="M52" s="33">
        <f>'ENG_SCEN'!$M$50-'ENG_SCEN'!$M$51</f>
        <v/>
      </c>
      <c r="N52" s="33">
        <f>'ENG_SCEN'!$N$50-'ENG_SCEN'!$N$51</f>
        <v/>
      </c>
      <c r="O52" s="33">
        <f>'ENG_SCEN'!$O$50-'ENG_SCEN'!$O$51</f>
        <v/>
      </c>
      <c r="P52" s="33">
        <f>'ENG_SCEN'!$P$50-'ENG_SCEN'!$P$51</f>
        <v/>
      </c>
    </row>
    <row r="53">
      <c r="A53" s="15" t="inlineStr">
        <is>
          <t>[1] CAPEX و جایگزینی</t>
        </is>
      </c>
      <c r="B53" s="16" t="inlineStr">
        <is>
          <t>SB1.capex</t>
        </is>
      </c>
      <c r="C53" s="17" t="inlineStr">
        <is>
          <t>میلیون ریال</t>
        </is>
      </c>
      <c r="D53" s="33">
        <f>('ENG_CAPEX'!$D$21+'ENG_CAPEX'!$D$42)*'IN_SCEN'!$D$18</f>
        <v/>
      </c>
      <c r="E53" s="33">
        <f>('ENG_CAPEX'!$E$21+'ENG_CAPEX'!$E$42)*'IN_SCEN'!$D$18</f>
        <v/>
      </c>
      <c r="F53" s="33">
        <f>('ENG_CAPEX'!$F$21+'ENG_CAPEX'!$F$42)*'IN_SCEN'!$D$18</f>
        <v/>
      </c>
      <c r="G53" s="33">
        <f>('ENG_CAPEX'!$G$21+'ENG_CAPEX'!$G$42)*'IN_SCEN'!$D$18</f>
        <v/>
      </c>
      <c r="H53" s="33">
        <f>('ENG_CAPEX'!$H$21+'ENG_CAPEX'!$H$42)*'IN_SCEN'!$D$18</f>
        <v/>
      </c>
      <c r="I53" s="33">
        <f>('ENG_CAPEX'!$I$21+'ENG_CAPEX'!$I$42)*'IN_SCEN'!$D$18</f>
        <v/>
      </c>
      <c r="J53" s="33">
        <f>('ENG_CAPEX'!$J$21+'ENG_CAPEX'!$J$42)*'IN_SCEN'!$D$18</f>
        <v/>
      </c>
      <c r="K53" s="33">
        <f>('ENG_CAPEX'!$K$21+'ENG_CAPEX'!$K$42)*'IN_SCEN'!$D$18</f>
        <v/>
      </c>
      <c r="L53" s="33">
        <f>('ENG_CAPEX'!$L$21+'ENG_CAPEX'!$L$42)*'IN_SCEN'!$D$18</f>
        <v/>
      </c>
      <c r="M53" s="33">
        <f>('ENG_CAPEX'!$M$21+'ENG_CAPEX'!$M$42)*'IN_SCEN'!$D$18</f>
        <v/>
      </c>
      <c r="N53" s="33">
        <f>('ENG_CAPEX'!$N$21+'ENG_CAPEX'!$N$42)*'IN_SCEN'!$D$18</f>
        <v/>
      </c>
      <c r="O53" s="33">
        <f>('ENG_CAPEX'!$O$21+'ENG_CAPEX'!$O$42)*'IN_SCEN'!$D$18</f>
        <v/>
      </c>
      <c r="P53" s="33">
        <f>('ENG_CAPEX'!$P$21+'ENG_CAPEX'!$P$42)*'IN_SCEN'!$D$18</f>
        <v/>
      </c>
    </row>
    <row r="54">
      <c r="A54" s="15" t="inlineStr">
        <is>
          <t>[1] تغییرات سرمایه در گردش</t>
        </is>
      </c>
      <c r="B54" s="16" t="inlineStr">
        <is>
          <t>SB1.dwc</t>
        </is>
      </c>
      <c r="C54" s="17" t="inlineStr">
        <is>
          <t>میلیون ریال</t>
        </is>
      </c>
      <c r="D54" s="33">
        <f>'ENG_WC'!$D$19*'IN_SCEN'!$D$13*'IN_SCEN'!$D$14</f>
        <v/>
      </c>
      <c r="E54" s="33">
        <f>'ENG_WC'!$E$19*'IN_SCEN'!$D$13*'IN_SCEN'!$D$14</f>
        <v/>
      </c>
      <c r="F54" s="33">
        <f>'ENG_WC'!$F$19*'IN_SCEN'!$D$13*'IN_SCEN'!$D$14</f>
        <v/>
      </c>
      <c r="G54" s="33">
        <f>'ENG_WC'!$G$19*'IN_SCEN'!$D$13*'IN_SCEN'!$D$14</f>
        <v/>
      </c>
      <c r="H54" s="33">
        <f>'ENG_WC'!$H$19*'IN_SCEN'!$D$13*'IN_SCEN'!$D$14</f>
        <v/>
      </c>
      <c r="I54" s="33">
        <f>'ENG_WC'!$I$19*'IN_SCEN'!$D$13*'IN_SCEN'!$D$14</f>
        <v/>
      </c>
      <c r="J54" s="33">
        <f>'ENG_WC'!$J$19*'IN_SCEN'!$D$13*'IN_SCEN'!$D$14</f>
        <v/>
      </c>
      <c r="K54" s="33">
        <f>'ENG_WC'!$K$19*'IN_SCEN'!$D$13*'IN_SCEN'!$D$14</f>
        <v/>
      </c>
      <c r="L54" s="33">
        <f>'ENG_WC'!$L$19*'IN_SCEN'!$D$13*'IN_SCEN'!$D$14</f>
        <v/>
      </c>
      <c r="M54" s="33">
        <f>'ENG_WC'!$M$19*'IN_SCEN'!$D$13*'IN_SCEN'!$D$14</f>
        <v/>
      </c>
      <c r="N54" s="33">
        <f>'ENG_WC'!$N$19*'IN_SCEN'!$D$13*'IN_SCEN'!$D$14</f>
        <v/>
      </c>
      <c r="O54" s="33">
        <f>'ENG_WC'!$O$19*'IN_SCEN'!$D$13*'IN_SCEN'!$D$14</f>
        <v/>
      </c>
      <c r="P54" s="33">
        <f>'ENG_WC'!$P$19*'IN_SCEN'!$D$13*'IN_SCEN'!$D$14</f>
        <v/>
      </c>
    </row>
    <row r="55">
      <c r="A55" s="15" t="inlineStr">
        <is>
          <t>[1] جریان نقد آزاد (FCFF)</t>
        </is>
      </c>
      <c r="B55" s="16" t="inlineStr">
        <is>
          <t>SB1.fcf</t>
        </is>
      </c>
      <c r="C55" s="17" t="inlineStr">
        <is>
          <t>میلیون ریال</t>
        </is>
      </c>
      <c r="D55" s="33">
        <f>'ENG_SCEN'!$D$52+'ENG_SCEN'!$D$48-'ENG_SCEN'!$D$53-'ENG_SCEN'!$D$54</f>
        <v/>
      </c>
      <c r="E55" s="33">
        <f>'ENG_SCEN'!$E$52+'ENG_SCEN'!$E$48-'ENG_SCEN'!$E$53-'ENG_SCEN'!$E$54</f>
        <v/>
      </c>
      <c r="F55" s="33">
        <f>'ENG_SCEN'!$F$52+'ENG_SCEN'!$F$48-'ENG_SCEN'!$F$53-'ENG_SCEN'!$F$54</f>
        <v/>
      </c>
      <c r="G55" s="33">
        <f>'ENG_SCEN'!$G$52+'ENG_SCEN'!$G$48-'ENG_SCEN'!$G$53-'ENG_SCEN'!$G$54</f>
        <v/>
      </c>
      <c r="H55" s="33">
        <f>'ENG_SCEN'!$H$52+'ENG_SCEN'!$H$48-'ENG_SCEN'!$H$53-'ENG_SCEN'!$H$54</f>
        <v/>
      </c>
      <c r="I55" s="33">
        <f>'ENG_SCEN'!$I$52+'ENG_SCEN'!$I$48-'ENG_SCEN'!$I$53-'ENG_SCEN'!$I$54</f>
        <v/>
      </c>
      <c r="J55" s="33">
        <f>'ENG_SCEN'!$J$52+'ENG_SCEN'!$J$48-'ENG_SCEN'!$J$53-'ENG_SCEN'!$J$54</f>
        <v/>
      </c>
      <c r="K55" s="33">
        <f>'ENG_SCEN'!$K$52+'ENG_SCEN'!$K$48-'ENG_SCEN'!$K$53-'ENG_SCEN'!$K$54</f>
        <v/>
      </c>
      <c r="L55" s="33">
        <f>'ENG_SCEN'!$L$52+'ENG_SCEN'!$L$48-'ENG_SCEN'!$L$53-'ENG_SCEN'!$L$54</f>
        <v/>
      </c>
      <c r="M55" s="33">
        <f>'ENG_SCEN'!$M$52+'ENG_SCEN'!$M$48-'ENG_SCEN'!$M$53-'ENG_SCEN'!$M$54</f>
        <v/>
      </c>
      <c r="N55" s="33">
        <f>'ENG_SCEN'!$N$52+'ENG_SCEN'!$N$48-'ENG_SCEN'!$N$53-'ENG_SCEN'!$N$54</f>
        <v/>
      </c>
      <c r="O55" s="33">
        <f>'ENG_SCEN'!$O$52+'ENG_SCEN'!$O$48-'ENG_SCEN'!$O$53-'ENG_SCEN'!$O$54</f>
        <v/>
      </c>
      <c r="P55" s="33">
        <f>'ENG_SCEN'!$P$52+'ENG_SCEN'!$P$48-'ENG_SCEN'!$P$53-'ENG_SCEN'!$P$54</f>
        <v/>
      </c>
    </row>
    <row r="56">
      <c r="A56" s="15" t="inlineStr">
        <is>
          <t>[1] FCFF تکرارپذیر</t>
        </is>
      </c>
      <c r="B56" s="16" t="inlineStr">
        <is>
          <t>SB1.fcf_rep</t>
        </is>
      </c>
      <c r="C56" s="17" t="inlineStr">
        <is>
          <t>میلیون ریال</t>
        </is>
      </c>
      <c r="D56" s="33">
        <f>'ENG_SCEN'!$D$52+'ENG_SCEN'!$D$48-'ENG_SCEN'!$D$54</f>
        <v/>
      </c>
      <c r="E56" s="33">
        <f>'ENG_SCEN'!$E$52+'ENG_SCEN'!$E$48-'ENG_SCEN'!$E$54</f>
        <v/>
      </c>
      <c r="F56" s="33">
        <f>'ENG_SCEN'!$F$52+'ENG_SCEN'!$F$48-'ENG_SCEN'!$F$54</f>
        <v/>
      </c>
      <c r="G56" s="33">
        <f>'ENG_SCEN'!$G$52+'ENG_SCEN'!$G$48-'ENG_SCEN'!$G$54</f>
        <v/>
      </c>
      <c r="H56" s="33">
        <f>'ENG_SCEN'!$H$52+'ENG_SCEN'!$H$48-'ENG_SCEN'!$H$54</f>
        <v/>
      </c>
      <c r="I56" s="33">
        <f>'ENG_SCEN'!$I$52+'ENG_SCEN'!$I$48-'ENG_SCEN'!$I$54</f>
        <v/>
      </c>
      <c r="J56" s="33">
        <f>'ENG_SCEN'!$J$52+'ENG_SCEN'!$J$48-'ENG_SCEN'!$J$54</f>
        <v/>
      </c>
      <c r="K56" s="33">
        <f>'ENG_SCEN'!$K$52+'ENG_SCEN'!$K$48-'ENG_SCEN'!$K$54</f>
        <v/>
      </c>
      <c r="L56" s="33">
        <f>'ENG_SCEN'!$L$52+'ENG_SCEN'!$L$48-'ENG_SCEN'!$L$54</f>
        <v/>
      </c>
      <c r="M56" s="33">
        <f>'ENG_SCEN'!$M$52+'ENG_SCEN'!$M$48-'ENG_SCEN'!$M$54</f>
        <v/>
      </c>
      <c r="N56" s="33">
        <f>'ENG_SCEN'!$N$52+'ENG_SCEN'!$N$48-'ENG_SCEN'!$N$54</f>
        <v/>
      </c>
      <c r="O56" s="33">
        <f>'ENG_SCEN'!$O$52+'ENG_SCEN'!$O$48-'ENG_SCEN'!$O$54</f>
        <v/>
      </c>
      <c r="P56" s="33">
        <f>'ENG_SCEN'!$P$52+'ENG_SCEN'!$P$48-'ENG_SCEN'!$P$54</f>
        <v/>
      </c>
    </row>
    <row r="57">
      <c r="A57" s="15" t="inlineStr">
        <is>
          <t>[1] FCFF تجمعی</t>
        </is>
      </c>
      <c r="B57" s="16" t="inlineStr">
        <is>
          <t>SB1.cum</t>
        </is>
      </c>
      <c r="C57" s="17" t="inlineStr">
        <is>
          <t>میلیون ریال</t>
        </is>
      </c>
      <c r="D57" s="33">
        <f>'ENG_SCEN'!$D$55</f>
        <v/>
      </c>
      <c r="E57" s="33">
        <f>'ENG_SCEN'!$D$57+'ENG_SCEN'!$E$55</f>
        <v/>
      </c>
      <c r="F57" s="33">
        <f>'ENG_SCEN'!$E$57+'ENG_SCEN'!$F$55</f>
        <v/>
      </c>
      <c r="G57" s="33">
        <f>'ENG_SCEN'!$F$57+'ENG_SCEN'!$G$55</f>
        <v/>
      </c>
      <c r="H57" s="33">
        <f>'ENG_SCEN'!$G$57+'ENG_SCEN'!$H$55</f>
        <v/>
      </c>
      <c r="I57" s="33">
        <f>'ENG_SCEN'!$H$57+'ENG_SCEN'!$I$55</f>
        <v/>
      </c>
      <c r="J57" s="33">
        <f>'ENG_SCEN'!$I$57+'ENG_SCEN'!$J$55</f>
        <v/>
      </c>
      <c r="K57" s="33">
        <f>'ENG_SCEN'!$J$57+'ENG_SCEN'!$K$55</f>
        <v/>
      </c>
      <c r="L57" s="33">
        <f>'ENG_SCEN'!$K$57+'ENG_SCEN'!$L$55</f>
        <v/>
      </c>
      <c r="M57" s="33">
        <f>'ENG_SCEN'!$L$57+'ENG_SCEN'!$M$55</f>
        <v/>
      </c>
      <c r="N57" s="33">
        <f>'ENG_SCEN'!$M$57+'ENG_SCEN'!$N$55</f>
        <v/>
      </c>
      <c r="O57" s="33">
        <f>'ENG_SCEN'!$N$57+'ENG_SCEN'!$O$55</f>
        <v/>
      </c>
      <c r="P57" s="33">
        <f>'ENG_SCEN'!$O$57+'ENG_SCEN'!$P$55</f>
        <v/>
      </c>
    </row>
    <row r="58">
      <c r="A58" s="15" t="inlineStr">
        <is>
          <t>[1] نرخ تنزیل (WACC)</t>
        </is>
      </c>
      <c r="B58" s="16" t="inlineStr">
        <is>
          <t>SB1.wacc</t>
        </is>
      </c>
      <c r="C58" s="17" t="inlineStr">
        <is>
          <t>درصد</t>
        </is>
      </c>
      <c r="D58" s="32">
        <f>'ENG_DCF'!$D$14+'IN_SCEN'!$D$20</f>
        <v/>
      </c>
      <c r="E58" s="32">
        <f>'ENG_DCF'!$E$14+'IN_SCEN'!$D$20</f>
        <v/>
      </c>
      <c r="F58" s="32">
        <f>'ENG_DCF'!$F$14+'IN_SCEN'!$D$20</f>
        <v/>
      </c>
      <c r="G58" s="32">
        <f>'ENG_DCF'!$G$14+'IN_SCEN'!$D$20</f>
        <v/>
      </c>
      <c r="H58" s="32">
        <f>'ENG_DCF'!$H$14+'IN_SCEN'!$D$20</f>
        <v/>
      </c>
      <c r="I58" s="32">
        <f>'ENG_DCF'!$I$14+'IN_SCEN'!$D$20</f>
        <v/>
      </c>
      <c r="J58" s="32">
        <f>'ENG_DCF'!$J$14+'IN_SCEN'!$D$20</f>
        <v/>
      </c>
      <c r="K58" s="32">
        <f>'ENG_DCF'!$K$14+'IN_SCEN'!$D$20</f>
        <v/>
      </c>
      <c r="L58" s="32">
        <f>'ENG_DCF'!$L$14+'IN_SCEN'!$D$20</f>
        <v/>
      </c>
      <c r="M58" s="32">
        <f>'ENG_DCF'!$M$14+'IN_SCEN'!$D$20</f>
        <v/>
      </c>
      <c r="N58" s="32">
        <f>'ENG_DCF'!$N$14+'IN_SCEN'!$D$20</f>
        <v/>
      </c>
      <c r="O58" s="32">
        <f>'ENG_DCF'!$O$14+'IN_SCEN'!$D$20</f>
        <v/>
      </c>
      <c r="P58" s="32">
        <f>'ENG_DCF'!$P$14+'IN_SCEN'!$D$20</f>
        <v/>
      </c>
    </row>
    <row r="59">
      <c r="A59" s="15" t="inlineStr">
        <is>
          <t>[1] ضریب تنزیل</t>
        </is>
      </c>
      <c r="B59" s="16" t="inlineStr">
        <is>
          <t>SB1.df</t>
        </is>
      </c>
      <c r="C59" s="17" t="inlineStr">
        <is>
          <t>ضریب</t>
        </is>
      </c>
      <c r="D59" s="35">
        <f>1</f>
        <v/>
      </c>
      <c r="E59" s="35">
        <f>'ENG_SCEN'!$D$59/(1+'ENG_SCEN'!$E$58)</f>
        <v/>
      </c>
      <c r="F59" s="35">
        <f>'ENG_SCEN'!$E$59/(1+'ENG_SCEN'!$F$58)</f>
        <v/>
      </c>
      <c r="G59" s="35">
        <f>'ENG_SCEN'!$F$59/(1+'ENG_SCEN'!$G$58)</f>
        <v/>
      </c>
      <c r="H59" s="35">
        <f>'ENG_SCEN'!$G$59/(1+'ENG_SCEN'!$H$58)</f>
        <v/>
      </c>
      <c r="I59" s="35">
        <f>'ENG_SCEN'!$H$59/(1+'ENG_SCEN'!$I$58)</f>
        <v/>
      </c>
      <c r="J59" s="35">
        <f>'ENG_SCEN'!$I$59/(1+'ENG_SCEN'!$J$58)</f>
        <v/>
      </c>
      <c r="K59" s="35">
        <f>'ENG_SCEN'!$J$59/(1+'ENG_SCEN'!$K$58)</f>
        <v/>
      </c>
      <c r="L59" s="35">
        <f>'ENG_SCEN'!$K$59/(1+'ENG_SCEN'!$L$58)</f>
        <v/>
      </c>
      <c r="M59" s="35">
        <f>'ENG_SCEN'!$L$59/(1+'ENG_SCEN'!$M$58)</f>
        <v/>
      </c>
      <c r="N59" s="35">
        <f>'ENG_SCEN'!$M$59/(1+'ENG_SCEN'!$N$58)</f>
        <v/>
      </c>
      <c r="O59" s="35">
        <f>'ENG_SCEN'!$N$59/(1+'ENG_SCEN'!$O$58)</f>
        <v/>
      </c>
      <c r="P59" s="35">
        <f>'ENG_SCEN'!$O$59/(1+'ENG_SCEN'!$P$58)</f>
        <v/>
      </c>
    </row>
    <row r="60">
      <c r="A60" s="15" t="inlineStr">
        <is>
          <t>[1] ارزش فعلی FCFF</t>
        </is>
      </c>
      <c r="B60" s="16" t="inlineStr">
        <is>
          <t>SB1.pv</t>
        </is>
      </c>
      <c r="C60" s="17" t="inlineStr">
        <is>
          <t>میلیون ریال</t>
        </is>
      </c>
      <c r="D60" s="33">
        <f>'ENG_SCEN'!$D$55*'ENG_SCEN'!$D$59</f>
        <v/>
      </c>
      <c r="E60" s="33">
        <f>'ENG_SCEN'!$E$55*'ENG_SCEN'!$E$59</f>
        <v/>
      </c>
      <c r="F60" s="33">
        <f>'ENG_SCEN'!$F$55*'ENG_SCEN'!$F$59</f>
        <v/>
      </c>
      <c r="G60" s="33">
        <f>'ENG_SCEN'!$G$55*'ENG_SCEN'!$G$59</f>
        <v/>
      </c>
      <c r="H60" s="33">
        <f>'ENG_SCEN'!$H$55*'ENG_SCEN'!$H$59</f>
        <v/>
      </c>
      <c r="I60" s="33">
        <f>'ENG_SCEN'!$I$55*'ENG_SCEN'!$I$59</f>
        <v/>
      </c>
      <c r="J60" s="33">
        <f>'ENG_SCEN'!$J$55*'ENG_SCEN'!$J$59</f>
        <v/>
      </c>
      <c r="K60" s="33">
        <f>'ENG_SCEN'!$K$55*'ENG_SCEN'!$K$59</f>
        <v/>
      </c>
      <c r="L60" s="33">
        <f>'ENG_SCEN'!$L$55*'ENG_SCEN'!$L$59</f>
        <v/>
      </c>
      <c r="M60" s="33">
        <f>'ENG_SCEN'!$M$55*'ENG_SCEN'!$M$59</f>
        <v/>
      </c>
      <c r="N60" s="33">
        <f>'ENG_SCEN'!$N$55*'ENG_SCEN'!$N$59</f>
        <v/>
      </c>
      <c r="O60" s="33">
        <f>'ENG_SCEN'!$O$55*'ENG_SCEN'!$O$59</f>
        <v/>
      </c>
      <c r="P60" s="33">
        <f>'ENG_SCEN'!$P$55*'ENG_SCEN'!$P$59</f>
        <v/>
      </c>
    </row>
    <row r="61">
      <c r="A61" s="15" t="inlineStr">
        <is>
          <t>[1] ارزش فعلی تجمعی</t>
        </is>
      </c>
      <c r="B61" s="16" t="inlineStr">
        <is>
          <t>SB1.pvc</t>
        </is>
      </c>
      <c r="C61" s="17" t="inlineStr">
        <is>
          <t>میلیون ریال</t>
        </is>
      </c>
      <c r="D61" s="33">
        <f>'ENG_SCEN'!$D$60</f>
        <v/>
      </c>
      <c r="E61" s="33">
        <f>'ENG_SCEN'!$D$61+'ENG_SCEN'!$E$60</f>
        <v/>
      </c>
      <c r="F61" s="33">
        <f>'ENG_SCEN'!$E$61+'ENG_SCEN'!$F$60</f>
        <v/>
      </c>
      <c r="G61" s="33">
        <f>'ENG_SCEN'!$F$61+'ENG_SCEN'!$G$60</f>
        <v/>
      </c>
      <c r="H61" s="33">
        <f>'ENG_SCEN'!$G$61+'ENG_SCEN'!$H$60</f>
        <v/>
      </c>
      <c r="I61" s="33">
        <f>'ENG_SCEN'!$H$61+'ENG_SCEN'!$I$60</f>
        <v/>
      </c>
      <c r="J61" s="33">
        <f>'ENG_SCEN'!$I$61+'ENG_SCEN'!$J$60</f>
        <v/>
      </c>
      <c r="K61" s="33">
        <f>'ENG_SCEN'!$J$61+'ENG_SCEN'!$K$60</f>
        <v/>
      </c>
      <c r="L61" s="33">
        <f>'ENG_SCEN'!$K$61+'ENG_SCEN'!$L$60</f>
        <v/>
      </c>
      <c r="M61" s="33">
        <f>'ENG_SCEN'!$L$61+'ENG_SCEN'!$M$60</f>
        <v/>
      </c>
      <c r="N61" s="33">
        <f>'ENG_SCEN'!$M$61+'ENG_SCEN'!$N$60</f>
        <v/>
      </c>
      <c r="O61" s="33">
        <f>'ENG_SCEN'!$N$61+'ENG_SCEN'!$O$60</f>
        <v/>
      </c>
      <c r="P61" s="33">
        <f>'ENG_SCEN'!$O$61+'ENG_SCEN'!$P$60</f>
        <v/>
      </c>
    </row>
    <row r="62">
      <c r="A62" s="15" t="inlineStr">
        <is>
          <t>[1] ارزش پایانی</t>
        </is>
      </c>
      <c r="B62" s="16" t="inlineStr">
        <is>
          <t>SB1.tv</t>
        </is>
      </c>
      <c r="C62" s="17" t="inlineStr">
        <is>
          <t>میلیون ریال</t>
        </is>
      </c>
      <c r="D62" s="33">
        <f>IF('IN_MACRO'!$D$23&lt;'IN_MACRO'!$D$11,0,IF('IN_MACRO'!$D$19=1,MAX(0,'ENG_SCEN'!$P$56)*(1+'IN_MACRO'!$D$18)/MAX(0.005,'ENG_SCEN'!$P$58-'IN_MACRO'!$D$18),'ENG_SCEN'!$P$49*'IN_MACRO'!$D$20))</f>
        <v/>
      </c>
      <c r="E62" s="33">
        <f>IF('IN_MACRO'!$E$23&lt;'IN_MACRO'!$D$11,0,IF('IN_MACRO'!$D$19=1,MAX(0,'ENG_SCEN'!$P$56)*(1+'IN_MACRO'!$D$18)/MAX(0.005,'ENG_SCEN'!$P$58-'IN_MACRO'!$D$18),'ENG_SCEN'!$P$49*'IN_MACRO'!$D$20))</f>
        <v/>
      </c>
      <c r="F62" s="33">
        <f>IF('IN_MACRO'!$F$23&lt;'IN_MACRO'!$D$11,0,IF('IN_MACRO'!$D$19=1,MAX(0,'ENG_SCEN'!$P$56)*(1+'IN_MACRO'!$D$18)/MAX(0.005,'ENG_SCEN'!$P$58-'IN_MACRO'!$D$18),'ENG_SCEN'!$P$49*'IN_MACRO'!$D$20))</f>
        <v/>
      </c>
      <c r="G62" s="33">
        <f>IF('IN_MACRO'!$G$23&lt;'IN_MACRO'!$D$11,0,IF('IN_MACRO'!$D$19=1,MAX(0,'ENG_SCEN'!$P$56)*(1+'IN_MACRO'!$D$18)/MAX(0.005,'ENG_SCEN'!$P$58-'IN_MACRO'!$D$18),'ENG_SCEN'!$P$49*'IN_MACRO'!$D$20))</f>
        <v/>
      </c>
      <c r="H62" s="33">
        <f>IF('IN_MACRO'!$H$23&lt;'IN_MACRO'!$D$11,0,IF('IN_MACRO'!$D$19=1,MAX(0,'ENG_SCEN'!$P$56)*(1+'IN_MACRO'!$D$18)/MAX(0.005,'ENG_SCEN'!$P$58-'IN_MACRO'!$D$18),'ENG_SCEN'!$P$49*'IN_MACRO'!$D$20))</f>
        <v/>
      </c>
      <c r="I62" s="33">
        <f>IF('IN_MACRO'!$I$23&lt;'IN_MACRO'!$D$11,0,IF('IN_MACRO'!$D$19=1,MAX(0,'ENG_SCEN'!$P$56)*(1+'IN_MACRO'!$D$18)/MAX(0.005,'ENG_SCEN'!$P$58-'IN_MACRO'!$D$18),'ENG_SCEN'!$P$49*'IN_MACRO'!$D$20))</f>
        <v/>
      </c>
      <c r="J62" s="33">
        <f>IF('IN_MACRO'!$J$23&lt;'IN_MACRO'!$D$11,0,IF('IN_MACRO'!$D$19=1,MAX(0,'ENG_SCEN'!$P$56)*(1+'IN_MACRO'!$D$18)/MAX(0.005,'ENG_SCEN'!$P$58-'IN_MACRO'!$D$18),'ENG_SCEN'!$P$49*'IN_MACRO'!$D$20))</f>
        <v/>
      </c>
      <c r="K62" s="33">
        <f>IF('IN_MACRO'!$K$23&lt;'IN_MACRO'!$D$11,0,IF('IN_MACRO'!$D$19=1,MAX(0,'ENG_SCEN'!$P$56)*(1+'IN_MACRO'!$D$18)/MAX(0.005,'ENG_SCEN'!$P$58-'IN_MACRO'!$D$18),'ENG_SCEN'!$P$49*'IN_MACRO'!$D$20))</f>
        <v/>
      </c>
      <c r="L62" s="33">
        <f>IF('IN_MACRO'!$L$23&lt;'IN_MACRO'!$D$11,0,IF('IN_MACRO'!$D$19=1,MAX(0,'ENG_SCEN'!$P$56)*(1+'IN_MACRO'!$D$18)/MAX(0.005,'ENG_SCEN'!$P$58-'IN_MACRO'!$D$18),'ENG_SCEN'!$P$49*'IN_MACRO'!$D$20))</f>
        <v/>
      </c>
      <c r="M62" s="33">
        <f>IF('IN_MACRO'!$M$23&lt;'IN_MACRO'!$D$11,0,IF('IN_MACRO'!$D$19=1,MAX(0,'ENG_SCEN'!$P$56)*(1+'IN_MACRO'!$D$18)/MAX(0.005,'ENG_SCEN'!$P$58-'IN_MACRO'!$D$18),'ENG_SCEN'!$P$49*'IN_MACRO'!$D$20))</f>
        <v/>
      </c>
      <c r="N62" s="33">
        <f>IF('IN_MACRO'!$N$23&lt;'IN_MACRO'!$D$11,0,IF('IN_MACRO'!$D$19=1,MAX(0,'ENG_SCEN'!$P$56)*(1+'IN_MACRO'!$D$18)/MAX(0.005,'ENG_SCEN'!$P$58-'IN_MACRO'!$D$18),'ENG_SCEN'!$P$49*'IN_MACRO'!$D$20))</f>
        <v/>
      </c>
      <c r="O62" s="33">
        <f>IF('IN_MACRO'!$O$23&lt;'IN_MACRO'!$D$11,0,IF('IN_MACRO'!$D$19=1,MAX(0,'ENG_SCEN'!$P$56)*(1+'IN_MACRO'!$D$18)/MAX(0.005,'ENG_SCEN'!$P$58-'IN_MACRO'!$D$18),'ENG_SCEN'!$P$49*'IN_MACRO'!$D$20))</f>
        <v/>
      </c>
      <c r="P62" s="33">
        <f>IF('IN_MACRO'!$P$23&lt;'IN_MACRO'!$D$11,0,IF('IN_MACRO'!$D$19=1,MAX(0,'ENG_SCEN'!$P$56)*(1+'IN_MACRO'!$D$18)/MAX(0.005,'ENG_SCEN'!$P$58-'IN_MACRO'!$D$18),'ENG_SCEN'!$P$49*'IN_MACRO'!$D$20))</f>
        <v/>
      </c>
    </row>
    <row r="63">
      <c r="A63" s="15" t="inlineStr">
        <is>
          <t>[1] ارزش فعلی ارزش پایانی</t>
        </is>
      </c>
      <c r="B63" s="16" t="inlineStr">
        <is>
          <t>SB1.pvtv</t>
        </is>
      </c>
      <c r="C63" s="17" t="inlineStr">
        <is>
          <t>میلیون ریال</t>
        </is>
      </c>
      <c r="D63" s="33">
        <f>'ENG_SCEN'!$D$62*'ENG_SCEN'!$D$59</f>
        <v/>
      </c>
      <c r="E63" s="33">
        <f>'ENG_SCEN'!$E$62*'ENG_SCEN'!$E$59</f>
        <v/>
      </c>
      <c r="F63" s="33">
        <f>'ENG_SCEN'!$F$62*'ENG_SCEN'!$F$59</f>
        <v/>
      </c>
      <c r="G63" s="33">
        <f>'ENG_SCEN'!$G$62*'ENG_SCEN'!$G$59</f>
        <v/>
      </c>
      <c r="H63" s="33">
        <f>'ENG_SCEN'!$H$62*'ENG_SCEN'!$H$59</f>
        <v/>
      </c>
      <c r="I63" s="33">
        <f>'ENG_SCEN'!$I$62*'ENG_SCEN'!$I$59</f>
        <v/>
      </c>
      <c r="J63" s="33">
        <f>'ENG_SCEN'!$J$62*'ENG_SCEN'!$J$59</f>
        <v/>
      </c>
      <c r="K63" s="33">
        <f>'ENG_SCEN'!$K$62*'ENG_SCEN'!$K$59</f>
        <v/>
      </c>
      <c r="L63" s="33">
        <f>'ENG_SCEN'!$L$62*'ENG_SCEN'!$L$59</f>
        <v/>
      </c>
      <c r="M63" s="33">
        <f>'ENG_SCEN'!$M$62*'ENG_SCEN'!$M$59</f>
        <v/>
      </c>
      <c r="N63" s="33">
        <f>'ENG_SCEN'!$N$62*'ENG_SCEN'!$N$59</f>
        <v/>
      </c>
      <c r="O63" s="33">
        <f>'ENG_SCEN'!$O$62*'ENG_SCEN'!$O$59</f>
        <v/>
      </c>
      <c r="P63" s="33">
        <f>'ENG_SCEN'!$P$62*'ENG_SCEN'!$P$59</f>
        <v/>
      </c>
    </row>
    <row r="64">
      <c r="A64" s="15" t="inlineStr">
        <is>
          <t>[1] جریان قابل بازدهی (FCF + TV)</t>
        </is>
      </c>
      <c r="B64" s="16" t="inlineStr">
        <is>
          <t>SB1.fcf_tv</t>
        </is>
      </c>
      <c r="C64" s="17" t="inlineStr">
        <is>
          <t>میلیون ریال</t>
        </is>
      </c>
      <c r="D64" s="33">
        <f>'ENG_SCEN'!$D$55+'ENG_SCEN'!$D$62</f>
        <v/>
      </c>
      <c r="E64" s="33">
        <f>'ENG_SCEN'!$E$55+'ENG_SCEN'!$E$62</f>
        <v/>
      </c>
      <c r="F64" s="33">
        <f>'ENG_SCEN'!$F$55+'ENG_SCEN'!$F$62</f>
        <v/>
      </c>
      <c r="G64" s="33">
        <f>'ENG_SCEN'!$G$55+'ENG_SCEN'!$G$62</f>
        <v/>
      </c>
      <c r="H64" s="33">
        <f>'ENG_SCEN'!$H$55+'ENG_SCEN'!$H$62</f>
        <v/>
      </c>
      <c r="I64" s="33">
        <f>'ENG_SCEN'!$I$55+'ENG_SCEN'!$I$62</f>
        <v/>
      </c>
      <c r="J64" s="33">
        <f>'ENG_SCEN'!$J$55+'ENG_SCEN'!$J$62</f>
        <v/>
      </c>
      <c r="K64" s="33">
        <f>'ENG_SCEN'!$K$55+'ENG_SCEN'!$K$62</f>
        <v/>
      </c>
      <c r="L64" s="33">
        <f>'ENG_SCEN'!$L$55+'ENG_SCEN'!$L$62</f>
        <v/>
      </c>
      <c r="M64" s="33">
        <f>'ENG_SCEN'!$M$55+'ENG_SCEN'!$M$62</f>
        <v/>
      </c>
      <c r="N64" s="33">
        <f>'ENG_SCEN'!$N$55+'ENG_SCEN'!$N$62</f>
        <v/>
      </c>
      <c r="O64" s="33">
        <f>'ENG_SCEN'!$O$55+'ENG_SCEN'!$O$62</f>
        <v/>
      </c>
      <c r="P64" s="33">
        <f>'ENG_SCEN'!$P$55+'ENG_SCEN'!$P$62</f>
        <v/>
      </c>
    </row>
    <row r="65">
      <c r="A65" s="15" t="inlineStr">
        <is>
          <t>[1] CFADS</t>
        </is>
      </c>
      <c r="B65" s="16" t="inlineStr">
        <is>
          <t>SB1.cfads</t>
        </is>
      </c>
      <c r="C65" s="17" t="inlineStr">
        <is>
          <t>میلیون ریال</t>
        </is>
      </c>
      <c r="D65" s="33">
        <f>'ENG_SCEN'!$D$49-'ENG_SCEN'!$D$51-'ENG_SCEN'!$D$54</f>
        <v/>
      </c>
      <c r="E65" s="33">
        <f>'ENG_SCEN'!$E$49-'ENG_SCEN'!$E$51-'ENG_SCEN'!$E$54</f>
        <v/>
      </c>
      <c r="F65" s="33">
        <f>'ENG_SCEN'!$F$49-'ENG_SCEN'!$F$51-'ENG_SCEN'!$F$54</f>
        <v/>
      </c>
      <c r="G65" s="33">
        <f>'ENG_SCEN'!$G$49-'ENG_SCEN'!$G$51-'ENG_SCEN'!$G$54</f>
        <v/>
      </c>
      <c r="H65" s="33">
        <f>'ENG_SCEN'!$H$49-'ENG_SCEN'!$H$51-'ENG_SCEN'!$H$54</f>
        <v/>
      </c>
      <c r="I65" s="33">
        <f>'ENG_SCEN'!$I$49-'ENG_SCEN'!$I$51-'ENG_SCEN'!$I$54</f>
        <v/>
      </c>
      <c r="J65" s="33">
        <f>'ENG_SCEN'!$J$49-'ENG_SCEN'!$J$51-'ENG_SCEN'!$J$54</f>
        <v/>
      </c>
      <c r="K65" s="33">
        <f>'ENG_SCEN'!$K$49-'ENG_SCEN'!$K$51-'ENG_SCEN'!$K$54</f>
        <v/>
      </c>
      <c r="L65" s="33">
        <f>'ENG_SCEN'!$L$49-'ENG_SCEN'!$L$51-'ENG_SCEN'!$L$54</f>
        <v/>
      </c>
      <c r="M65" s="33">
        <f>'ENG_SCEN'!$M$49-'ENG_SCEN'!$M$51-'ENG_SCEN'!$M$54</f>
        <v/>
      </c>
      <c r="N65" s="33">
        <f>'ENG_SCEN'!$N$49-'ENG_SCEN'!$N$51-'ENG_SCEN'!$N$54</f>
        <v/>
      </c>
      <c r="O65" s="33">
        <f>'ENG_SCEN'!$O$49-'ENG_SCEN'!$O$51-'ENG_SCEN'!$O$54</f>
        <v/>
      </c>
      <c r="P65" s="33">
        <f>'ENG_SCEN'!$P$49-'ENG_SCEN'!$P$51-'ENG_SCEN'!$P$54</f>
        <v/>
      </c>
    </row>
    <row r="66">
      <c r="A66" s="15" t="inlineStr">
        <is>
          <t>[1] خدمت دین</t>
        </is>
      </c>
      <c r="B66" s="16" t="inlineStr">
        <is>
          <t>SB1.debt_service</t>
        </is>
      </c>
      <c r="C66" s="17" t="inlineStr">
        <is>
          <t>میلیون ریال</t>
        </is>
      </c>
      <c r="D66" s="33">
        <f>'ENG_FCF'!$D$24+'ENG_FCF'!$D$20*('IN_FIN'!$D$25+'IN_SCEN'!$D$21)+'ENG_FCF'!$D$27</f>
        <v/>
      </c>
      <c r="E66" s="33">
        <f>'ENG_FCF'!$E$24+'ENG_FCF'!$E$20*('IN_FIN'!$D$25+'IN_SCEN'!$D$21)+'ENG_FCF'!$E$27</f>
        <v/>
      </c>
      <c r="F66" s="33">
        <f>'ENG_FCF'!$F$24+'ENG_FCF'!$F$20*('IN_FIN'!$D$25+'IN_SCEN'!$D$21)+'ENG_FCF'!$F$27</f>
        <v/>
      </c>
      <c r="G66" s="33">
        <f>'ENG_FCF'!$G$24+'ENG_FCF'!$G$20*('IN_FIN'!$D$25+'IN_SCEN'!$D$21)+'ENG_FCF'!$G$27</f>
        <v/>
      </c>
      <c r="H66" s="33">
        <f>'ENG_FCF'!$H$24+'ENG_FCF'!$H$20*('IN_FIN'!$D$25+'IN_SCEN'!$D$21)+'ENG_FCF'!$H$27</f>
        <v/>
      </c>
      <c r="I66" s="33">
        <f>'ENG_FCF'!$I$24+'ENG_FCF'!$I$20*('IN_FIN'!$D$25+'IN_SCEN'!$D$21)+'ENG_FCF'!$I$27</f>
        <v/>
      </c>
      <c r="J66" s="33">
        <f>'ENG_FCF'!$J$24+'ENG_FCF'!$J$20*('IN_FIN'!$D$25+'IN_SCEN'!$D$21)+'ENG_FCF'!$J$27</f>
        <v/>
      </c>
      <c r="K66" s="33">
        <f>'ENG_FCF'!$K$24+'ENG_FCF'!$K$20*('IN_FIN'!$D$25+'IN_SCEN'!$D$21)+'ENG_FCF'!$K$27</f>
        <v/>
      </c>
      <c r="L66" s="33">
        <f>'ENG_FCF'!$L$24+'ENG_FCF'!$L$20*('IN_FIN'!$D$25+'IN_SCEN'!$D$21)+'ENG_FCF'!$L$27</f>
        <v/>
      </c>
      <c r="M66" s="33">
        <f>'ENG_FCF'!$M$24+'ENG_FCF'!$M$20*('IN_FIN'!$D$25+'IN_SCEN'!$D$21)+'ENG_FCF'!$M$27</f>
        <v/>
      </c>
      <c r="N66" s="33">
        <f>'ENG_FCF'!$N$24+'ENG_FCF'!$N$20*('IN_FIN'!$D$25+'IN_SCEN'!$D$21)+'ENG_FCF'!$N$27</f>
        <v/>
      </c>
      <c r="O66" s="33">
        <f>'ENG_FCF'!$O$24+'ENG_FCF'!$O$20*('IN_FIN'!$D$25+'IN_SCEN'!$D$21)+'ENG_FCF'!$O$27</f>
        <v/>
      </c>
      <c r="P66" s="33">
        <f>'ENG_FCF'!$P$24+'ENG_FCF'!$P$20*('IN_FIN'!$D$25+'IN_SCEN'!$D$21)+'ENG_FCF'!$P$27</f>
        <v/>
      </c>
    </row>
    <row r="67">
      <c r="A67" s="15" t="inlineStr">
        <is>
          <t>[1] DSCR</t>
        </is>
      </c>
      <c r="B67" s="16" t="inlineStr">
        <is>
          <t>SB1.dscr</t>
        </is>
      </c>
      <c r="C67" s="17" t="inlineStr">
        <is>
          <t>ضریب</t>
        </is>
      </c>
      <c r="D67" s="35">
        <f>IFERROR('ENG_SCEN'!$D$65/'ENG_SCEN'!$D$66,"─")</f>
        <v/>
      </c>
      <c r="E67" s="35">
        <f>IFERROR('ENG_SCEN'!$E$65/'ENG_SCEN'!$E$66,"─")</f>
        <v/>
      </c>
      <c r="F67" s="35">
        <f>IFERROR('ENG_SCEN'!$F$65/'ENG_SCEN'!$F$66,"─")</f>
        <v/>
      </c>
      <c r="G67" s="35">
        <f>IFERROR('ENG_SCEN'!$G$65/'ENG_SCEN'!$G$66,"─")</f>
        <v/>
      </c>
      <c r="H67" s="35">
        <f>IFERROR('ENG_SCEN'!$H$65/'ENG_SCEN'!$H$66,"─")</f>
        <v/>
      </c>
      <c r="I67" s="35">
        <f>IFERROR('ENG_SCEN'!$I$65/'ENG_SCEN'!$I$66,"─")</f>
        <v/>
      </c>
      <c r="J67" s="35">
        <f>IFERROR('ENG_SCEN'!$J$65/'ENG_SCEN'!$J$66,"─")</f>
        <v/>
      </c>
      <c r="K67" s="35">
        <f>IFERROR('ENG_SCEN'!$K$65/'ENG_SCEN'!$K$66,"─")</f>
        <v/>
      </c>
      <c r="L67" s="35">
        <f>IFERROR('ENG_SCEN'!$L$65/'ENG_SCEN'!$L$66,"─")</f>
        <v/>
      </c>
      <c r="M67" s="35">
        <f>IFERROR('ENG_SCEN'!$M$65/'ENG_SCEN'!$M$66,"─")</f>
        <v/>
      </c>
      <c r="N67" s="35">
        <f>IFERROR('ENG_SCEN'!$N$65/'ENG_SCEN'!$N$66,"─")</f>
        <v/>
      </c>
      <c r="O67" s="35">
        <f>IFERROR('ENG_SCEN'!$O$65/'ENG_SCEN'!$O$66,"─")</f>
        <v/>
      </c>
      <c r="P67" s="35">
        <f>IFERROR('ENG_SCEN'!$P$65/'ENG_SCEN'!$P$66,"─")</f>
        <v/>
      </c>
    </row>
    <row r="68">
      <c r="A68" s="8" t="inlineStr">
        <is>
          <t>[1] ارزش فعلی خالص (NPV)</t>
        </is>
      </c>
      <c r="C68" s="13" t="inlineStr">
        <is>
          <t>میلیون ریال</t>
        </is>
      </c>
      <c r="D68" s="36">
        <f>SUM('ENG_SCEN'!$D$60:$P$60)+SUM('ENG_SCEN'!$D$63:$P$63)</f>
        <v/>
      </c>
    </row>
    <row r="69">
      <c r="A69" s="8" t="inlineStr">
        <is>
          <t>[1] IRR پروژه</t>
        </is>
      </c>
      <c r="C69" s="13" t="inlineStr">
        <is>
          <t>درصد</t>
        </is>
      </c>
      <c r="D69" s="31">
        <f>IFERROR(IRR('ENG_SCEN'!$D$64:$P$64),NA())</f>
        <v/>
      </c>
    </row>
    <row r="70">
      <c r="A70" s="8" t="inlineStr">
        <is>
          <t>[1] دوره بازپرداشت (سال)</t>
        </is>
      </c>
      <c r="C70" s="13" t="inlineStr">
        <is>
          <t>سال</t>
        </is>
      </c>
      <c r="D70" s="37">
        <f>IF(COUNTIF('ENG_SCEN'!$D$57:$P$57,"&lt;0")=0,0,IF(COUNTIF('ENG_SCEN'!$D$57:$P$57,"&lt;0")&gt;=13,NA(),INDEX('IN_MACRO'!$D$23:$P$23,COUNTIF('ENG_SCEN'!$D$57:$P$57,"&lt;0"))+(0-INDEX('ENG_SCEN'!$D$57:$P$57,COUNTIF('ENG_SCEN'!$D$57:$P$57,"&lt;0")))/(INDEX('ENG_SCEN'!$D$57:$P$57,COUNTIF('ENG_SCEN'!$D$57:$P$57,"&lt;0")+1)-INDEX('ENG_SCEN'!$D$57:$P$57,COUNTIF('ENG_SCEN'!$D$57:$P$57,"&lt;0")))))</f>
        <v/>
      </c>
    </row>
    <row r="71">
      <c r="A71" s="8" t="inlineStr">
        <is>
          <t>[1] شاخص سودآوری</t>
        </is>
      </c>
      <c r="C71" s="13" t="inlineStr">
        <is>
          <t>ضریب</t>
        </is>
      </c>
      <c r="D71" s="30">
        <f>IFERROR((SUMIF('ENG_SCEN'!$D$60:$P$60,"&gt;0")+SUM('ENG_SCEN'!$D$63:$P$63))/ABS(SUMIF('ENG_SCEN'!$D$60:$P$60,"&lt;0")),NA())</f>
        <v/>
      </c>
    </row>
    <row r="72">
      <c r="A72" s="8" t="inlineStr">
        <is>
          <t>[1] حداقل DSCR</t>
        </is>
      </c>
      <c r="C72" s="13" t="inlineStr">
        <is>
          <t>ضریب</t>
        </is>
      </c>
      <c r="D72" s="30">
        <f>IFERROR(IF(COUNT('ENG_SCEN'!$D$67:$P$67)=0,NA(),MIN('ENG_SCEN'!$D$67:$P$67)),NA())</f>
        <v/>
      </c>
    </row>
    <row r="73">
      <c r="A73" s="8" t="inlineStr">
        <is>
          <t>[1] میانگین DSCR دوره بازپرداخت</t>
        </is>
      </c>
      <c r="C73" s="13" t="inlineStr">
        <is>
          <t>ضریب</t>
        </is>
      </c>
      <c r="D73" s="30">
        <f>IFERROR(AVERAGEIF('ENG_SCEN'!$D$66:$P$66,"&gt;0",'ENG_SCEN'!$D$67:$P$67),NA())</f>
        <v/>
      </c>
    </row>
    <row r="74"/>
    <row r="75">
      <c r="A75" s="4" t="inlineStr">
        <is>
          <t>سناریوی 2: خوش‌بینانه</t>
        </is>
      </c>
      <c r="B75" s="5" t="n"/>
      <c r="C75" s="5" t="n"/>
      <c r="D75" s="5" t="n"/>
      <c r="E75" s="5" t="n"/>
      <c r="F75" s="5" t="n"/>
      <c r="G75" s="5" t="n"/>
      <c r="H75" s="5" t="n"/>
      <c r="I75" s="5" t="n"/>
      <c r="J75" s="5" t="n"/>
      <c r="K75" s="5" t="n"/>
      <c r="L75" s="5" t="n"/>
      <c r="M75" s="5" t="n"/>
      <c r="N75" s="5" t="n"/>
      <c r="O75" s="5" t="n"/>
      <c r="P75" s="5" t="n"/>
      <c r="Q75" s="5" t="n"/>
    </row>
    <row r="76">
      <c r="A76" s="15" t="inlineStr">
        <is>
          <t>[2] حجم فروش محصولات (تن)</t>
        </is>
      </c>
      <c r="B76" s="16" t="inlineStr">
        <is>
          <t>SB2.vol</t>
        </is>
      </c>
      <c r="C76" s="17" t="inlineStr">
        <is>
          <t>تن</t>
        </is>
      </c>
      <c r="D76" s="33">
        <f>'ENG_OPS'!$D$82*'IN_SCEN'!$E$13</f>
        <v/>
      </c>
      <c r="E76" s="33">
        <f>'ENG_OPS'!$E$82*'IN_SCEN'!$E$13</f>
        <v/>
      </c>
      <c r="F76" s="33">
        <f>'ENG_OPS'!$F$82*'IN_SCEN'!$E$13</f>
        <v/>
      </c>
      <c r="G76" s="33">
        <f>'ENG_OPS'!$G$82*'IN_SCEN'!$E$13</f>
        <v/>
      </c>
      <c r="H76" s="33">
        <f>'ENG_OPS'!$H$82*'IN_SCEN'!$E$13</f>
        <v/>
      </c>
      <c r="I76" s="33">
        <f>'ENG_OPS'!$I$82*'IN_SCEN'!$E$13</f>
        <v/>
      </c>
      <c r="J76" s="33">
        <f>'ENG_OPS'!$J$82*'IN_SCEN'!$E$13</f>
        <v/>
      </c>
      <c r="K76" s="33">
        <f>'ENG_OPS'!$K$82*'IN_SCEN'!$E$13</f>
        <v/>
      </c>
      <c r="L76" s="33">
        <f>'ENG_OPS'!$L$82*'IN_SCEN'!$E$13</f>
        <v/>
      </c>
      <c r="M76" s="33">
        <f>'ENG_OPS'!$M$82*'IN_SCEN'!$E$13</f>
        <v/>
      </c>
      <c r="N76" s="33">
        <f>'ENG_OPS'!$N$82*'IN_SCEN'!$E$13</f>
        <v/>
      </c>
      <c r="O76" s="33">
        <f>'ENG_OPS'!$O$82*'IN_SCEN'!$E$13</f>
        <v/>
      </c>
      <c r="P76" s="33">
        <f>'ENG_OPS'!$P$82*'IN_SCEN'!$E$13</f>
        <v/>
      </c>
    </row>
    <row r="77">
      <c r="A77" s="15" t="inlineStr">
        <is>
          <t>[2] درآمد خالص هر تن</t>
        </is>
      </c>
      <c r="B77" s="16" t="inlineStr">
        <is>
          <t>SB2.price</t>
        </is>
      </c>
      <c r="C77" s="17" t="inlineStr">
        <is>
          <t>میلیون ریال/تن</t>
        </is>
      </c>
      <c r="D77" s="34">
        <f>'ENG_OPS'!$D$83*'IN_SCEN'!$E$14</f>
        <v/>
      </c>
      <c r="E77" s="34">
        <f>'ENG_OPS'!$E$83*'IN_SCEN'!$E$14</f>
        <v/>
      </c>
      <c r="F77" s="34">
        <f>'ENG_OPS'!$F$83*'IN_SCEN'!$E$14</f>
        <v/>
      </c>
      <c r="G77" s="34">
        <f>'ENG_OPS'!$G$83*'IN_SCEN'!$E$14</f>
        <v/>
      </c>
      <c r="H77" s="34">
        <f>'ENG_OPS'!$H$83*'IN_SCEN'!$E$14</f>
        <v/>
      </c>
      <c r="I77" s="34">
        <f>'ENG_OPS'!$I$83*'IN_SCEN'!$E$14</f>
        <v/>
      </c>
      <c r="J77" s="34">
        <f>'ENG_OPS'!$J$83*'IN_SCEN'!$E$14</f>
        <v/>
      </c>
      <c r="K77" s="34">
        <f>'ENG_OPS'!$K$83*'IN_SCEN'!$E$14</f>
        <v/>
      </c>
      <c r="L77" s="34">
        <f>'ENG_OPS'!$L$83*'IN_SCEN'!$E$14</f>
        <v/>
      </c>
      <c r="M77" s="34">
        <f>'ENG_OPS'!$M$83*'IN_SCEN'!$E$14</f>
        <v/>
      </c>
      <c r="N77" s="34">
        <f>'ENG_OPS'!$N$83*'IN_SCEN'!$E$14</f>
        <v/>
      </c>
      <c r="O77" s="34">
        <f>'ENG_OPS'!$O$83*'IN_SCEN'!$E$14</f>
        <v/>
      </c>
      <c r="P77" s="34">
        <f>'ENG_OPS'!$P$83*'IN_SCEN'!$E$14</f>
        <v/>
      </c>
    </row>
    <row r="78">
      <c r="A78" s="15" t="inlineStr">
        <is>
          <t>[2] درآمد خالص</t>
        </is>
      </c>
      <c r="B78" s="16" t="inlineStr">
        <is>
          <t>SB2.rev</t>
        </is>
      </c>
      <c r="C78" s="17" t="inlineStr">
        <is>
          <t>میلیون ریال</t>
        </is>
      </c>
      <c r="D78" s="33">
        <f>'ENG_SCEN'!$D$76*'ENG_SCEN'!$D$77</f>
        <v/>
      </c>
      <c r="E78" s="33">
        <f>'ENG_SCEN'!$E$76*'ENG_SCEN'!$E$77</f>
        <v/>
      </c>
      <c r="F78" s="33">
        <f>'ENG_SCEN'!$F$76*'ENG_SCEN'!$F$77</f>
        <v/>
      </c>
      <c r="G78" s="33">
        <f>'ENG_SCEN'!$G$76*'ENG_SCEN'!$G$77</f>
        <v/>
      </c>
      <c r="H78" s="33">
        <f>'ENG_SCEN'!$H$76*'ENG_SCEN'!$H$77</f>
        <v/>
      </c>
      <c r="I78" s="33">
        <f>'ENG_SCEN'!$I$76*'ENG_SCEN'!$I$77</f>
        <v/>
      </c>
      <c r="J78" s="33">
        <f>'ENG_SCEN'!$J$76*'ENG_SCEN'!$J$77</f>
        <v/>
      </c>
      <c r="K78" s="33">
        <f>'ENG_SCEN'!$K$76*'ENG_SCEN'!$K$77</f>
        <v/>
      </c>
      <c r="L78" s="33">
        <f>'ENG_SCEN'!$L$76*'ENG_SCEN'!$L$77</f>
        <v/>
      </c>
      <c r="M78" s="33">
        <f>'ENG_SCEN'!$M$76*'ENG_SCEN'!$M$77</f>
        <v/>
      </c>
      <c r="N78" s="33">
        <f>'ENG_SCEN'!$N$76*'ENG_SCEN'!$N$77</f>
        <v/>
      </c>
      <c r="O78" s="33">
        <f>'ENG_SCEN'!$O$76*'ENG_SCEN'!$O$77</f>
        <v/>
      </c>
      <c r="P78" s="33">
        <f>'ENG_SCEN'!$P$76*'ENG_SCEN'!$P$77</f>
        <v/>
      </c>
    </row>
    <row r="79">
      <c r="A79" s="15" t="inlineStr">
        <is>
          <t>[2] هزینه مواد اولیه</t>
        </is>
      </c>
      <c r="B79" s="16" t="inlineStr">
        <is>
          <t>SB2.rm</t>
        </is>
      </c>
      <c r="C79" s="17" t="inlineStr">
        <is>
          <t>میلیون ریال</t>
        </is>
      </c>
      <c r="D79" s="33">
        <f>'ENG_COST'!$D$264*'IN_SCEN'!$E$13*'IN_SCEN'!$E$15</f>
        <v/>
      </c>
      <c r="E79" s="33">
        <f>'ENG_COST'!$E$264*'IN_SCEN'!$E$13*'IN_SCEN'!$E$15</f>
        <v/>
      </c>
      <c r="F79" s="33">
        <f>'ENG_COST'!$F$264*'IN_SCEN'!$E$13*'IN_SCEN'!$E$15</f>
        <v/>
      </c>
      <c r="G79" s="33">
        <f>'ENG_COST'!$G$264*'IN_SCEN'!$E$13*'IN_SCEN'!$E$15</f>
        <v/>
      </c>
      <c r="H79" s="33">
        <f>'ENG_COST'!$H$264*'IN_SCEN'!$E$13*'IN_SCEN'!$E$15</f>
        <v/>
      </c>
      <c r="I79" s="33">
        <f>'ENG_COST'!$I$264*'IN_SCEN'!$E$13*'IN_SCEN'!$E$15</f>
        <v/>
      </c>
      <c r="J79" s="33">
        <f>'ENG_COST'!$J$264*'IN_SCEN'!$E$13*'IN_SCEN'!$E$15</f>
        <v/>
      </c>
      <c r="K79" s="33">
        <f>'ENG_COST'!$K$264*'IN_SCEN'!$E$13*'IN_SCEN'!$E$15</f>
        <v/>
      </c>
      <c r="L79" s="33">
        <f>'ENG_COST'!$L$264*'IN_SCEN'!$E$13*'IN_SCEN'!$E$15</f>
        <v/>
      </c>
      <c r="M79" s="33">
        <f>'ENG_COST'!$M$264*'IN_SCEN'!$E$13*'IN_SCEN'!$E$15</f>
        <v/>
      </c>
      <c r="N79" s="33">
        <f>'ENG_COST'!$N$264*'IN_SCEN'!$E$13*'IN_SCEN'!$E$15</f>
        <v/>
      </c>
      <c r="O79" s="33">
        <f>'ENG_COST'!$O$264*'IN_SCEN'!$E$13*'IN_SCEN'!$E$15</f>
        <v/>
      </c>
      <c r="P79" s="33">
        <f>'ENG_COST'!$P$264*'IN_SCEN'!$E$13*'IN_SCEN'!$E$15</f>
        <v/>
      </c>
    </row>
    <row r="80">
      <c r="A80" s="15" t="inlineStr">
        <is>
          <t>[2] سایر هزینه‌های متغیر</t>
        </is>
      </c>
      <c r="B80" s="16" t="inlineStr">
        <is>
          <t>SB2.var</t>
        </is>
      </c>
      <c r="C80" s="17" t="inlineStr">
        <is>
          <t>میلیون ریال</t>
        </is>
      </c>
      <c r="D80" s="33">
        <f>'ENG_COST'!$D$265*'IN_SCEN'!$E$13*'IN_SCEN'!$E$16</f>
        <v/>
      </c>
      <c r="E80" s="33">
        <f>'ENG_COST'!$E$265*'IN_SCEN'!$E$13*'IN_SCEN'!$E$16</f>
        <v/>
      </c>
      <c r="F80" s="33">
        <f>'ENG_COST'!$F$265*'IN_SCEN'!$E$13*'IN_SCEN'!$E$16</f>
        <v/>
      </c>
      <c r="G80" s="33">
        <f>'ENG_COST'!$G$265*'IN_SCEN'!$E$13*'IN_SCEN'!$E$16</f>
        <v/>
      </c>
      <c r="H80" s="33">
        <f>'ENG_COST'!$H$265*'IN_SCEN'!$E$13*'IN_SCEN'!$E$16</f>
        <v/>
      </c>
      <c r="I80" s="33">
        <f>'ENG_COST'!$I$265*'IN_SCEN'!$E$13*'IN_SCEN'!$E$16</f>
        <v/>
      </c>
      <c r="J80" s="33">
        <f>'ENG_COST'!$J$265*'IN_SCEN'!$E$13*'IN_SCEN'!$E$16</f>
        <v/>
      </c>
      <c r="K80" s="33">
        <f>'ENG_COST'!$K$265*'IN_SCEN'!$E$13*'IN_SCEN'!$E$16</f>
        <v/>
      </c>
      <c r="L80" s="33">
        <f>'ENG_COST'!$L$265*'IN_SCEN'!$E$13*'IN_SCEN'!$E$16</f>
        <v/>
      </c>
      <c r="M80" s="33">
        <f>'ENG_COST'!$M$265*'IN_SCEN'!$E$13*'IN_SCEN'!$E$16</f>
        <v/>
      </c>
      <c r="N80" s="33">
        <f>'ENG_COST'!$N$265*'IN_SCEN'!$E$13*'IN_SCEN'!$E$16</f>
        <v/>
      </c>
      <c r="O80" s="33">
        <f>'ENG_COST'!$O$265*'IN_SCEN'!$E$13*'IN_SCEN'!$E$16</f>
        <v/>
      </c>
      <c r="P80" s="33">
        <f>'ENG_COST'!$P$265*'IN_SCEN'!$E$13*'IN_SCEN'!$E$16</f>
        <v/>
      </c>
    </row>
    <row r="81">
      <c r="A81" s="15" t="inlineStr">
        <is>
          <t>[2] هزینه‌های ثابت نقدی</t>
        </is>
      </c>
      <c r="B81" s="16" t="inlineStr">
        <is>
          <t>SB2.fix</t>
        </is>
      </c>
      <c r="C81" s="17" t="inlineStr">
        <is>
          <t>میلیون ریال</t>
        </is>
      </c>
      <c r="D81" s="33">
        <f>'ENG_COST'!$D$268*'IN_SCEN'!$E$17</f>
        <v/>
      </c>
      <c r="E81" s="33">
        <f>'ENG_COST'!$E$268*'IN_SCEN'!$E$17</f>
        <v/>
      </c>
      <c r="F81" s="33">
        <f>'ENG_COST'!$F$268*'IN_SCEN'!$E$17</f>
        <v/>
      </c>
      <c r="G81" s="33">
        <f>'ENG_COST'!$G$268*'IN_SCEN'!$E$17</f>
        <v/>
      </c>
      <c r="H81" s="33">
        <f>'ENG_COST'!$H$268*'IN_SCEN'!$E$17</f>
        <v/>
      </c>
      <c r="I81" s="33">
        <f>'ENG_COST'!$I$268*'IN_SCEN'!$E$17</f>
        <v/>
      </c>
      <c r="J81" s="33">
        <f>'ENG_COST'!$J$268*'IN_SCEN'!$E$17</f>
        <v/>
      </c>
      <c r="K81" s="33">
        <f>'ENG_COST'!$K$268*'IN_SCEN'!$E$17</f>
        <v/>
      </c>
      <c r="L81" s="33">
        <f>'ENG_COST'!$L$268*'IN_SCEN'!$E$17</f>
        <v/>
      </c>
      <c r="M81" s="33">
        <f>'ENG_COST'!$M$268*'IN_SCEN'!$E$17</f>
        <v/>
      </c>
      <c r="N81" s="33">
        <f>'ENG_COST'!$N$268*'IN_SCEN'!$E$17</f>
        <v/>
      </c>
      <c r="O81" s="33">
        <f>'ENG_COST'!$O$268*'IN_SCEN'!$E$17</f>
        <v/>
      </c>
      <c r="P81" s="33">
        <f>'ENG_COST'!$P$268*'IN_SCEN'!$E$17</f>
        <v/>
      </c>
    </row>
    <row r="82">
      <c r="A82" s="15" t="inlineStr">
        <is>
          <t>[2] استهلاک</t>
        </is>
      </c>
      <c r="B82" s="16" t="inlineStr">
        <is>
          <t>SB2.dep</t>
        </is>
      </c>
      <c r="C82" s="17" t="inlineStr">
        <is>
          <t>میلیون ریال</t>
        </is>
      </c>
      <c r="D82" s="33">
        <f>'ENG_CAPEX'!$D$81*'IN_SCEN'!$E$18</f>
        <v/>
      </c>
      <c r="E82" s="33">
        <f>'ENG_CAPEX'!$E$81*'IN_SCEN'!$E$18</f>
        <v/>
      </c>
      <c r="F82" s="33">
        <f>'ENG_CAPEX'!$F$81*'IN_SCEN'!$E$18</f>
        <v/>
      </c>
      <c r="G82" s="33">
        <f>'ENG_CAPEX'!$G$81*'IN_SCEN'!$E$18</f>
        <v/>
      </c>
      <c r="H82" s="33">
        <f>'ENG_CAPEX'!$H$81*'IN_SCEN'!$E$18</f>
        <v/>
      </c>
      <c r="I82" s="33">
        <f>'ENG_CAPEX'!$I$81*'IN_SCEN'!$E$18</f>
        <v/>
      </c>
      <c r="J82" s="33">
        <f>'ENG_CAPEX'!$J$81*'IN_SCEN'!$E$18</f>
        <v/>
      </c>
      <c r="K82" s="33">
        <f>'ENG_CAPEX'!$K$81*'IN_SCEN'!$E$18</f>
        <v/>
      </c>
      <c r="L82" s="33">
        <f>'ENG_CAPEX'!$L$81*'IN_SCEN'!$E$18</f>
        <v/>
      </c>
      <c r="M82" s="33">
        <f>'ENG_CAPEX'!$M$81*'IN_SCEN'!$E$18</f>
        <v/>
      </c>
      <c r="N82" s="33">
        <f>'ENG_CAPEX'!$N$81*'IN_SCEN'!$E$18</f>
        <v/>
      </c>
      <c r="O82" s="33">
        <f>'ENG_CAPEX'!$O$81*'IN_SCEN'!$E$18</f>
        <v/>
      </c>
      <c r="P82" s="33">
        <f>'ENG_CAPEX'!$P$81*'IN_SCEN'!$E$18</f>
        <v/>
      </c>
    </row>
    <row r="83">
      <c r="A83" s="15" t="inlineStr">
        <is>
          <t>[2] EBITDA</t>
        </is>
      </c>
      <c r="B83" s="16" t="inlineStr">
        <is>
          <t>SB2.ebitda</t>
        </is>
      </c>
      <c r="C83" s="17" t="inlineStr">
        <is>
          <t>میلیون ریال</t>
        </is>
      </c>
      <c r="D83" s="33">
        <f>'ENG_SCEN'!$D$78-'ENG_SCEN'!$D$79-'ENG_SCEN'!$D$80-'ENG_SCEN'!$D$81</f>
        <v/>
      </c>
      <c r="E83" s="33">
        <f>'ENG_SCEN'!$E$78-'ENG_SCEN'!$E$79-'ENG_SCEN'!$E$80-'ENG_SCEN'!$E$81</f>
        <v/>
      </c>
      <c r="F83" s="33">
        <f>'ENG_SCEN'!$F$78-'ENG_SCEN'!$F$79-'ENG_SCEN'!$F$80-'ENG_SCEN'!$F$81</f>
        <v/>
      </c>
      <c r="G83" s="33">
        <f>'ENG_SCEN'!$G$78-'ENG_SCEN'!$G$79-'ENG_SCEN'!$G$80-'ENG_SCEN'!$G$81</f>
        <v/>
      </c>
      <c r="H83" s="33">
        <f>'ENG_SCEN'!$H$78-'ENG_SCEN'!$H$79-'ENG_SCEN'!$H$80-'ENG_SCEN'!$H$81</f>
        <v/>
      </c>
      <c r="I83" s="33">
        <f>'ENG_SCEN'!$I$78-'ENG_SCEN'!$I$79-'ENG_SCEN'!$I$80-'ENG_SCEN'!$I$81</f>
        <v/>
      </c>
      <c r="J83" s="33">
        <f>'ENG_SCEN'!$J$78-'ENG_SCEN'!$J$79-'ENG_SCEN'!$J$80-'ENG_SCEN'!$J$81</f>
        <v/>
      </c>
      <c r="K83" s="33">
        <f>'ENG_SCEN'!$K$78-'ENG_SCEN'!$K$79-'ENG_SCEN'!$K$80-'ENG_SCEN'!$K$81</f>
        <v/>
      </c>
      <c r="L83" s="33">
        <f>'ENG_SCEN'!$L$78-'ENG_SCEN'!$L$79-'ENG_SCEN'!$L$80-'ENG_SCEN'!$L$81</f>
        <v/>
      </c>
      <c r="M83" s="33">
        <f>'ENG_SCEN'!$M$78-'ENG_SCEN'!$M$79-'ENG_SCEN'!$M$80-'ENG_SCEN'!$M$81</f>
        <v/>
      </c>
      <c r="N83" s="33">
        <f>'ENG_SCEN'!$N$78-'ENG_SCEN'!$N$79-'ENG_SCEN'!$N$80-'ENG_SCEN'!$N$81</f>
        <v/>
      </c>
      <c r="O83" s="33">
        <f>'ENG_SCEN'!$O$78-'ENG_SCEN'!$O$79-'ENG_SCEN'!$O$80-'ENG_SCEN'!$O$81</f>
        <v/>
      </c>
      <c r="P83" s="33">
        <f>'ENG_SCEN'!$P$78-'ENG_SCEN'!$P$79-'ENG_SCEN'!$P$80-'ENG_SCEN'!$P$81</f>
        <v/>
      </c>
    </row>
    <row r="84">
      <c r="A84" s="15" t="inlineStr">
        <is>
          <t>[2] EBIT</t>
        </is>
      </c>
      <c r="B84" s="16" t="inlineStr">
        <is>
          <t>SB2.ebit</t>
        </is>
      </c>
      <c r="C84" s="17" t="inlineStr">
        <is>
          <t>میلیون ریال</t>
        </is>
      </c>
      <c r="D84" s="33">
        <f>'ENG_SCEN'!$D$83-'ENG_SCEN'!$D$82</f>
        <v/>
      </c>
      <c r="E84" s="33">
        <f>'ENG_SCEN'!$E$83-'ENG_SCEN'!$E$82</f>
        <v/>
      </c>
      <c r="F84" s="33">
        <f>'ENG_SCEN'!$F$83-'ENG_SCEN'!$F$82</f>
        <v/>
      </c>
      <c r="G84" s="33">
        <f>'ENG_SCEN'!$G$83-'ENG_SCEN'!$G$82</f>
        <v/>
      </c>
      <c r="H84" s="33">
        <f>'ENG_SCEN'!$H$83-'ENG_SCEN'!$H$82</f>
        <v/>
      </c>
      <c r="I84" s="33">
        <f>'ENG_SCEN'!$I$83-'ENG_SCEN'!$I$82</f>
        <v/>
      </c>
      <c r="J84" s="33">
        <f>'ENG_SCEN'!$J$83-'ENG_SCEN'!$J$82</f>
        <v/>
      </c>
      <c r="K84" s="33">
        <f>'ENG_SCEN'!$K$83-'ENG_SCEN'!$K$82</f>
        <v/>
      </c>
      <c r="L84" s="33">
        <f>'ENG_SCEN'!$L$83-'ENG_SCEN'!$L$82</f>
        <v/>
      </c>
      <c r="M84" s="33">
        <f>'ENG_SCEN'!$M$83-'ENG_SCEN'!$M$82</f>
        <v/>
      </c>
      <c r="N84" s="33">
        <f>'ENG_SCEN'!$N$83-'ENG_SCEN'!$N$82</f>
        <v/>
      </c>
      <c r="O84" s="33">
        <f>'ENG_SCEN'!$O$83-'ENG_SCEN'!$O$82</f>
        <v/>
      </c>
      <c r="P84" s="33">
        <f>'ENG_SCEN'!$P$83-'ENG_SCEN'!$P$82</f>
        <v/>
      </c>
    </row>
    <row r="85">
      <c r="A85" s="15" t="inlineStr">
        <is>
          <t>[2] مالیات</t>
        </is>
      </c>
      <c r="B85" s="16" t="inlineStr">
        <is>
          <t>SB2.tax</t>
        </is>
      </c>
      <c r="C85" s="17" t="inlineStr">
        <is>
          <t>میلیون ریال</t>
        </is>
      </c>
      <c r="D85" s="33">
        <f>MAX(0,'ENG_SCEN'!$D$84)*'IN_MACRO'!$D$14</f>
        <v/>
      </c>
      <c r="E85" s="33">
        <f>MAX(0,'ENG_SCEN'!$E$84)*'IN_MACRO'!$D$14</f>
        <v/>
      </c>
      <c r="F85" s="33">
        <f>MAX(0,'ENG_SCEN'!$F$84)*'IN_MACRO'!$D$14</f>
        <v/>
      </c>
      <c r="G85" s="33">
        <f>MAX(0,'ENG_SCEN'!$G$84)*'IN_MACRO'!$D$14</f>
        <v/>
      </c>
      <c r="H85" s="33">
        <f>MAX(0,'ENG_SCEN'!$H$84)*'IN_MACRO'!$D$14</f>
        <v/>
      </c>
      <c r="I85" s="33">
        <f>MAX(0,'ENG_SCEN'!$I$84)*'IN_MACRO'!$D$14</f>
        <v/>
      </c>
      <c r="J85" s="33">
        <f>MAX(0,'ENG_SCEN'!$J$84)*'IN_MACRO'!$D$14</f>
        <v/>
      </c>
      <c r="K85" s="33">
        <f>MAX(0,'ENG_SCEN'!$K$84)*'IN_MACRO'!$D$14</f>
        <v/>
      </c>
      <c r="L85" s="33">
        <f>MAX(0,'ENG_SCEN'!$L$84)*'IN_MACRO'!$D$14</f>
        <v/>
      </c>
      <c r="M85" s="33">
        <f>MAX(0,'ENG_SCEN'!$M$84)*'IN_MACRO'!$D$14</f>
        <v/>
      </c>
      <c r="N85" s="33">
        <f>MAX(0,'ENG_SCEN'!$N$84)*'IN_MACRO'!$D$14</f>
        <v/>
      </c>
      <c r="O85" s="33">
        <f>MAX(0,'ENG_SCEN'!$O$84)*'IN_MACRO'!$D$14</f>
        <v/>
      </c>
      <c r="P85" s="33">
        <f>MAX(0,'ENG_SCEN'!$P$84)*'IN_MACRO'!$D$14</f>
        <v/>
      </c>
    </row>
    <row r="86">
      <c r="A86" s="15" t="inlineStr">
        <is>
          <t>[2] NOPAT</t>
        </is>
      </c>
      <c r="B86" s="16" t="inlineStr">
        <is>
          <t>SB2.nopat</t>
        </is>
      </c>
      <c r="C86" s="17" t="inlineStr">
        <is>
          <t>میلیون ریال</t>
        </is>
      </c>
      <c r="D86" s="33">
        <f>'ENG_SCEN'!$D$84-'ENG_SCEN'!$D$85</f>
        <v/>
      </c>
      <c r="E86" s="33">
        <f>'ENG_SCEN'!$E$84-'ENG_SCEN'!$E$85</f>
        <v/>
      </c>
      <c r="F86" s="33">
        <f>'ENG_SCEN'!$F$84-'ENG_SCEN'!$F$85</f>
        <v/>
      </c>
      <c r="G86" s="33">
        <f>'ENG_SCEN'!$G$84-'ENG_SCEN'!$G$85</f>
        <v/>
      </c>
      <c r="H86" s="33">
        <f>'ENG_SCEN'!$H$84-'ENG_SCEN'!$H$85</f>
        <v/>
      </c>
      <c r="I86" s="33">
        <f>'ENG_SCEN'!$I$84-'ENG_SCEN'!$I$85</f>
        <v/>
      </c>
      <c r="J86" s="33">
        <f>'ENG_SCEN'!$J$84-'ENG_SCEN'!$J$85</f>
        <v/>
      </c>
      <c r="K86" s="33">
        <f>'ENG_SCEN'!$K$84-'ENG_SCEN'!$K$85</f>
        <v/>
      </c>
      <c r="L86" s="33">
        <f>'ENG_SCEN'!$L$84-'ENG_SCEN'!$L$85</f>
        <v/>
      </c>
      <c r="M86" s="33">
        <f>'ENG_SCEN'!$M$84-'ENG_SCEN'!$M$85</f>
        <v/>
      </c>
      <c r="N86" s="33">
        <f>'ENG_SCEN'!$N$84-'ENG_SCEN'!$N$85</f>
        <v/>
      </c>
      <c r="O86" s="33">
        <f>'ENG_SCEN'!$O$84-'ENG_SCEN'!$O$85</f>
        <v/>
      </c>
      <c r="P86" s="33">
        <f>'ENG_SCEN'!$P$84-'ENG_SCEN'!$P$85</f>
        <v/>
      </c>
    </row>
    <row r="87">
      <c r="A87" s="15" t="inlineStr">
        <is>
          <t>[2] CAPEX و جایگزینی</t>
        </is>
      </c>
      <c r="B87" s="16" t="inlineStr">
        <is>
          <t>SB2.capex</t>
        </is>
      </c>
      <c r="C87" s="17" t="inlineStr">
        <is>
          <t>میلیون ریال</t>
        </is>
      </c>
      <c r="D87" s="33">
        <f>('ENG_CAPEX'!$D$21+'ENG_CAPEX'!$D$42)*'IN_SCEN'!$E$18</f>
        <v/>
      </c>
      <c r="E87" s="33">
        <f>('ENG_CAPEX'!$E$21+'ENG_CAPEX'!$E$42)*'IN_SCEN'!$E$18</f>
        <v/>
      </c>
      <c r="F87" s="33">
        <f>('ENG_CAPEX'!$F$21+'ENG_CAPEX'!$F$42)*'IN_SCEN'!$E$18</f>
        <v/>
      </c>
      <c r="G87" s="33">
        <f>('ENG_CAPEX'!$G$21+'ENG_CAPEX'!$G$42)*'IN_SCEN'!$E$18</f>
        <v/>
      </c>
      <c r="H87" s="33">
        <f>('ENG_CAPEX'!$H$21+'ENG_CAPEX'!$H$42)*'IN_SCEN'!$E$18</f>
        <v/>
      </c>
      <c r="I87" s="33">
        <f>('ENG_CAPEX'!$I$21+'ENG_CAPEX'!$I$42)*'IN_SCEN'!$E$18</f>
        <v/>
      </c>
      <c r="J87" s="33">
        <f>('ENG_CAPEX'!$J$21+'ENG_CAPEX'!$J$42)*'IN_SCEN'!$E$18</f>
        <v/>
      </c>
      <c r="K87" s="33">
        <f>('ENG_CAPEX'!$K$21+'ENG_CAPEX'!$K$42)*'IN_SCEN'!$E$18</f>
        <v/>
      </c>
      <c r="L87" s="33">
        <f>('ENG_CAPEX'!$L$21+'ENG_CAPEX'!$L$42)*'IN_SCEN'!$E$18</f>
        <v/>
      </c>
      <c r="M87" s="33">
        <f>('ENG_CAPEX'!$M$21+'ENG_CAPEX'!$M$42)*'IN_SCEN'!$E$18</f>
        <v/>
      </c>
      <c r="N87" s="33">
        <f>('ENG_CAPEX'!$N$21+'ENG_CAPEX'!$N$42)*'IN_SCEN'!$E$18</f>
        <v/>
      </c>
      <c r="O87" s="33">
        <f>('ENG_CAPEX'!$O$21+'ENG_CAPEX'!$O$42)*'IN_SCEN'!$E$18</f>
        <v/>
      </c>
      <c r="P87" s="33">
        <f>('ENG_CAPEX'!$P$21+'ENG_CAPEX'!$P$42)*'IN_SCEN'!$E$18</f>
        <v/>
      </c>
    </row>
    <row r="88">
      <c r="A88" s="15" t="inlineStr">
        <is>
          <t>[2] تغییرات سرمایه در گردش</t>
        </is>
      </c>
      <c r="B88" s="16" t="inlineStr">
        <is>
          <t>SB2.dwc</t>
        </is>
      </c>
      <c r="C88" s="17" t="inlineStr">
        <is>
          <t>میلیون ریال</t>
        </is>
      </c>
      <c r="D88" s="33">
        <f>'ENG_WC'!$D$19*'IN_SCEN'!$E$13*'IN_SCEN'!$E$14</f>
        <v/>
      </c>
      <c r="E88" s="33">
        <f>'ENG_WC'!$E$19*'IN_SCEN'!$E$13*'IN_SCEN'!$E$14</f>
        <v/>
      </c>
      <c r="F88" s="33">
        <f>'ENG_WC'!$F$19*'IN_SCEN'!$E$13*'IN_SCEN'!$E$14</f>
        <v/>
      </c>
      <c r="G88" s="33">
        <f>'ENG_WC'!$G$19*'IN_SCEN'!$E$13*'IN_SCEN'!$E$14</f>
        <v/>
      </c>
      <c r="H88" s="33">
        <f>'ENG_WC'!$H$19*'IN_SCEN'!$E$13*'IN_SCEN'!$E$14</f>
        <v/>
      </c>
      <c r="I88" s="33">
        <f>'ENG_WC'!$I$19*'IN_SCEN'!$E$13*'IN_SCEN'!$E$14</f>
        <v/>
      </c>
      <c r="J88" s="33">
        <f>'ENG_WC'!$J$19*'IN_SCEN'!$E$13*'IN_SCEN'!$E$14</f>
        <v/>
      </c>
      <c r="K88" s="33">
        <f>'ENG_WC'!$K$19*'IN_SCEN'!$E$13*'IN_SCEN'!$E$14</f>
        <v/>
      </c>
      <c r="L88" s="33">
        <f>'ENG_WC'!$L$19*'IN_SCEN'!$E$13*'IN_SCEN'!$E$14</f>
        <v/>
      </c>
      <c r="M88" s="33">
        <f>'ENG_WC'!$M$19*'IN_SCEN'!$E$13*'IN_SCEN'!$E$14</f>
        <v/>
      </c>
      <c r="N88" s="33">
        <f>'ENG_WC'!$N$19*'IN_SCEN'!$E$13*'IN_SCEN'!$E$14</f>
        <v/>
      </c>
      <c r="O88" s="33">
        <f>'ENG_WC'!$O$19*'IN_SCEN'!$E$13*'IN_SCEN'!$E$14</f>
        <v/>
      </c>
      <c r="P88" s="33">
        <f>'ENG_WC'!$P$19*'IN_SCEN'!$E$13*'IN_SCEN'!$E$14</f>
        <v/>
      </c>
    </row>
    <row r="89">
      <c r="A89" s="15" t="inlineStr">
        <is>
          <t>[2] جریان نقد آزاد (FCFF)</t>
        </is>
      </c>
      <c r="B89" s="16" t="inlineStr">
        <is>
          <t>SB2.fcf</t>
        </is>
      </c>
      <c r="C89" s="17" t="inlineStr">
        <is>
          <t>میلیون ریال</t>
        </is>
      </c>
      <c r="D89" s="33">
        <f>'ENG_SCEN'!$D$86+'ENG_SCEN'!$D$82-'ENG_SCEN'!$D$87-'ENG_SCEN'!$D$88</f>
        <v/>
      </c>
      <c r="E89" s="33">
        <f>'ENG_SCEN'!$E$86+'ENG_SCEN'!$E$82-'ENG_SCEN'!$E$87-'ENG_SCEN'!$E$88</f>
        <v/>
      </c>
      <c r="F89" s="33">
        <f>'ENG_SCEN'!$F$86+'ENG_SCEN'!$F$82-'ENG_SCEN'!$F$87-'ENG_SCEN'!$F$88</f>
        <v/>
      </c>
      <c r="G89" s="33">
        <f>'ENG_SCEN'!$G$86+'ENG_SCEN'!$G$82-'ENG_SCEN'!$G$87-'ENG_SCEN'!$G$88</f>
        <v/>
      </c>
      <c r="H89" s="33">
        <f>'ENG_SCEN'!$H$86+'ENG_SCEN'!$H$82-'ENG_SCEN'!$H$87-'ENG_SCEN'!$H$88</f>
        <v/>
      </c>
      <c r="I89" s="33">
        <f>'ENG_SCEN'!$I$86+'ENG_SCEN'!$I$82-'ENG_SCEN'!$I$87-'ENG_SCEN'!$I$88</f>
        <v/>
      </c>
      <c r="J89" s="33">
        <f>'ENG_SCEN'!$J$86+'ENG_SCEN'!$J$82-'ENG_SCEN'!$J$87-'ENG_SCEN'!$J$88</f>
        <v/>
      </c>
      <c r="K89" s="33">
        <f>'ENG_SCEN'!$K$86+'ENG_SCEN'!$K$82-'ENG_SCEN'!$K$87-'ENG_SCEN'!$K$88</f>
        <v/>
      </c>
      <c r="L89" s="33">
        <f>'ENG_SCEN'!$L$86+'ENG_SCEN'!$L$82-'ENG_SCEN'!$L$87-'ENG_SCEN'!$L$88</f>
        <v/>
      </c>
      <c r="M89" s="33">
        <f>'ENG_SCEN'!$M$86+'ENG_SCEN'!$M$82-'ENG_SCEN'!$M$87-'ENG_SCEN'!$M$88</f>
        <v/>
      </c>
      <c r="N89" s="33">
        <f>'ENG_SCEN'!$N$86+'ENG_SCEN'!$N$82-'ENG_SCEN'!$N$87-'ENG_SCEN'!$N$88</f>
        <v/>
      </c>
      <c r="O89" s="33">
        <f>'ENG_SCEN'!$O$86+'ENG_SCEN'!$O$82-'ENG_SCEN'!$O$87-'ENG_SCEN'!$O$88</f>
        <v/>
      </c>
      <c r="P89" s="33">
        <f>'ENG_SCEN'!$P$86+'ENG_SCEN'!$P$82-'ENG_SCEN'!$P$87-'ENG_SCEN'!$P$88</f>
        <v/>
      </c>
    </row>
    <row r="90">
      <c r="A90" s="15" t="inlineStr">
        <is>
          <t>[2] FCFF تکرارپذیر</t>
        </is>
      </c>
      <c r="B90" s="16" t="inlineStr">
        <is>
          <t>SB2.fcf_rep</t>
        </is>
      </c>
      <c r="C90" s="17" t="inlineStr">
        <is>
          <t>میلیون ریال</t>
        </is>
      </c>
      <c r="D90" s="33">
        <f>'ENG_SCEN'!$D$86+'ENG_SCEN'!$D$82-'ENG_SCEN'!$D$88</f>
        <v/>
      </c>
      <c r="E90" s="33">
        <f>'ENG_SCEN'!$E$86+'ENG_SCEN'!$E$82-'ENG_SCEN'!$E$88</f>
        <v/>
      </c>
      <c r="F90" s="33">
        <f>'ENG_SCEN'!$F$86+'ENG_SCEN'!$F$82-'ENG_SCEN'!$F$88</f>
        <v/>
      </c>
      <c r="G90" s="33">
        <f>'ENG_SCEN'!$G$86+'ENG_SCEN'!$G$82-'ENG_SCEN'!$G$88</f>
        <v/>
      </c>
      <c r="H90" s="33">
        <f>'ENG_SCEN'!$H$86+'ENG_SCEN'!$H$82-'ENG_SCEN'!$H$88</f>
        <v/>
      </c>
      <c r="I90" s="33">
        <f>'ENG_SCEN'!$I$86+'ENG_SCEN'!$I$82-'ENG_SCEN'!$I$88</f>
        <v/>
      </c>
      <c r="J90" s="33">
        <f>'ENG_SCEN'!$J$86+'ENG_SCEN'!$J$82-'ENG_SCEN'!$J$88</f>
        <v/>
      </c>
      <c r="K90" s="33">
        <f>'ENG_SCEN'!$K$86+'ENG_SCEN'!$K$82-'ENG_SCEN'!$K$88</f>
        <v/>
      </c>
      <c r="L90" s="33">
        <f>'ENG_SCEN'!$L$86+'ENG_SCEN'!$L$82-'ENG_SCEN'!$L$88</f>
        <v/>
      </c>
      <c r="M90" s="33">
        <f>'ENG_SCEN'!$M$86+'ENG_SCEN'!$M$82-'ENG_SCEN'!$M$88</f>
        <v/>
      </c>
      <c r="N90" s="33">
        <f>'ENG_SCEN'!$N$86+'ENG_SCEN'!$N$82-'ENG_SCEN'!$N$88</f>
        <v/>
      </c>
      <c r="O90" s="33">
        <f>'ENG_SCEN'!$O$86+'ENG_SCEN'!$O$82-'ENG_SCEN'!$O$88</f>
        <v/>
      </c>
      <c r="P90" s="33">
        <f>'ENG_SCEN'!$P$86+'ENG_SCEN'!$P$82-'ENG_SCEN'!$P$88</f>
        <v/>
      </c>
    </row>
    <row r="91">
      <c r="A91" s="15" t="inlineStr">
        <is>
          <t>[2] FCFF تجمعی</t>
        </is>
      </c>
      <c r="B91" s="16" t="inlineStr">
        <is>
          <t>SB2.cum</t>
        </is>
      </c>
      <c r="C91" s="17" t="inlineStr">
        <is>
          <t>میلیون ریال</t>
        </is>
      </c>
      <c r="D91" s="33">
        <f>'ENG_SCEN'!$D$89</f>
        <v/>
      </c>
      <c r="E91" s="33">
        <f>'ENG_SCEN'!$D$91+'ENG_SCEN'!$E$89</f>
        <v/>
      </c>
      <c r="F91" s="33">
        <f>'ENG_SCEN'!$E$91+'ENG_SCEN'!$F$89</f>
        <v/>
      </c>
      <c r="G91" s="33">
        <f>'ENG_SCEN'!$F$91+'ENG_SCEN'!$G$89</f>
        <v/>
      </c>
      <c r="H91" s="33">
        <f>'ENG_SCEN'!$G$91+'ENG_SCEN'!$H$89</f>
        <v/>
      </c>
      <c r="I91" s="33">
        <f>'ENG_SCEN'!$H$91+'ENG_SCEN'!$I$89</f>
        <v/>
      </c>
      <c r="J91" s="33">
        <f>'ENG_SCEN'!$I$91+'ENG_SCEN'!$J$89</f>
        <v/>
      </c>
      <c r="K91" s="33">
        <f>'ENG_SCEN'!$J$91+'ENG_SCEN'!$K$89</f>
        <v/>
      </c>
      <c r="L91" s="33">
        <f>'ENG_SCEN'!$K$91+'ENG_SCEN'!$L$89</f>
        <v/>
      </c>
      <c r="M91" s="33">
        <f>'ENG_SCEN'!$L$91+'ENG_SCEN'!$M$89</f>
        <v/>
      </c>
      <c r="N91" s="33">
        <f>'ENG_SCEN'!$M$91+'ENG_SCEN'!$N$89</f>
        <v/>
      </c>
      <c r="O91" s="33">
        <f>'ENG_SCEN'!$N$91+'ENG_SCEN'!$O$89</f>
        <v/>
      </c>
      <c r="P91" s="33">
        <f>'ENG_SCEN'!$O$91+'ENG_SCEN'!$P$89</f>
        <v/>
      </c>
    </row>
    <row r="92">
      <c r="A92" s="15" t="inlineStr">
        <is>
          <t>[2] نرخ تنزیل (WACC)</t>
        </is>
      </c>
      <c r="B92" s="16" t="inlineStr">
        <is>
          <t>SB2.wacc</t>
        </is>
      </c>
      <c r="C92" s="17" t="inlineStr">
        <is>
          <t>درصد</t>
        </is>
      </c>
      <c r="D92" s="32">
        <f>'ENG_DCF'!$D$14+'IN_SCEN'!$E$20</f>
        <v/>
      </c>
      <c r="E92" s="32">
        <f>'ENG_DCF'!$E$14+'IN_SCEN'!$E$20</f>
        <v/>
      </c>
      <c r="F92" s="32">
        <f>'ENG_DCF'!$F$14+'IN_SCEN'!$E$20</f>
        <v/>
      </c>
      <c r="G92" s="32">
        <f>'ENG_DCF'!$G$14+'IN_SCEN'!$E$20</f>
        <v/>
      </c>
      <c r="H92" s="32">
        <f>'ENG_DCF'!$H$14+'IN_SCEN'!$E$20</f>
        <v/>
      </c>
      <c r="I92" s="32">
        <f>'ENG_DCF'!$I$14+'IN_SCEN'!$E$20</f>
        <v/>
      </c>
      <c r="J92" s="32">
        <f>'ENG_DCF'!$J$14+'IN_SCEN'!$E$20</f>
        <v/>
      </c>
      <c r="K92" s="32">
        <f>'ENG_DCF'!$K$14+'IN_SCEN'!$E$20</f>
        <v/>
      </c>
      <c r="L92" s="32">
        <f>'ENG_DCF'!$L$14+'IN_SCEN'!$E$20</f>
        <v/>
      </c>
      <c r="M92" s="32">
        <f>'ENG_DCF'!$M$14+'IN_SCEN'!$E$20</f>
        <v/>
      </c>
      <c r="N92" s="32">
        <f>'ENG_DCF'!$N$14+'IN_SCEN'!$E$20</f>
        <v/>
      </c>
      <c r="O92" s="32">
        <f>'ENG_DCF'!$O$14+'IN_SCEN'!$E$20</f>
        <v/>
      </c>
      <c r="P92" s="32">
        <f>'ENG_DCF'!$P$14+'IN_SCEN'!$E$20</f>
        <v/>
      </c>
    </row>
    <row r="93">
      <c r="A93" s="15" t="inlineStr">
        <is>
          <t>[2] ضریب تنزیل</t>
        </is>
      </c>
      <c r="B93" s="16" t="inlineStr">
        <is>
          <t>SB2.df</t>
        </is>
      </c>
      <c r="C93" s="17" t="inlineStr">
        <is>
          <t>ضریب</t>
        </is>
      </c>
      <c r="D93" s="35">
        <f>1</f>
        <v/>
      </c>
      <c r="E93" s="35">
        <f>'ENG_SCEN'!$D$93/(1+'ENG_SCEN'!$E$92)</f>
        <v/>
      </c>
      <c r="F93" s="35">
        <f>'ENG_SCEN'!$E$93/(1+'ENG_SCEN'!$F$92)</f>
        <v/>
      </c>
      <c r="G93" s="35">
        <f>'ENG_SCEN'!$F$93/(1+'ENG_SCEN'!$G$92)</f>
        <v/>
      </c>
      <c r="H93" s="35">
        <f>'ENG_SCEN'!$G$93/(1+'ENG_SCEN'!$H$92)</f>
        <v/>
      </c>
      <c r="I93" s="35">
        <f>'ENG_SCEN'!$H$93/(1+'ENG_SCEN'!$I$92)</f>
        <v/>
      </c>
      <c r="J93" s="35">
        <f>'ENG_SCEN'!$I$93/(1+'ENG_SCEN'!$J$92)</f>
        <v/>
      </c>
      <c r="K93" s="35">
        <f>'ENG_SCEN'!$J$93/(1+'ENG_SCEN'!$K$92)</f>
        <v/>
      </c>
      <c r="L93" s="35">
        <f>'ENG_SCEN'!$K$93/(1+'ENG_SCEN'!$L$92)</f>
        <v/>
      </c>
      <c r="M93" s="35">
        <f>'ENG_SCEN'!$L$93/(1+'ENG_SCEN'!$M$92)</f>
        <v/>
      </c>
      <c r="N93" s="35">
        <f>'ENG_SCEN'!$M$93/(1+'ENG_SCEN'!$N$92)</f>
        <v/>
      </c>
      <c r="O93" s="35">
        <f>'ENG_SCEN'!$N$93/(1+'ENG_SCEN'!$O$92)</f>
        <v/>
      </c>
      <c r="P93" s="35">
        <f>'ENG_SCEN'!$O$93/(1+'ENG_SCEN'!$P$92)</f>
        <v/>
      </c>
    </row>
    <row r="94">
      <c r="A94" s="15" t="inlineStr">
        <is>
          <t>[2] ارزش فعلی FCFF</t>
        </is>
      </c>
      <c r="B94" s="16" t="inlineStr">
        <is>
          <t>SB2.pv</t>
        </is>
      </c>
      <c r="C94" s="17" t="inlineStr">
        <is>
          <t>میلیون ریال</t>
        </is>
      </c>
      <c r="D94" s="33">
        <f>'ENG_SCEN'!$D$89*'ENG_SCEN'!$D$93</f>
        <v/>
      </c>
      <c r="E94" s="33">
        <f>'ENG_SCEN'!$E$89*'ENG_SCEN'!$E$93</f>
        <v/>
      </c>
      <c r="F94" s="33">
        <f>'ENG_SCEN'!$F$89*'ENG_SCEN'!$F$93</f>
        <v/>
      </c>
      <c r="G94" s="33">
        <f>'ENG_SCEN'!$G$89*'ENG_SCEN'!$G$93</f>
        <v/>
      </c>
      <c r="H94" s="33">
        <f>'ENG_SCEN'!$H$89*'ENG_SCEN'!$H$93</f>
        <v/>
      </c>
      <c r="I94" s="33">
        <f>'ENG_SCEN'!$I$89*'ENG_SCEN'!$I$93</f>
        <v/>
      </c>
      <c r="J94" s="33">
        <f>'ENG_SCEN'!$J$89*'ENG_SCEN'!$J$93</f>
        <v/>
      </c>
      <c r="K94" s="33">
        <f>'ENG_SCEN'!$K$89*'ENG_SCEN'!$K$93</f>
        <v/>
      </c>
      <c r="L94" s="33">
        <f>'ENG_SCEN'!$L$89*'ENG_SCEN'!$L$93</f>
        <v/>
      </c>
      <c r="M94" s="33">
        <f>'ENG_SCEN'!$M$89*'ENG_SCEN'!$M$93</f>
        <v/>
      </c>
      <c r="N94" s="33">
        <f>'ENG_SCEN'!$N$89*'ENG_SCEN'!$N$93</f>
        <v/>
      </c>
      <c r="O94" s="33">
        <f>'ENG_SCEN'!$O$89*'ENG_SCEN'!$O$93</f>
        <v/>
      </c>
      <c r="P94" s="33">
        <f>'ENG_SCEN'!$P$89*'ENG_SCEN'!$P$93</f>
        <v/>
      </c>
    </row>
    <row r="95">
      <c r="A95" s="15" t="inlineStr">
        <is>
          <t>[2] ارزش فعلی تجمعی</t>
        </is>
      </c>
      <c r="B95" s="16" t="inlineStr">
        <is>
          <t>SB2.pvc</t>
        </is>
      </c>
      <c r="C95" s="17" t="inlineStr">
        <is>
          <t>میلیون ریال</t>
        </is>
      </c>
      <c r="D95" s="33">
        <f>'ENG_SCEN'!$D$94</f>
        <v/>
      </c>
      <c r="E95" s="33">
        <f>'ENG_SCEN'!$D$95+'ENG_SCEN'!$E$94</f>
        <v/>
      </c>
      <c r="F95" s="33">
        <f>'ENG_SCEN'!$E$95+'ENG_SCEN'!$F$94</f>
        <v/>
      </c>
      <c r="G95" s="33">
        <f>'ENG_SCEN'!$F$95+'ENG_SCEN'!$G$94</f>
        <v/>
      </c>
      <c r="H95" s="33">
        <f>'ENG_SCEN'!$G$95+'ENG_SCEN'!$H$94</f>
        <v/>
      </c>
      <c r="I95" s="33">
        <f>'ENG_SCEN'!$H$95+'ENG_SCEN'!$I$94</f>
        <v/>
      </c>
      <c r="J95" s="33">
        <f>'ENG_SCEN'!$I$95+'ENG_SCEN'!$J$94</f>
        <v/>
      </c>
      <c r="K95" s="33">
        <f>'ENG_SCEN'!$J$95+'ENG_SCEN'!$K$94</f>
        <v/>
      </c>
      <c r="L95" s="33">
        <f>'ENG_SCEN'!$K$95+'ENG_SCEN'!$L$94</f>
        <v/>
      </c>
      <c r="M95" s="33">
        <f>'ENG_SCEN'!$L$95+'ENG_SCEN'!$M$94</f>
        <v/>
      </c>
      <c r="N95" s="33">
        <f>'ENG_SCEN'!$M$95+'ENG_SCEN'!$N$94</f>
        <v/>
      </c>
      <c r="O95" s="33">
        <f>'ENG_SCEN'!$N$95+'ENG_SCEN'!$O$94</f>
        <v/>
      </c>
      <c r="P95" s="33">
        <f>'ENG_SCEN'!$O$95+'ENG_SCEN'!$P$94</f>
        <v/>
      </c>
    </row>
    <row r="96">
      <c r="A96" s="15" t="inlineStr">
        <is>
          <t>[2] ارزش پایانی</t>
        </is>
      </c>
      <c r="B96" s="16" t="inlineStr">
        <is>
          <t>SB2.tv</t>
        </is>
      </c>
      <c r="C96" s="17" t="inlineStr">
        <is>
          <t>میلیون ریال</t>
        </is>
      </c>
      <c r="D96" s="33">
        <f>IF('IN_MACRO'!$D$23&lt;'IN_MACRO'!$D$11,0,IF('IN_MACRO'!$D$19=1,MAX(0,'ENG_SCEN'!$P$90)*(1+'IN_MACRO'!$D$18)/MAX(0.005,'ENG_SCEN'!$P$92-'IN_MACRO'!$D$18),'ENG_SCEN'!$P$83*'IN_MACRO'!$D$20))</f>
        <v/>
      </c>
      <c r="E96" s="33">
        <f>IF('IN_MACRO'!$E$23&lt;'IN_MACRO'!$D$11,0,IF('IN_MACRO'!$D$19=1,MAX(0,'ENG_SCEN'!$P$90)*(1+'IN_MACRO'!$D$18)/MAX(0.005,'ENG_SCEN'!$P$92-'IN_MACRO'!$D$18),'ENG_SCEN'!$P$83*'IN_MACRO'!$D$20))</f>
        <v/>
      </c>
      <c r="F96" s="33">
        <f>IF('IN_MACRO'!$F$23&lt;'IN_MACRO'!$D$11,0,IF('IN_MACRO'!$D$19=1,MAX(0,'ENG_SCEN'!$P$90)*(1+'IN_MACRO'!$D$18)/MAX(0.005,'ENG_SCEN'!$P$92-'IN_MACRO'!$D$18),'ENG_SCEN'!$P$83*'IN_MACRO'!$D$20))</f>
        <v/>
      </c>
      <c r="G96" s="33">
        <f>IF('IN_MACRO'!$G$23&lt;'IN_MACRO'!$D$11,0,IF('IN_MACRO'!$D$19=1,MAX(0,'ENG_SCEN'!$P$90)*(1+'IN_MACRO'!$D$18)/MAX(0.005,'ENG_SCEN'!$P$92-'IN_MACRO'!$D$18),'ENG_SCEN'!$P$83*'IN_MACRO'!$D$20))</f>
        <v/>
      </c>
      <c r="H96" s="33">
        <f>IF('IN_MACRO'!$H$23&lt;'IN_MACRO'!$D$11,0,IF('IN_MACRO'!$D$19=1,MAX(0,'ENG_SCEN'!$P$90)*(1+'IN_MACRO'!$D$18)/MAX(0.005,'ENG_SCEN'!$P$92-'IN_MACRO'!$D$18),'ENG_SCEN'!$P$83*'IN_MACRO'!$D$20))</f>
        <v/>
      </c>
      <c r="I96" s="33">
        <f>IF('IN_MACRO'!$I$23&lt;'IN_MACRO'!$D$11,0,IF('IN_MACRO'!$D$19=1,MAX(0,'ENG_SCEN'!$P$90)*(1+'IN_MACRO'!$D$18)/MAX(0.005,'ENG_SCEN'!$P$92-'IN_MACRO'!$D$18),'ENG_SCEN'!$P$83*'IN_MACRO'!$D$20))</f>
        <v/>
      </c>
      <c r="J96" s="33">
        <f>IF('IN_MACRO'!$J$23&lt;'IN_MACRO'!$D$11,0,IF('IN_MACRO'!$D$19=1,MAX(0,'ENG_SCEN'!$P$90)*(1+'IN_MACRO'!$D$18)/MAX(0.005,'ENG_SCEN'!$P$92-'IN_MACRO'!$D$18),'ENG_SCEN'!$P$83*'IN_MACRO'!$D$20))</f>
        <v/>
      </c>
      <c r="K96" s="33">
        <f>IF('IN_MACRO'!$K$23&lt;'IN_MACRO'!$D$11,0,IF('IN_MACRO'!$D$19=1,MAX(0,'ENG_SCEN'!$P$90)*(1+'IN_MACRO'!$D$18)/MAX(0.005,'ENG_SCEN'!$P$92-'IN_MACRO'!$D$18),'ENG_SCEN'!$P$83*'IN_MACRO'!$D$20))</f>
        <v/>
      </c>
      <c r="L96" s="33">
        <f>IF('IN_MACRO'!$L$23&lt;'IN_MACRO'!$D$11,0,IF('IN_MACRO'!$D$19=1,MAX(0,'ENG_SCEN'!$P$90)*(1+'IN_MACRO'!$D$18)/MAX(0.005,'ENG_SCEN'!$P$92-'IN_MACRO'!$D$18),'ENG_SCEN'!$P$83*'IN_MACRO'!$D$20))</f>
        <v/>
      </c>
      <c r="M96" s="33">
        <f>IF('IN_MACRO'!$M$23&lt;'IN_MACRO'!$D$11,0,IF('IN_MACRO'!$D$19=1,MAX(0,'ENG_SCEN'!$P$90)*(1+'IN_MACRO'!$D$18)/MAX(0.005,'ENG_SCEN'!$P$92-'IN_MACRO'!$D$18),'ENG_SCEN'!$P$83*'IN_MACRO'!$D$20))</f>
        <v/>
      </c>
      <c r="N96" s="33">
        <f>IF('IN_MACRO'!$N$23&lt;'IN_MACRO'!$D$11,0,IF('IN_MACRO'!$D$19=1,MAX(0,'ENG_SCEN'!$P$90)*(1+'IN_MACRO'!$D$18)/MAX(0.005,'ENG_SCEN'!$P$92-'IN_MACRO'!$D$18),'ENG_SCEN'!$P$83*'IN_MACRO'!$D$20))</f>
        <v/>
      </c>
      <c r="O96" s="33">
        <f>IF('IN_MACRO'!$O$23&lt;'IN_MACRO'!$D$11,0,IF('IN_MACRO'!$D$19=1,MAX(0,'ENG_SCEN'!$P$90)*(1+'IN_MACRO'!$D$18)/MAX(0.005,'ENG_SCEN'!$P$92-'IN_MACRO'!$D$18),'ENG_SCEN'!$P$83*'IN_MACRO'!$D$20))</f>
        <v/>
      </c>
      <c r="P96" s="33">
        <f>IF('IN_MACRO'!$P$23&lt;'IN_MACRO'!$D$11,0,IF('IN_MACRO'!$D$19=1,MAX(0,'ENG_SCEN'!$P$90)*(1+'IN_MACRO'!$D$18)/MAX(0.005,'ENG_SCEN'!$P$92-'IN_MACRO'!$D$18),'ENG_SCEN'!$P$83*'IN_MACRO'!$D$20))</f>
        <v/>
      </c>
    </row>
    <row r="97">
      <c r="A97" s="15" t="inlineStr">
        <is>
          <t>[2] ارزش فعلی ارزش پایانی</t>
        </is>
      </c>
      <c r="B97" s="16" t="inlineStr">
        <is>
          <t>SB2.pvtv</t>
        </is>
      </c>
      <c r="C97" s="17" t="inlineStr">
        <is>
          <t>میلیون ریال</t>
        </is>
      </c>
      <c r="D97" s="33">
        <f>'ENG_SCEN'!$D$96*'ENG_SCEN'!$D$93</f>
        <v/>
      </c>
      <c r="E97" s="33">
        <f>'ENG_SCEN'!$E$96*'ENG_SCEN'!$E$93</f>
        <v/>
      </c>
      <c r="F97" s="33">
        <f>'ENG_SCEN'!$F$96*'ENG_SCEN'!$F$93</f>
        <v/>
      </c>
      <c r="G97" s="33">
        <f>'ENG_SCEN'!$G$96*'ENG_SCEN'!$G$93</f>
        <v/>
      </c>
      <c r="H97" s="33">
        <f>'ENG_SCEN'!$H$96*'ENG_SCEN'!$H$93</f>
        <v/>
      </c>
      <c r="I97" s="33">
        <f>'ENG_SCEN'!$I$96*'ENG_SCEN'!$I$93</f>
        <v/>
      </c>
      <c r="J97" s="33">
        <f>'ENG_SCEN'!$J$96*'ENG_SCEN'!$J$93</f>
        <v/>
      </c>
      <c r="K97" s="33">
        <f>'ENG_SCEN'!$K$96*'ENG_SCEN'!$K$93</f>
        <v/>
      </c>
      <c r="L97" s="33">
        <f>'ENG_SCEN'!$L$96*'ENG_SCEN'!$L$93</f>
        <v/>
      </c>
      <c r="M97" s="33">
        <f>'ENG_SCEN'!$M$96*'ENG_SCEN'!$M$93</f>
        <v/>
      </c>
      <c r="N97" s="33">
        <f>'ENG_SCEN'!$N$96*'ENG_SCEN'!$N$93</f>
        <v/>
      </c>
      <c r="O97" s="33">
        <f>'ENG_SCEN'!$O$96*'ENG_SCEN'!$O$93</f>
        <v/>
      </c>
      <c r="P97" s="33">
        <f>'ENG_SCEN'!$P$96*'ENG_SCEN'!$P$93</f>
        <v/>
      </c>
    </row>
    <row r="98">
      <c r="A98" s="15" t="inlineStr">
        <is>
          <t>[2] جریان قابل بازدهی (FCF + TV)</t>
        </is>
      </c>
      <c r="B98" s="16" t="inlineStr">
        <is>
          <t>SB2.fcf_tv</t>
        </is>
      </c>
      <c r="C98" s="17" t="inlineStr">
        <is>
          <t>میلیون ریال</t>
        </is>
      </c>
      <c r="D98" s="33">
        <f>'ENG_SCEN'!$D$89+'ENG_SCEN'!$D$96</f>
        <v/>
      </c>
      <c r="E98" s="33">
        <f>'ENG_SCEN'!$E$89+'ENG_SCEN'!$E$96</f>
        <v/>
      </c>
      <c r="F98" s="33">
        <f>'ENG_SCEN'!$F$89+'ENG_SCEN'!$F$96</f>
        <v/>
      </c>
      <c r="G98" s="33">
        <f>'ENG_SCEN'!$G$89+'ENG_SCEN'!$G$96</f>
        <v/>
      </c>
      <c r="H98" s="33">
        <f>'ENG_SCEN'!$H$89+'ENG_SCEN'!$H$96</f>
        <v/>
      </c>
      <c r="I98" s="33">
        <f>'ENG_SCEN'!$I$89+'ENG_SCEN'!$I$96</f>
        <v/>
      </c>
      <c r="J98" s="33">
        <f>'ENG_SCEN'!$J$89+'ENG_SCEN'!$J$96</f>
        <v/>
      </c>
      <c r="K98" s="33">
        <f>'ENG_SCEN'!$K$89+'ENG_SCEN'!$K$96</f>
        <v/>
      </c>
      <c r="L98" s="33">
        <f>'ENG_SCEN'!$L$89+'ENG_SCEN'!$L$96</f>
        <v/>
      </c>
      <c r="M98" s="33">
        <f>'ENG_SCEN'!$M$89+'ENG_SCEN'!$M$96</f>
        <v/>
      </c>
      <c r="N98" s="33">
        <f>'ENG_SCEN'!$N$89+'ENG_SCEN'!$N$96</f>
        <v/>
      </c>
      <c r="O98" s="33">
        <f>'ENG_SCEN'!$O$89+'ENG_SCEN'!$O$96</f>
        <v/>
      </c>
      <c r="P98" s="33">
        <f>'ENG_SCEN'!$P$89+'ENG_SCEN'!$P$96</f>
        <v/>
      </c>
    </row>
    <row r="99">
      <c r="A99" s="15" t="inlineStr">
        <is>
          <t>[2] CFADS</t>
        </is>
      </c>
      <c r="B99" s="16" t="inlineStr">
        <is>
          <t>SB2.cfads</t>
        </is>
      </c>
      <c r="C99" s="17" t="inlineStr">
        <is>
          <t>میلیون ریال</t>
        </is>
      </c>
      <c r="D99" s="33">
        <f>'ENG_SCEN'!$D$83-'ENG_SCEN'!$D$85-'ENG_SCEN'!$D$88</f>
        <v/>
      </c>
      <c r="E99" s="33">
        <f>'ENG_SCEN'!$E$83-'ENG_SCEN'!$E$85-'ENG_SCEN'!$E$88</f>
        <v/>
      </c>
      <c r="F99" s="33">
        <f>'ENG_SCEN'!$F$83-'ENG_SCEN'!$F$85-'ENG_SCEN'!$F$88</f>
        <v/>
      </c>
      <c r="G99" s="33">
        <f>'ENG_SCEN'!$G$83-'ENG_SCEN'!$G$85-'ENG_SCEN'!$G$88</f>
        <v/>
      </c>
      <c r="H99" s="33">
        <f>'ENG_SCEN'!$H$83-'ENG_SCEN'!$H$85-'ENG_SCEN'!$H$88</f>
        <v/>
      </c>
      <c r="I99" s="33">
        <f>'ENG_SCEN'!$I$83-'ENG_SCEN'!$I$85-'ENG_SCEN'!$I$88</f>
        <v/>
      </c>
      <c r="J99" s="33">
        <f>'ENG_SCEN'!$J$83-'ENG_SCEN'!$J$85-'ENG_SCEN'!$J$88</f>
        <v/>
      </c>
      <c r="K99" s="33">
        <f>'ENG_SCEN'!$K$83-'ENG_SCEN'!$K$85-'ENG_SCEN'!$K$88</f>
        <v/>
      </c>
      <c r="L99" s="33">
        <f>'ENG_SCEN'!$L$83-'ENG_SCEN'!$L$85-'ENG_SCEN'!$L$88</f>
        <v/>
      </c>
      <c r="M99" s="33">
        <f>'ENG_SCEN'!$M$83-'ENG_SCEN'!$M$85-'ENG_SCEN'!$M$88</f>
        <v/>
      </c>
      <c r="N99" s="33">
        <f>'ENG_SCEN'!$N$83-'ENG_SCEN'!$N$85-'ENG_SCEN'!$N$88</f>
        <v/>
      </c>
      <c r="O99" s="33">
        <f>'ENG_SCEN'!$O$83-'ENG_SCEN'!$O$85-'ENG_SCEN'!$O$88</f>
        <v/>
      </c>
      <c r="P99" s="33">
        <f>'ENG_SCEN'!$P$83-'ENG_SCEN'!$P$85-'ENG_SCEN'!$P$88</f>
        <v/>
      </c>
    </row>
    <row r="100">
      <c r="A100" s="15" t="inlineStr">
        <is>
          <t>[2] خدمت دین</t>
        </is>
      </c>
      <c r="B100" s="16" t="inlineStr">
        <is>
          <t>SB2.debt_service</t>
        </is>
      </c>
      <c r="C100" s="17" t="inlineStr">
        <is>
          <t>میلیون ریال</t>
        </is>
      </c>
      <c r="D100" s="33">
        <f>'ENG_FCF'!$D$24+'ENG_FCF'!$D$20*('IN_FIN'!$D$25+'IN_SCEN'!$E$21)+'ENG_FCF'!$D$27</f>
        <v/>
      </c>
      <c r="E100" s="33">
        <f>'ENG_FCF'!$E$24+'ENG_FCF'!$E$20*('IN_FIN'!$D$25+'IN_SCEN'!$E$21)+'ENG_FCF'!$E$27</f>
        <v/>
      </c>
      <c r="F100" s="33">
        <f>'ENG_FCF'!$F$24+'ENG_FCF'!$F$20*('IN_FIN'!$D$25+'IN_SCEN'!$E$21)+'ENG_FCF'!$F$27</f>
        <v/>
      </c>
      <c r="G100" s="33">
        <f>'ENG_FCF'!$G$24+'ENG_FCF'!$G$20*('IN_FIN'!$D$25+'IN_SCEN'!$E$21)+'ENG_FCF'!$G$27</f>
        <v/>
      </c>
      <c r="H100" s="33">
        <f>'ENG_FCF'!$H$24+'ENG_FCF'!$H$20*('IN_FIN'!$D$25+'IN_SCEN'!$E$21)+'ENG_FCF'!$H$27</f>
        <v/>
      </c>
      <c r="I100" s="33">
        <f>'ENG_FCF'!$I$24+'ENG_FCF'!$I$20*('IN_FIN'!$D$25+'IN_SCEN'!$E$21)+'ENG_FCF'!$I$27</f>
        <v/>
      </c>
      <c r="J100" s="33">
        <f>'ENG_FCF'!$J$24+'ENG_FCF'!$J$20*('IN_FIN'!$D$25+'IN_SCEN'!$E$21)+'ENG_FCF'!$J$27</f>
        <v/>
      </c>
      <c r="K100" s="33">
        <f>'ENG_FCF'!$K$24+'ENG_FCF'!$K$20*('IN_FIN'!$D$25+'IN_SCEN'!$E$21)+'ENG_FCF'!$K$27</f>
        <v/>
      </c>
      <c r="L100" s="33">
        <f>'ENG_FCF'!$L$24+'ENG_FCF'!$L$20*('IN_FIN'!$D$25+'IN_SCEN'!$E$21)+'ENG_FCF'!$L$27</f>
        <v/>
      </c>
      <c r="M100" s="33">
        <f>'ENG_FCF'!$M$24+'ENG_FCF'!$M$20*('IN_FIN'!$D$25+'IN_SCEN'!$E$21)+'ENG_FCF'!$M$27</f>
        <v/>
      </c>
      <c r="N100" s="33">
        <f>'ENG_FCF'!$N$24+'ENG_FCF'!$N$20*('IN_FIN'!$D$25+'IN_SCEN'!$E$21)+'ENG_FCF'!$N$27</f>
        <v/>
      </c>
      <c r="O100" s="33">
        <f>'ENG_FCF'!$O$24+'ENG_FCF'!$O$20*('IN_FIN'!$D$25+'IN_SCEN'!$E$21)+'ENG_FCF'!$O$27</f>
        <v/>
      </c>
      <c r="P100" s="33">
        <f>'ENG_FCF'!$P$24+'ENG_FCF'!$P$20*('IN_FIN'!$D$25+'IN_SCEN'!$E$21)+'ENG_FCF'!$P$27</f>
        <v/>
      </c>
    </row>
    <row r="101">
      <c r="A101" s="15" t="inlineStr">
        <is>
          <t>[2] DSCR</t>
        </is>
      </c>
      <c r="B101" s="16" t="inlineStr">
        <is>
          <t>SB2.dscr</t>
        </is>
      </c>
      <c r="C101" s="17" t="inlineStr">
        <is>
          <t>ضریب</t>
        </is>
      </c>
      <c r="D101" s="35">
        <f>IFERROR('ENG_SCEN'!$D$99/'ENG_SCEN'!$D$100,"─")</f>
        <v/>
      </c>
      <c r="E101" s="35">
        <f>IFERROR('ENG_SCEN'!$E$99/'ENG_SCEN'!$E$100,"─")</f>
        <v/>
      </c>
      <c r="F101" s="35">
        <f>IFERROR('ENG_SCEN'!$F$99/'ENG_SCEN'!$F$100,"─")</f>
        <v/>
      </c>
      <c r="G101" s="35">
        <f>IFERROR('ENG_SCEN'!$G$99/'ENG_SCEN'!$G$100,"─")</f>
        <v/>
      </c>
      <c r="H101" s="35">
        <f>IFERROR('ENG_SCEN'!$H$99/'ENG_SCEN'!$H$100,"─")</f>
        <v/>
      </c>
      <c r="I101" s="35">
        <f>IFERROR('ENG_SCEN'!$I$99/'ENG_SCEN'!$I$100,"─")</f>
        <v/>
      </c>
      <c r="J101" s="35">
        <f>IFERROR('ENG_SCEN'!$J$99/'ENG_SCEN'!$J$100,"─")</f>
        <v/>
      </c>
      <c r="K101" s="35">
        <f>IFERROR('ENG_SCEN'!$K$99/'ENG_SCEN'!$K$100,"─")</f>
        <v/>
      </c>
      <c r="L101" s="35">
        <f>IFERROR('ENG_SCEN'!$L$99/'ENG_SCEN'!$L$100,"─")</f>
        <v/>
      </c>
      <c r="M101" s="35">
        <f>IFERROR('ENG_SCEN'!$M$99/'ENG_SCEN'!$M$100,"─")</f>
        <v/>
      </c>
      <c r="N101" s="35">
        <f>IFERROR('ENG_SCEN'!$N$99/'ENG_SCEN'!$N$100,"─")</f>
        <v/>
      </c>
      <c r="O101" s="35">
        <f>IFERROR('ENG_SCEN'!$O$99/'ENG_SCEN'!$O$100,"─")</f>
        <v/>
      </c>
      <c r="P101" s="35">
        <f>IFERROR('ENG_SCEN'!$P$99/'ENG_SCEN'!$P$100,"─")</f>
        <v/>
      </c>
    </row>
    <row r="102">
      <c r="A102" s="8" t="inlineStr">
        <is>
          <t>[2] ارزش فعلی خالص (NPV)</t>
        </is>
      </c>
      <c r="C102" s="13" t="inlineStr">
        <is>
          <t>میلیون ریال</t>
        </is>
      </c>
      <c r="D102" s="36">
        <f>SUM('ENG_SCEN'!$D$94:$P$94)+SUM('ENG_SCEN'!$D$97:$P$97)</f>
        <v/>
      </c>
    </row>
    <row r="103">
      <c r="A103" s="8" t="inlineStr">
        <is>
          <t>[2] IRR پروژه</t>
        </is>
      </c>
      <c r="C103" s="13" t="inlineStr">
        <is>
          <t>درصد</t>
        </is>
      </c>
      <c r="D103" s="31">
        <f>IFERROR(IRR('ENG_SCEN'!$D$98:$P$98),NA())</f>
        <v/>
      </c>
    </row>
    <row r="104">
      <c r="A104" s="8" t="inlineStr">
        <is>
          <t>[2] دوره بازپرداشت (سال)</t>
        </is>
      </c>
      <c r="C104" s="13" t="inlineStr">
        <is>
          <t>سال</t>
        </is>
      </c>
      <c r="D104" s="37">
        <f>IF(COUNTIF('ENG_SCEN'!$D$91:$P$91,"&lt;0")=0,0,IF(COUNTIF('ENG_SCEN'!$D$91:$P$91,"&lt;0")&gt;=13,NA(),INDEX('IN_MACRO'!$D$23:$P$23,COUNTIF('ENG_SCEN'!$D$91:$P$91,"&lt;0"))+(0-INDEX('ENG_SCEN'!$D$91:$P$91,COUNTIF('ENG_SCEN'!$D$91:$P$91,"&lt;0")))/(INDEX('ENG_SCEN'!$D$91:$P$91,COUNTIF('ENG_SCEN'!$D$91:$P$91,"&lt;0")+1)-INDEX('ENG_SCEN'!$D$91:$P$91,COUNTIF('ENG_SCEN'!$D$91:$P$91,"&lt;0")))))</f>
        <v/>
      </c>
    </row>
    <row r="105">
      <c r="A105" s="8" t="inlineStr">
        <is>
          <t>[2] شاخص سودآوری</t>
        </is>
      </c>
      <c r="C105" s="13" t="inlineStr">
        <is>
          <t>ضریب</t>
        </is>
      </c>
      <c r="D105" s="30">
        <f>IFERROR((SUMIF('ENG_SCEN'!$D$94:$P$94,"&gt;0")+SUM('ENG_SCEN'!$D$97:$P$97))/ABS(SUMIF('ENG_SCEN'!$D$94:$P$94,"&lt;0")),NA())</f>
        <v/>
      </c>
    </row>
    <row r="106">
      <c r="A106" s="8" t="inlineStr">
        <is>
          <t>[2] حداقل DSCR</t>
        </is>
      </c>
      <c r="C106" s="13" t="inlineStr">
        <is>
          <t>ضریب</t>
        </is>
      </c>
      <c r="D106" s="30">
        <f>IFERROR(IF(COUNT('ENG_SCEN'!$D$101:$P$101)=0,NA(),MIN('ENG_SCEN'!$D$101:$P$101)),NA())</f>
        <v/>
      </c>
    </row>
    <row r="107">
      <c r="A107" s="8" t="inlineStr">
        <is>
          <t>[2] میانگین DSCR دوره بازپرداخت</t>
        </is>
      </c>
      <c r="C107" s="13" t="inlineStr">
        <is>
          <t>ضریب</t>
        </is>
      </c>
      <c r="D107" s="30">
        <f>IFERROR(AVERAGEIF('ENG_SCEN'!$D$100:$P$100,"&gt;0",'ENG_SCEN'!$D$101:$P$101),NA())</f>
        <v/>
      </c>
    </row>
    <row r="108"/>
    <row r="109">
      <c r="A109" s="4" t="inlineStr">
        <is>
          <t>سناریوی 3: بدبینانه</t>
        </is>
      </c>
      <c r="B109" s="5" t="n"/>
      <c r="C109" s="5" t="n"/>
      <c r="D109" s="5" t="n"/>
      <c r="E109" s="5" t="n"/>
      <c r="F109" s="5" t="n"/>
      <c r="G109" s="5" t="n"/>
      <c r="H109" s="5" t="n"/>
      <c r="I109" s="5" t="n"/>
      <c r="J109" s="5" t="n"/>
      <c r="K109" s="5" t="n"/>
      <c r="L109" s="5" t="n"/>
      <c r="M109" s="5" t="n"/>
      <c r="N109" s="5" t="n"/>
      <c r="O109" s="5" t="n"/>
      <c r="P109" s="5" t="n"/>
      <c r="Q109" s="5" t="n"/>
    </row>
    <row r="110">
      <c r="A110" s="15" t="inlineStr">
        <is>
          <t>[3] حجم فروش محصولات (تن)</t>
        </is>
      </c>
      <c r="B110" s="16" t="inlineStr">
        <is>
          <t>SB3.vol</t>
        </is>
      </c>
      <c r="C110" s="17" t="inlineStr">
        <is>
          <t>تن</t>
        </is>
      </c>
      <c r="D110" s="33">
        <f>'ENG_OPS'!$D$82*'IN_SCEN'!$F$13</f>
        <v/>
      </c>
      <c r="E110" s="33">
        <f>'ENG_OPS'!$E$82*'IN_SCEN'!$F$13</f>
        <v/>
      </c>
      <c r="F110" s="33">
        <f>'ENG_OPS'!$F$82*'IN_SCEN'!$F$13</f>
        <v/>
      </c>
      <c r="G110" s="33">
        <f>'ENG_OPS'!$G$82*'IN_SCEN'!$F$13</f>
        <v/>
      </c>
      <c r="H110" s="33">
        <f>'ENG_OPS'!$H$82*'IN_SCEN'!$F$13</f>
        <v/>
      </c>
      <c r="I110" s="33">
        <f>'ENG_OPS'!$I$82*'IN_SCEN'!$F$13</f>
        <v/>
      </c>
      <c r="J110" s="33">
        <f>'ENG_OPS'!$J$82*'IN_SCEN'!$F$13</f>
        <v/>
      </c>
      <c r="K110" s="33">
        <f>'ENG_OPS'!$K$82*'IN_SCEN'!$F$13</f>
        <v/>
      </c>
      <c r="L110" s="33">
        <f>'ENG_OPS'!$L$82*'IN_SCEN'!$F$13</f>
        <v/>
      </c>
      <c r="M110" s="33">
        <f>'ENG_OPS'!$M$82*'IN_SCEN'!$F$13</f>
        <v/>
      </c>
      <c r="N110" s="33">
        <f>'ENG_OPS'!$N$82*'IN_SCEN'!$F$13</f>
        <v/>
      </c>
      <c r="O110" s="33">
        <f>'ENG_OPS'!$O$82*'IN_SCEN'!$F$13</f>
        <v/>
      </c>
      <c r="P110" s="33">
        <f>'ENG_OPS'!$P$82*'IN_SCEN'!$F$13</f>
        <v/>
      </c>
    </row>
    <row r="111">
      <c r="A111" s="15" t="inlineStr">
        <is>
          <t>[3] درآمد خالص هر تن</t>
        </is>
      </c>
      <c r="B111" s="16" t="inlineStr">
        <is>
          <t>SB3.price</t>
        </is>
      </c>
      <c r="C111" s="17" t="inlineStr">
        <is>
          <t>میلیون ریال/تن</t>
        </is>
      </c>
      <c r="D111" s="34">
        <f>'ENG_OPS'!$D$83*'IN_SCEN'!$F$14</f>
        <v/>
      </c>
      <c r="E111" s="34">
        <f>'ENG_OPS'!$E$83*'IN_SCEN'!$F$14</f>
        <v/>
      </c>
      <c r="F111" s="34">
        <f>'ENG_OPS'!$F$83*'IN_SCEN'!$F$14</f>
        <v/>
      </c>
      <c r="G111" s="34">
        <f>'ENG_OPS'!$G$83*'IN_SCEN'!$F$14</f>
        <v/>
      </c>
      <c r="H111" s="34">
        <f>'ENG_OPS'!$H$83*'IN_SCEN'!$F$14</f>
        <v/>
      </c>
      <c r="I111" s="34">
        <f>'ENG_OPS'!$I$83*'IN_SCEN'!$F$14</f>
        <v/>
      </c>
      <c r="J111" s="34">
        <f>'ENG_OPS'!$J$83*'IN_SCEN'!$F$14</f>
        <v/>
      </c>
      <c r="K111" s="34">
        <f>'ENG_OPS'!$K$83*'IN_SCEN'!$F$14</f>
        <v/>
      </c>
      <c r="L111" s="34">
        <f>'ENG_OPS'!$L$83*'IN_SCEN'!$F$14</f>
        <v/>
      </c>
      <c r="M111" s="34">
        <f>'ENG_OPS'!$M$83*'IN_SCEN'!$F$14</f>
        <v/>
      </c>
      <c r="N111" s="34">
        <f>'ENG_OPS'!$N$83*'IN_SCEN'!$F$14</f>
        <v/>
      </c>
      <c r="O111" s="34">
        <f>'ENG_OPS'!$O$83*'IN_SCEN'!$F$14</f>
        <v/>
      </c>
      <c r="P111" s="34">
        <f>'ENG_OPS'!$P$83*'IN_SCEN'!$F$14</f>
        <v/>
      </c>
    </row>
    <row r="112">
      <c r="A112" s="15" t="inlineStr">
        <is>
          <t>[3] درآمد خالص</t>
        </is>
      </c>
      <c r="B112" s="16" t="inlineStr">
        <is>
          <t>SB3.rev</t>
        </is>
      </c>
      <c r="C112" s="17" t="inlineStr">
        <is>
          <t>میلیون ریال</t>
        </is>
      </c>
      <c r="D112" s="33">
        <f>'ENG_SCEN'!$D$110*'ENG_SCEN'!$D$111</f>
        <v/>
      </c>
      <c r="E112" s="33">
        <f>'ENG_SCEN'!$E$110*'ENG_SCEN'!$E$111</f>
        <v/>
      </c>
      <c r="F112" s="33">
        <f>'ENG_SCEN'!$F$110*'ENG_SCEN'!$F$111</f>
        <v/>
      </c>
      <c r="G112" s="33">
        <f>'ENG_SCEN'!$G$110*'ENG_SCEN'!$G$111</f>
        <v/>
      </c>
      <c r="H112" s="33">
        <f>'ENG_SCEN'!$H$110*'ENG_SCEN'!$H$111</f>
        <v/>
      </c>
      <c r="I112" s="33">
        <f>'ENG_SCEN'!$I$110*'ENG_SCEN'!$I$111</f>
        <v/>
      </c>
      <c r="J112" s="33">
        <f>'ENG_SCEN'!$J$110*'ENG_SCEN'!$J$111</f>
        <v/>
      </c>
      <c r="K112" s="33">
        <f>'ENG_SCEN'!$K$110*'ENG_SCEN'!$K$111</f>
        <v/>
      </c>
      <c r="L112" s="33">
        <f>'ENG_SCEN'!$L$110*'ENG_SCEN'!$L$111</f>
        <v/>
      </c>
      <c r="M112" s="33">
        <f>'ENG_SCEN'!$M$110*'ENG_SCEN'!$M$111</f>
        <v/>
      </c>
      <c r="N112" s="33">
        <f>'ENG_SCEN'!$N$110*'ENG_SCEN'!$N$111</f>
        <v/>
      </c>
      <c r="O112" s="33">
        <f>'ENG_SCEN'!$O$110*'ENG_SCEN'!$O$111</f>
        <v/>
      </c>
      <c r="P112" s="33">
        <f>'ENG_SCEN'!$P$110*'ENG_SCEN'!$P$111</f>
        <v/>
      </c>
    </row>
    <row r="113">
      <c r="A113" s="15" t="inlineStr">
        <is>
          <t>[3] هزینه مواد اولیه</t>
        </is>
      </c>
      <c r="B113" s="16" t="inlineStr">
        <is>
          <t>SB3.rm</t>
        </is>
      </c>
      <c r="C113" s="17" t="inlineStr">
        <is>
          <t>میلیون ریال</t>
        </is>
      </c>
      <c r="D113" s="33">
        <f>'ENG_COST'!$D$264*'IN_SCEN'!$F$13*'IN_SCEN'!$F$15</f>
        <v/>
      </c>
      <c r="E113" s="33">
        <f>'ENG_COST'!$E$264*'IN_SCEN'!$F$13*'IN_SCEN'!$F$15</f>
        <v/>
      </c>
      <c r="F113" s="33">
        <f>'ENG_COST'!$F$264*'IN_SCEN'!$F$13*'IN_SCEN'!$F$15</f>
        <v/>
      </c>
      <c r="G113" s="33">
        <f>'ENG_COST'!$G$264*'IN_SCEN'!$F$13*'IN_SCEN'!$F$15</f>
        <v/>
      </c>
      <c r="H113" s="33">
        <f>'ENG_COST'!$H$264*'IN_SCEN'!$F$13*'IN_SCEN'!$F$15</f>
        <v/>
      </c>
      <c r="I113" s="33">
        <f>'ENG_COST'!$I$264*'IN_SCEN'!$F$13*'IN_SCEN'!$F$15</f>
        <v/>
      </c>
      <c r="J113" s="33">
        <f>'ENG_COST'!$J$264*'IN_SCEN'!$F$13*'IN_SCEN'!$F$15</f>
        <v/>
      </c>
      <c r="K113" s="33">
        <f>'ENG_COST'!$K$264*'IN_SCEN'!$F$13*'IN_SCEN'!$F$15</f>
        <v/>
      </c>
      <c r="L113" s="33">
        <f>'ENG_COST'!$L$264*'IN_SCEN'!$F$13*'IN_SCEN'!$F$15</f>
        <v/>
      </c>
      <c r="M113" s="33">
        <f>'ENG_COST'!$M$264*'IN_SCEN'!$F$13*'IN_SCEN'!$F$15</f>
        <v/>
      </c>
      <c r="N113" s="33">
        <f>'ENG_COST'!$N$264*'IN_SCEN'!$F$13*'IN_SCEN'!$F$15</f>
        <v/>
      </c>
      <c r="O113" s="33">
        <f>'ENG_COST'!$O$264*'IN_SCEN'!$F$13*'IN_SCEN'!$F$15</f>
        <v/>
      </c>
      <c r="P113" s="33">
        <f>'ENG_COST'!$P$264*'IN_SCEN'!$F$13*'IN_SCEN'!$F$15</f>
        <v/>
      </c>
    </row>
    <row r="114">
      <c r="A114" s="15" t="inlineStr">
        <is>
          <t>[3] سایر هزینه‌های متغیر</t>
        </is>
      </c>
      <c r="B114" s="16" t="inlineStr">
        <is>
          <t>SB3.var</t>
        </is>
      </c>
      <c r="C114" s="17" t="inlineStr">
        <is>
          <t>میلیون ریال</t>
        </is>
      </c>
      <c r="D114" s="33">
        <f>'ENG_COST'!$D$265*'IN_SCEN'!$F$13*'IN_SCEN'!$F$16</f>
        <v/>
      </c>
      <c r="E114" s="33">
        <f>'ENG_COST'!$E$265*'IN_SCEN'!$F$13*'IN_SCEN'!$F$16</f>
        <v/>
      </c>
      <c r="F114" s="33">
        <f>'ENG_COST'!$F$265*'IN_SCEN'!$F$13*'IN_SCEN'!$F$16</f>
        <v/>
      </c>
      <c r="G114" s="33">
        <f>'ENG_COST'!$G$265*'IN_SCEN'!$F$13*'IN_SCEN'!$F$16</f>
        <v/>
      </c>
      <c r="H114" s="33">
        <f>'ENG_COST'!$H$265*'IN_SCEN'!$F$13*'IN_SCEN'!$F$16</f>
        <v/>
      </c>
      <c r="I114" s="33">
        <f>'ENG_COST'!$I$265*'IN_SCEN'!$F$13*'IN_SCEN'!$F$16</f>
        <v/>
      </c>
      <c r="J114" s="33">
        <f>'ENG_COST'!$J$265*'IN_SCEN'!$F$13*'IN_SCEN'!$F$16</f>
        <v/>
      </c>
      <c r="K114" s="33">
        <f>'ENG_COST'!$K$265*'IN_SCEN'!$F$13*'IN_SCEN'!$F$16</f>
        <v/>
      </c>
      <c r="L114" s="33">
        <f>'ENG_COST'!$L$265*'IN_SCEN'!$F$13*'IN_SCEN'!$F$16</f>
        <v/>
      </c>
      <c r="M114" s="33">
        <f>'ENG_COST'!$M$265*'IN_SCEN'!$F$13*'IN_SCEN'!$F$16</f>
        <v/>
      </c>
      <c r="N114" s="33">
        <f>'ENG_COST'!$N$265*'IN_SCEN'!$F$13*'IN_SCEN'!$F$16</f>
        <v/>
      </c>
      <c r="O114" s="33">
        <f>'ENG_COST'!$O$265*'IN_SCEN'!$F$13*'IN_SCEN'!$F$16</f>
        <v/>
      </c>
      <c r="P114" s="33">
        <f>'ENG_COST'!$P$265*'IN_SCEN'!$F$13*'IN_SCEN'!$F$16</f>
        <v/>
      </c>
    </row>
    <row r="115">
      <c r="A115" s="15" t="inlineStr">
        <is>
          <t>[3] هزینه‌های ثابت نقدی</t>
        </is>
      </c>
      <c r="B115" s="16" t="inlineStr">
        <is>
          <t>SB3.fix</t>
        </is>
      </c>
      <c r="C115" s="17" t="inlineStr">
        <is>
          <t>میلیون ریال</t>
        </is>
      </c>
      <c r="D115" s="33">
        <f>'ENG_COST'!$D$268*'IN_SCEN'!$F$17</f>
        <v/>
      </c>
      <c r="E115" s="33">
        <f>'ENG_COST'!$E$268*'IN_SCEN'!$F$17</f>
        <v/>
      </c>
      <c r="F115" s="33">
        <f>'ENG_COST'!$F$268*'IN_SCEN'!$F$17</f>
        <v/>
      </c>
      <c r="G115" s="33">
        <f>'ENG_COST'!$G$268*'IN_SCEN'!$F$17</f>
        <v/>
      </c>
      <c r="H115" s="33">
        <f>'ENG_COST'!$H$268*'IN_SCEN'!$F$17</f>
        <v/>
      </c>
      <c r="I115" s="33">
        <f>'ENG_COST'!$I$268*'IN_SCEN'!$F$17</f>
        <v/>
      </c>
      <c r="J115" s="33">
        <f>'ENG_COST'!$J$268*'IN_SCEN'!$F$17</f>
        <v/>
      </c>
      <c r="K115" s="33">
        <f>'ENG_COST'!$K$268*'IN_SCEN'!$F$17</f>
        <v/>
      </c>
      <c r="L115" s="33">
        <f>'ENG_COST'!$L$268*'IN_SCEN'!$F$17</f>
        <v/>
      </c>
      <c r="M115" s="33">
        <f>'ENG_COST'!$M$268*'IN_SCEN'!$F$17</f>
        <v/>
      </c>
      <c r="N115" s="33">
        <f>'ENG_COST'!$N$268*'IN_SCEN'!$F$17</f>
        <v/>
      </c>
      <c r="O115" s="33">
        <f>'ENG_COST'!$O$268*'IN_SCEN'!$F$17</f>
        <v/>
      </c>
      <c r="P115" s="33">
        <f>'ENG_COST'!$P$268*'IN_SCEN'!$F$17</f>
        <v/>
      </c>
    </row>
    <row r="116">
      <c r="A116" s="15" t="inlineStr">
        <is>
          <t>[3] استهلاک</t>
        </is>
      </c>
      <c r="B116" s="16" t="inlineStr">
        <is>
          <t>SB3.dep</t>
        </is>
      </c>
      <c r="C116" s="17" t="inlineStr">
        <is>
          <t>میلیون ریال</t>
        </is>
      </c>
      <c r="D116" s="33">
        <f>'ENG_CAPEX'!$D$81*'IN_SCEN'!$F$18</f>
        <v/>
      </c>
      <c r="E116" s="33">
        <f>'ENG_CAPEX'!$E$81*'IN_SCEN'!$F$18</f>
        <v/>
      </c>
      <c r="F116" s="33">
        <f>'ENG_CAPEX'!$F$81*'IN_SCEN'!$F$18</f>
        <v/>
      </c>
      <c r="G116" s="33">
        <f>'ENG_CAPEX'!$G$81*'IN_SCEN'!$F$18</f>
        <v/>
      </c>
      <c r="H116" s="33">
        <f>'ENG_CAPEX'!$H$81*'IN_SCEN'!$F$18</f>
        <v/>
      </c>
      <c r="I116" s="33">
        <f>'ENG_CAPEX'!$I$81*'IN_SCEN'!$F$18</f>
        <v/>
      </c>
      <c r="J116" s="33">
        <f>'ENG_CAPEX'!$J$81*'IN_SCEN'!$F$18</f>
        <v/>
      </c>
      <c r="K116" s="33">
        <f>'ENG_CAPEX'!$K$81*'IN_SCEN'!$F$18</f>
        <v/>
      </c>
      <c r="L116" s="33">
        <f>'ENG_CAPEX'!$L$81*'IN_SCEN'!$F$18</f>
        <v/>
      </c>
      <c r="M116" s="33">
        <f>'ENG_CAPEX'!$M$81*'IN_SCEN'!$F$18</f>
        <v/>
      </c>
      <c r="N116" s="33">
        <f>'ENG_CAPEX'!$N$81*'IN_SCEN'!$F$18</f>
        <v/>
      </c>
      <c r="O116" s="33">
        <f>'ENG_CAPEX'!$O$81*'IN_SCEN'!$F$18</f>
        <v/>
      </c>
      <c r="P116" s="33">
        <f>'ENG_CAPEX'!$P$81*'IN_SCEN'!$F$18</f>
        <v/>
      </c>
    </row>
    <row r="117">
      <c r="A117" s="15" t="inlineStr">
        <is>
          <t>[3] EBITDA</t>
        </is>
      </c>
      <c r="B117" s="16" t="inlineStr">
        <is>
          <t>SB3.ebitda</t>
        </is>
      </c>
      <c r="C117" s="17" t="inlineStr">
        <is>
          <t>میلیون ریال</t>
        </is>
      </c>
      <c r="D117" s="33">
        <f>'ENG_SCEN'!$D$112-'ENG_SCEN'!$D$113-'ENG_SCEN'!$D$114-'ENG_SCEN'!$D$115</f>
        <v/>
      </c>
      <c r="E117" s="33">
        <f>'ENG_SCEN'!$E$112-'ENG_SCEN'!$E$113-'ENG_SCEN'!$E$114-'ENG_SCEN'!$E$115</f>
        <v/>
      </c>
      <c r="F117" s="33">
        <f>'ENG_SCEN'!$F$112-'ENG_SCEN'!$F$113-'ENG_SCEN'!$F$114-'ENG_SCEN'!$F$115</f>
        <v/>
      </c>
      <c r="G117" s="33">
        <f>'ENG_SCEN'!$G$112-'ENG_SCEN'!$G$113-'ENG_SCEN'!$G$114-'ENG_SCEN'!$G$115</f>
        <v/>
      </c>
      <c r="H117" s="33">
        <f>'ENG_SCEN'!$H$112-'ENG_SCEN'!$H$113-'ENG_SCEN'!$H$114-'ENG_SCEN'!$H$115</f>
        <v/>
      </c>
      <c r="I117" s="33">
        <f>'ENG_SCEN'!$I$112-'ENG_SCEN'!$I$113-'ENG_SCEN'!$I$114-'ENG_SCEN'!$I$115</f>
        <v/>
      </c>
      <c r="J117" s="33">
        <f>'ENG_SCEN'!$J$112-'ENG_SCEN'!$J$113-'ENG_SCEN'!$J$114-'ENG_SCEN'!$J$115</f>
        <v/>
      </c>
      <c r="K117" s="33">
        <f>'ENG_SCEN'!$K$112-'ENG_SCEN'!$K$113-'ENG_SCEN'!$K$114-'ENG_SCEN'!$K$115</f>
        <v/>
      </c>
      <c r="L117" s="33">
        <f>'ENG_SCEN'!$L$112-'ENG_SCEN'!$L$113-'ENG_SCEN'!$L$114-'ENG_SCEN'!$L$115</f>
        <v/>
      </c>
      <c r="M117" s="33">
        <f>'ENG_SCEN'!$M$112-'ENG_SCEN'!$M$113-'ENG_SCEN'!$M$114-'ENG_SCEN'!$M$115</f>
        <v/>
      </c>
      <c r="N117" s="33">
        <f>'ENG_SCEN'!$N$112-'ENG_SCEN'!$N$113-'ENG_SCEN'!$N$114-'ENG_SCEN'!$N$115</f>
        <v/>
      </c>
      <c r="O117" s="33">
        <f>'ENG_SCEN'!$O$112-'ENG_SCEN'!$O$113-'ENG_SCEN'!$O$114-'ENG_SCEN'!$O$115</f>
        <v/>
      </c>
      <c r="P117" s="33">
        <f>'ENG_SCEN'!$P$112-'ENG_SCEN'!$P$113-'ENG_SCEN'!$P$114-'ENG_SCEN'!$P$115</f>
        <v/>
      </c>
    </row>
    <row r="118">
      <c r="A118" s="15" t="inlineStr">
        <is>
          <t>[3] EBIT</t>
        </is>
      </c>
      <c r="B118" s="16" t="inlineStr">
        <is>
          <t>SB3.ebit</t>
        </is>
      </c>
      <c r="C118" s="17" t="inlineStr">
        <is>
          <t>میلیون ریال</t>
        </is>
      </c>
      <c r="D118" s="33">
        <f>'ENG_SCEN'!$D$117-'ENG_SCEN'!$D$116</f>
        <v/>
      </c>
      <c r="E118" s="33">
        <f>'ENG_SCEN'!$E$117-'ENG_SCEN'!$E$116</f>
        <v/>
      </c>
      <c r="F118" s="33">
        <f>'ENG_SCEN'!$F$117-'ENG_SCEN'!$F$116</f>
        <v/>
      </c>
      <c r="G118" s="33">
        <f>'ENG_SCEN'!$G$117-'ENG_SCEN'!$G$116</f>
        <v/>
      </c>
      <c r="H118" s="33">
        <f>'ENG_SCEN'!$H$117-'ENG_SCEN'!$H$116</f>
        <v/>
      </c>
      <c r="I118" s="33">
        <f>'ENG_SCEN'!$I$117-'ENG_SCEN'!$I$116</f>
        <v/>
      </c>
      <c r="J118" s="33">
        <f>'ENG_SCEN'!$J$117-'ENG_SCEN'!$J$116</f>
        <v/>
      </c>
      <c r="K118" s="33">
        <f>'ENG_SCEN'!$K$117-'ENG_SCEN'!$K$116</f>
        <v/>
      </c>
      <c r="L118" s="33">
        <f>'ENG_SCEN'!$L$117-'ENG_SCEN'!$L$116</f>
        <v/>
      </c>
      <c r="M118" s="33">
        <f>'ENG_SCEN'!$M$117-'ENG_SCEN'!$M$116</f>
        <v/>
      </c>
      <c r="N118" s="33">
        <f>'ENG_SCEN'!$N$117-'ENG_SCEN'!$N$116</f>
        <v/>
      </c>
      <c r="O118" s="33">
        <f>'ENG_SCEN'!$O$117-'ENG_SCEN'!$O$116</f>
        <v/>
      </c>
      <c r="P118" s="33">
        <f>'ENG_SCEN'!$P$117-'ENG_SCEN'!$P$116</f>
        <v/>
      </c>
    </row>
    <row r="119">
      <c r="A119" s="15" t="inlineStr">
        <is>
          <t>[3] مالیات</t>
        </is>
      </c>
      <c r="B119" s="16" t="inlineStr">
        <is>
          <t>SB3.tax</t>
        </is>
      </c>
      <c r="C119" s="17" t="inlineStr">
        <is>
          <t>میلیون ریال</t>
        </is>
      </c>
      <c r="D119" s="33">
        <f>MAX(0,'ENG_SCEN'!$D$118)*'IN_MACRO'!$D$14</f>
        <v/>
      </c>
      <c r="E119" s="33">
        <f>MAX(0,'ENG_SCEN'!$E$118)*'IN_MACRO'!$D$14</f>
        <v/>
      </c>
      <c r="F119" s="33">
        <f>MAX(0,'ENG_SCEN'!$F$118)*'IN_MACRO'!$D$14</f>
        <v/>
      </c>
      <c r="G119" s="33">
        <f>MAX(0,'ENG_SCEN'!$G$118)*'IN_MACRO'!$D$14</f>
        <v/>
      </c>
      <c r="H119" s="33">
        <f>MAX(0,'ENG_SCEN'!$H$118)*'IN_MACRO'!$D$14</f>
        <v/>
      </c>
      <c r="I119" s="33">
        <f>MAX(0,'ENG_SCEN'!$I$118)*'IN_MACRO'!$D$14</f>
        <v/>
      </c>
      <c r="J119" s="33">
        <f>MAX(0,'ENG_SCEN'!$J$118)*'IN_MACRO'!$D$14</f>
        <v/>
      </c>
      <c r="K119" s="33">
        <f>MAX(0,'ENG_SCEN'!$K$118)*'IN_MACRO'!$D$14</f>
        <v/>
      </c>
      <c r="L119" s="33">
        <f>MAX(0,'ENG_SCEN'!$L$118)*'IN_MACRO'!$D$14</f>
        <v/>
      </c>
      <c r="M119" s="33">
        <f>MAX(0,'ENG_SCEN'!$M$118)*'IN_MACRO'!$D$14</f>
        <v/>
      </c>
      <c r="N119" s="33">
        <f>MAX(0,'ENG_SCEN'!$N$118)*'IN_MACRO'!$D$14</f>
        <v/>
      </c>
      <c r="O119" s="33">
        <f>MAX(0,'ENG_SCEN'!$O$118)*'IN_MACRO'!$D$14</f>
        <v/>
      </c>
      <c r="P119" s="33">
        <f>MAX(0,'ENG_SCEN'!$P$118)*'IN_MACRO'!$D$14</f>
        <v/>
      </c>
    </row>
    <row r="120">
      <c r="A120" s="15" t="inlineStr">
        <is>
          <t>[3] NOPAT</t>
        </is>
      </c>
      <c r="B120" s="16" t="inlineStr">
        <is>
          <t>SB3.nopat</t>
        </is>
      </c>
      <c r="C120" s="17" t="inlineStr">
        <is>
          <t>میلیون ریال</t>
        </is>
      </c>
      <c r="D120" s="33">
        <f>'ENG_SCEN'!$D$118-'ENG_SCEN'!$D$119</f>
        <v/>
      </c>
      <c r="E120" s="33">
        <f>'ENG_SCEN'!$E$118-'ENG_SCEN'!$E$119</f>
        <v/>
      </c>
      <c r="F120" s="33">
        <f>'ENG_SCEN'!$F$118-'ENG_SCEN'!$F$119</f>
        <v/>
      </c>
      <c r="G120" s="33">
        <f>'ENG_SCEN'!$G$118-'ENG_SCEN'!$G$119</f>
        <v/>
      </c>
      <c r="H120" s="33">
        <f>'ENG_SCEN'!$H$118-'ENG_SCEN'!$H$119</f>
        <v/>
      </c>
      <c r="I120" s="33">
        <f>'ENG_SCEN'!$I$118-'ENG_SCEN'!$I$119</f>
        <v/>
      </c>
      <c r="J120" s="33">
        <f>'ENG_SCEN'!$J$118-'ENG_SCEN'!$J$119</f>
        <v/>
      </c>
      <c r="K120" s="33">
        <f>'ENG_SCEN'!$K$118-'ENG_SCEN'!$K$119</f>
        <v/>
      </c>
      <c r="L120" s="33">
        <f>'ENG_SCEN'!$L$118-'ENG_SCEN'!$L$119</f>
        <v/>
      </c>
      <c r="M120" s="33">
        <f>'ENG_SCEN'!$M$118-'ENG_SCEN'!$M$119</f>
        <v/>
      </c>
      <c r="N120" s="33">
        <f>'ENG_SCEN'!$N$118-'ENG_SCEN'!$N$119</f>
        <v/>
      </c>
      <c r="O120" s="33">
        <f>'ENG_SCEN'!$O$118-'ENG_SCEN'!$O$119</f>
        <v/>
      </c>
      <c r="P120" s="33">
        <f>'ENG_SCEN'!$P$118-'ENG_SCEN'!$P$119</f>
        <v/>
      </c>
    </row>
    <row r="121">
      <c r="A121" s="15" t="inlineStr">
        <is>
          <t>[3] CAPEX و جایگزینی</t>
        </is>
      </c>
      <c r="B121" s="16" t="inlineStr">
        <is>
          <t>SB3.capex</t>
        </is>
      </c>
      <c r="C121" s="17" t="inlineStr">
        <is>
          <t>میلیون ریال</t>
        </is>
      </c>
      <c r="D121" s="33">
        <f>('ENG_CAPEX'!$D$21+'ENG_CAPEX'!$D$42)*'IN_SCEN'!$F$18</f>
        <v/>
      </c>
      <c r="E121" s="33">
        <f>('ENG_CAPEX'!$E$21+'ENG_CAPEX'!$E$42)*'IN_SCEN'!$F$18</f>
        <v/>
      </c>
      <c r="F121" s="33">
        <f>('ENG_CAPEX'!$F$21+'ENG_CAPEX'!$F$42)*'IN_SCEN'!$F$18</f>
        <v/>
      </c>
      <c r="G121" s="33">
        <f>('ENG_CAPEX'!$G$21+'ENG_CAPEX'!$G$42)*'IN_SCEN'!$F$18</f>
        <v/>
      </c>
      <c r="H121" s="33">
        <f>('ENG_CAPEX'!$H$21+'ENG_CAPEX'!$H$42)*'IN_SCEN'!$F$18</f>
        <v/>
      </c>
      <c r="I121" s="33">
        <f>('ENG_CAPEX'!$I$21+'ENG_CAPEX'!$I$42)*'IN_SCEN'!$F$18</f>
        <v/>
      </c>
      <c r="J121" s="33">
        <f>('ENG_CAPEX'!$J$21+'ENG_CAPEX'!$J$42)*'IN_SCEN'!$F$18</f>
        <v/>
      </c>
      <c r="K121" s="33">
        <f>('ENG_CAPEX'!$K$21+'ENG_CAPEX'!$K$42)*'IN_SCEN'!$F$18</f>
        <v/>
      </c>
      <c r="L121" s="33">
        <f>('ENG_CAPEX'!$L$21+'ENG_CAPEX'!$L$42)*'IN_SCEN'!$F$18</f>
        <v/>
      </c>
      <c r="M121" s="33">
        <f>('ENG_CAPEX'!$M$21+'ENG_CAPEX'!$M$42)*'IN_SCEN'!$F$18</f>
        <v/>
      </c>
      <c r="N121" s="33">
        <f>('ENG_CAPEX'!$N$21+'ENG_CAPEX'!$N$42)*'IN_SCEN'!$F$18</f>
        <v/>
      </c>
      <c r="O121" s="33">
        <f>('ENG_CAPEX'!$O$21+'ENG_CAPEX'!$O$42)*'IN_SCEN'!$F$18</f>
        <v/>
      </c>
      <c r="P121" s="33">
        <f>('ENG_CAPEX'!$P$21+'ENG_CAPEX'!$P$42)*'IN_SCEN'!$F$18</f>
        <v/>
      </c>
    </row>
    <row r="122">
      <c r="A122" s="15" t="inlineStr">
        <is>
          <t>[3] تغییرات سرمایه در گردش</t>
        </is>
      </c>
      <c r="B122" s="16" t="inlineStr">
        <is>
          <t>SB3.dwc</t>
        </is>
      </c>
      <c r="C122" s="17" t="inlineStr">
        <is>
          <t>میلیون ریال</t>
        </is>
      </c>
      <c r="D122" s="33">
        <f>'ENG_WC'!$D$19*'IN_SCEN'!$F$13*'IN_SCEN'!$F$14</f>
        <v/>
      </c>
      <c r="E122" s="33">
        <f>'ENG_WC'!$E$19*'IN_SCEN'!$F$13*'IN_SCEN'!$F$14</f>
        <v/>
      </c>
      <c r="F122" s="33">
        <f>'ENG_WC'!$F$19*'IN_SCEN'!$F$13*'IN_SCEN'!$F$14</f>
        <v/>
      </c>
      <c r="G122" s="33">
        <f>'ENG_WC'!$G$19*'IN_SCEN'!$F$13*'IN_SCEN'!$F$14</f>
        <v/>
      </c>
      <c r="H122" s="33">
        <f>'ENG_WC'!$H$19*'IN_SCEN'!$F$13*'IN_SCEN'!$F$14</f>
        <v/>
      </c>
      <c r="I122" s="33">
        <f>'ENG_WC'!$I$19*'IN_SCEN'!$F$13*'IN_SCEN'!$F$14</f>
        <v/>
      </c>
      <c r="J122" s="33">
        <f>'ENG_WC'!$J$19*'IN_SCEN'!$F$13*'IN_SCEN'!$F$14</f>
        <v/>
      </c>
      <c r="K122" s="33">
        <f>'ENG_WC'!$K$19*'IN_SCEN'!$F$13*'IN_SCEN'!$F$14</f>
        <v/>
      </c>
      <c r="L122" s="33">
        <f>'ENG_WC'!$L$19*'IN_SCEN'!$F$13*'IN_SCEN'!$F$14</f>
        <v/>
      </c>
      <c r="M122" s="33">
        <f>'ENG_WC'!$M$19*'IN_SCEN'!$F$13*'IN_SCEN'!$F$14</f>
        <v/>
      </c>
      <c r="N122" s="33">
        <f>'ENG_WC'!$N$19*'IN_SCEN'!$F$13*'IN_SCEN'!$F$14</f>
        <v/>
      </c>
      <c r="O122" s="33">
        <f>'ENG_WC'!$O$19*'IN_SCEN'!$F$13*'IN_SCEN'!$F$14</f>
        <v/>
      </c>
      <c r="P122" s="33">
        <f>'ENG_WC'!$P$19*'IN_SCEN'!$F$13*'IN_SCEN'!$F$14</f>
        <v/>
      </c>
    </row>
    <row r="123">
      <c r="A123" s="15" t="inlineStr">
        <is>
          <t>[3] جریان نقد آزاد (FCFF)</t>
        </is>
      </c>
      <c r="B123" s="16" t="inlineStr">
        <is>
          <t>SB3.fcf</t>
        </is>
      </c>
      <c r="C123" s="17" t="inlineStr">
        <is>
          <t>میلیون ریال</t>
        </is>
      </c>
      <c r="D123" s="33">
        <f>'ENG_SCEN'!$D$120+'ENG_SCEN'!$D$116-'ENG_SCEN'!$D$121-'ENG_SCEN'!$D$122</f>
        <v/>
      </c>
      <c r="E123" s="33">
        <f>'ENG_SCEN'!$E$120+'ENG_SCEN'!$E$116-'ENG_SCEN'!$E$121-'ENG_SCEN'!$E$122</f>
        <v/>
      </c>
      <c r="F123" s="33">
        <f>'ENG_SCEN'!$F$120+'ENG_SCEN'!$F$116-'ENG_SCEN'!$F$121-'ENG_SCEN'!$F$122</f>
        <v/>
      </c>
      <c r="G123" s="33">
        <f>'ENG_SCEN'!$G$120+'ENG_SCEN'!$G$116-'ENG_SCEN'!$G$121-'ENG_SCEN'!$G$122</f>
        <v/>
      </c>
      <c r="H123" s="33">
        <f>'ENG_SCEN'!$H$120+'ENG_SCEN'!$H$116-'ENG_SCEN'!$H$121-'ENG_SCEN'!$H$122</f>
        <v/>
      </c>
      <c r="I123" s="33">
        <f>'ENG_SCEN'!$I$120+'ENG_SCEN'!$I$116-'ENG_SCEN'!$I$121-'ENG_SCEN'!$I$122</f>
        <v/>
      </c>
      <c r="J123" s="33">
        <f>'ENG_SCEN'!$J$120+'ENG_SCEN'!$J$116-'ENG_SCEN'!$J$121-'ENG_SCEN'!$J$122</f>
        <v/>
      </c>
      <c r="K123" s="33">
        <f>'ENG_SCEN'!$K$120+'ENG_SCEN'!$K$116-'ENG_SCEN'!$K$121-'ENG_SCEN'!$K$122</f>
        <v/>
      </c>
      <c r="L123" s="33">
        <f>'ENG_SCEN'!$L$120+'ENG_SCEN'!$L$116-'ENG_SCEN'!$L$121-'ENG_SCEN'!$L$122</f>
        <v/>
      </c>
      <c r="M123" s="33">
        <f>'ENG_SCEN'!$M$120+'ENG_SCEN'!$M$116-'ENG_SCEN'!$M$121-'ENG_SCEN'!$M$122</f>
        <v/>
      </c>
      <c r="N123" s="33">
        <f>'ENG_SCEN'!$N$120+'ENG_SCEN'!$N$116-'ENG_SCEN'!$N$121-'ENG_SCEN'!$N$122</f>
        <v/>
      </c>
      <c r="O123" s="33">
        <f>'ENG_SCEN'!$O$120+'ENG_SCEN'!$O$116-'ENG_SCEN'!$O$121-'ENG_SCEN'!$O$122</f>
        <v/>
      </c>
      <c r="P123" s="33">
        <f>'ENG_SCEN'!$P$120+'ENG_SCEN'!$P$116-'ENG_SCEN'!$P$121-'ENG_SCEN'!$P$122</f>
        <v/>
      </c>
    </row>
    <row r="124">
      <c r="A124" s="15" t="inlineStr">
        <is>
          <t>[3] FCFF تکرارپذیر</t>
        </is>
      </c>
      <c r="B124" s="16" t="inlineStr">
        <is>
          <t>SB3.fcf_rep</t>
        </is>
      </c>
      <c r="C124" s="17" t="inlineStr">
        <is>
          <t>میلیون ریال</t>
        </is>
      </c>
      <c r="D124" s="33">
        <f>'ENG_SCEN'!$D$120+'ENG_SCEN'!$D$116-'ENG_SCEN'!$D$122</f>
        <v/>
      </c>
      <c r="E124" s="33">
        <f>'ENG_SCEN'!$E$120+'ENG_SCEN'!$E$116-'ENG_SCEN'!$E$122</f>
        <v/>
      </c>
      <c r="F124" s="33">
        <f>'ENG_SCEN'!$F$120+'ENG_SCEN'!$F$116-'ENG_SCEN'!$F$122</f>
        <v/>
      </c>
      <c r="G124" s="33">
        <f>'ENG_SCEN'!$G$120+'ENG_SCEN'!$G$116-'ENG_SCEN'!$G$122</f>
        <v/>
      </c>
      <c r="H124" s="33">
        <f>'ENG_SCEN'!$H$120+'ENG_SCEN'!$H$116-'ENG_SCEN'!$H$122</f>
        <v/>
      </c>
      <c r="I124" s="33">
        <f>'ENG_SCEN'!$I$120+'ENG_SCEN'!$I$116-'ENG_SCEN'!$I$122</f>
        <v/>
      </c>
      <c r="J124" s="33">
        <f>'ENG_SCEN'!$J$120+'ENG_SCEN'!$J$116-'ENG_SCEN'!$J$122</f>
        <v/>
      </c>
      <c r="K124" s="33">
        <f>'ENG_SCEN'!$K$120+'ENG_SCEN'!$K$116-'ENG_SCEN'!$K$122</f>
        <v/>
      </c>
      <c r="L124" s="33">
        <f>'ENG_SCEN'!$L$120+'ENG_SCEN'!$L$116-'ENG_SCEN'!$L$122</f>
        <v/>
      </c>
      <c r="M124" s="33">
        <f>'ENG_SCEN'!$M$120+'ENG_SCEN'!$M$116-'ENG_SCEN'!$M$122</f>
        <v/>
      </c>
      <c r="N124" s="33">
        <f>'ENG_SCEN'!$N$120+'ENG_SCEN'!$N$116-'ENG_SCEN'!$N$122</f>
        <v/>
      </c>
      <c r="O124" s="33">
        <f>'ENG_SCEN'!$O$120+'ENG_SCEN'!$O$116-'ENG_SCEN'!$O$122</f>
        <v/>
      </c>
      <c r="P124" s="33">
        <f>'ENG_SCEN'!$P$120+'ENG_SCEN'!$P$116-'ENG_SCEN'!$P$122</f>
        <v/>
      </c>
    </row>
    <row r="125">
      <c r="A125" s="15" t="inlineStr">
        <is>
          <t>[3] FCFF تجمعی</t>
        </is>
      </c>
      <c r="B125" s="16" t="inlineStr">
        <is>
          <t>SB3.cum</t>
        </is>
      </c>
      <c r="C125" s="17" t="inlineStr">
        <is>
          <t>میلیون ریال</t>
        </is>
      </c>
      <c r="D125" s="33">
        <f>'ENG_SCEN'!$D$123</f>
        <v/>
      </c>
      <c r="E125" s="33">
        <f>'ENG_SCEN'!$D$125+'ENG_SCEN'!$E$123</f>
        <v/>
      </c>
      <c r="F125" s="33">
        <f>'ENG_SCEN'!$E$125+'ENG_SCEN'!$F$123</f>
        <v/>
      </c>
      <c r="G125" s="33">
        <f>'ENG_SCEN'!$F$125+'ENG_SCEN'!$G$123</f>
        <v/>
      </c>
      <c r="H125" s="33">
        <f>'ENG_SCEN'!$G$125+'ENG_SCEN'!$H$123</f>
        <v/>
      </c>
      <c r="I125" s="33">
        <f>'ENG_SCEN'!$H$125+'ENG_SCEN'!$I$123</f>
        <v/>
      </c>
      <c r="J125" s="33">
        <f>'ENG_SCEN'!$I$125+'ENG_SCEN'!$J$123</f>
        <v/>
      </c>
      <c r="K125" s="33">
        <f>'ENG_SCEN'!$J$125+'ENG_SCEN'!$K$123</f>
        <v/>
      </c>
      <c r="L125" s="33">
        <f>'ENG_SCEN'!$K$125+'ENG_SCEN'!$L$123</f>
        <v/>
      </c>
      <c r="M125" s="33">
        <f>'ENG_SCEN'!$L$125+'ENG_SCEN'!$M$123</f>
        <v/>
      </c>
      <c r="N125" s="33">
        <f>'ENG_SCEN'!$M$125+'ENG_SCEN'!$N$123</f>
        <v/>
      </c>
      <c r="O125" s="33">
        <f>'ENG_SCEN'!$N$125+'ENG_SCEN'!$O$123</f>
        <v/>
      </c>
      <c r="P125" s="33">
        <f>'ENG_SCEN'!$O$125+'ENG_SCEN'!$P$123</f>
        <v/>
      </c>
    </row>
    <row r="126">
      <c r="A126" s="15" t="inlineStr">
        <is>
          <t>[3] نرخ تنزیل (WACC)</t>
        </is>
      </c>
      <c r="B126" s="16" t="inlineStr">
        <is>
          <t>SB3.wacc</t>
        </is>
      </c>
      <c r="C126" s="17" t="inlineStr">
        <is>
          <t>درصد</t>
        </is>
      </c>
      <c r="D126" s="32">
        <f>'ENG_DCF'!$D$14+'IN_SCEN'!$F$20</f>
        <v/>
      </c>
      <c r="E126" s="32">
        <f>'ENG_DCF'!$E$14+'IN_SCEN'!$F$20</f>
        <v/>
      </c>
      <c r="F126" s="32">
        <f>'ENG_DCF'!$F$14+'IN_SCEN'!$F$20</f>
        <v/>
      </c>
      <c r="G126" s="32">
        <f>'ENG_DCF'!$G$14+'IN_SCEN'!$F$20</f>
        <v/>
      </c>
      <c r="H126" s="32">
        <f>'ENG_DCF'!$H$14+'IN_SCEN'!$F$20</f>
        <v/>
      </c>
      <c r="I126" s="32">
        <f>'ENG_DCF'!$I$14+'IN_SCEN'!$F$20</f>
        <v/>
      </c>
      <c r="J126" s="32">
        <f>'ENG_DCF'!$J$14+'IN_SCEN'!$F$20</f>
        <v/>
      </c>
      <c r="K126" s="32">
        <f>'ENG_DCF'!$K$14+'IN_SCEN'!$F$20</f>
        <v/>
      </c>
      <c r="L126" s="32">
        <f>'ENG_DCF'!$L$14+'IN_SCEN'!$F$20</f>
        <v/>
      </c>
      <c r="M126" s="32">
        <f>'ENG_DCF'!$M$14+'IN_SCEN'!$F$20</f>
        <v/>
      </c>
      <c r="N126" s="32">
        <f>'ENG_DCF'!$N$14+'IN_SCEN'!$F$20</f>
        <v/>
      </c>
      <c r="O126" s="32">
        <f>'ENG_DCF'!$O$14+'IN_SCEN'!$F$20</f>
        <v/>
      </c>
      <c r="P126" s="32">
        <f>'ENG_DCF'!$P$14+'IN_SCEN'!$F$20</f>
        <v/>
      </c>
    </row>
    <row r="127">
      <c r="A127" s="15" t="inlineStr">
        <is>
          <t>[3] ضریب تنزیل</t>
        </is>
      </c>
      <c r="B127" s="16" t="inlineStr">
        <is>
          <t>SB3.df</t>
        </is>
      </c>
      <c r="C127" s="17" t="inlineStr">
        <is>
          <t>ضریب</t>
        </is>
      </c>
      <c r="D127" s="35">
        <f>1</f>
        <v/>
      </c>
      <c r="E127" s="35">
        <f>'ENG_SCEN'!$D$127/(1+'ENG_SCEN'!$E$126)</f>
        <v/>
      </c>
      <c r="F127" s="35">
        <f>'ENG_SCEN'!$E$127/(1+'ENG_SCEN'!$F$126)</f>
        <v/>
      </c>
      <c r="G127" s="35">
        <f>'ENG_SCEN'!$F$127/(1+'ENG_SCEN'!$G$126)</f>
        <v/>
      </c>
      <c r="H127" s="35">
        <f>'ENG_SCEN'!$G$127/(1+'ENG_SCEN'!$H$126)</f>
        <v/>
      </c>
      <c r="I127" s="35">
        <f>'ENG_SCEN'!$H$127/(1+'ENG_SCEN'!$I$126)</f>
        <v/>
      </c>
      <c r="J127" s="35">
        <f>'ENG_SCEN'!$I$127/(1+'ENG_SCEN'!$J$126)</f>
        <v/>
      </c>
      <c r="K127" s="35">
        <f>'ENG_SCEN'!$J$127/(1+'ENG_SCEN'!$K$126)</f>
        <v/>
      </c>
      <c r="L127" s="35">
        <f>'ENG_SCEN'!$K$127/(1+'ENG_SCEN'!$L$126)</f>
        <v/>
      </c>
      <c r="M127" s="35">
        <f>'ENG_SCEN'!$L$127/(1+'ENG_SCEN'!$M$126)</f>
        <v/>
      </c>
      <c r="N127" s="35">
        <f>'ENG_SCEN'!$M$127/(1+'ENG_SCEN'!$N$126)</f>
        <v/>
      </c>
      <c r="O127" s="35">
        <f>'ENG_SCEN'!$N$127/(1+'ENG_SCEN'!$O$126)</f>
        <v/>
      </c>
      <c r="P127" s="35">
        <f>'ENG_SCEN'!$O$127/(1+'ENG_SCEN'!$P$126)</f>
        <v/>
      </c>
    </row>
    <row r="128">
      <c r="A128" s="15" t="inlineStr">
        <is>
          <t>[3] ارزش فعلی FCFF</t>
        </is>
      </c>
      <c r="B128" s="16" t="inlineStr">
        <is>
          <t>SB3.pv</t>
        </is>
      </c>
      <c r="C128" s="17" t="inlineStr">
        <is>
          <t>میلیون ریال</t>
        </is>
      </c>
      <c r="D128" s="33">
        <f>'ENG_SCEN'!$D$123*'ENG_SCEN'!$D$127</f>
        <v/>
      </c>
      <c r="E128" s="33">
        <f>'ENG_SCEN'!$E$123*'ENG_SCEN'!$E$127</f>
        <v/>
      </c>
      <c r="F128" s="33">
        <f>'ENG_SCEN'!$F$123*'ENG_SCEN'!$F$127</f>
        <v/>
      </c>
      <c r="G128" s="33">
        <f>'ENG_SCEN'!$G$123*'ENG_SCEN'!$G$127</f>
        <v/>
      </c>
      <c r="H128" s="33">
        <f>'ENG_SCEN'!$H$123*'ENG_SCEN'!$H$127</f>
        <v/>
      </c>
      <c r="I128" s="33">
        <f>'ENG_SCEN'!$I$123*'ENG_SCEN'!$I$127</f>
        <v/>
      </c>
      <c r="J128" s="33">
        <f>'ENG_SCEN'!$J$123*'ENG_SCEN'!$J$127</f>
        <v/>
      </c>
      <c r="K128" s="33">
        <f>'ENG_SCEN'!$K$123*'ENG_SCEN'!$K$127</f>
        <v/>
      </c>
      <c r="L128" s="33">
        <f>'ENG_SCEN'!$L$123*'ENG_SCEN'!$L$127</f>
        <v/>
      </c>
      <c r="M128" s="33">
        <f>'ENG_SCEN'!$M$123*'ENG_SCEN'!$M$127</f>
        <v/>
      </c>
      <c r="N128" s="33">
        <f>'ENG_SCEN'!$N$123*'ENG_SCEN'!$N$127</f>
        <v/>
      </c>
      <c r="O128" s="33">
        <f>'ENG_SCEN'!$O$123*'ENG_SCEN'!$O$127</f>
        <v/>
      </c>
      <c r="P128" s="33">
        <f>'ENG_SCEN'!$P$123*'ENG_SCEN'!$P$127</f>
        <v/>
      </c>
    </row>
    <row r="129">
      <c r="A129" s="15" t="inlineStr">
        <is>
          <t>[3] ارزش فعلی تجمعی</t>
        </is>
      </c>
      <c r="B129" s="16" t="inlineStr">
        <is>
          <t>SB3.pvc</t>
        </is>
      </c>
      <c r="C129" s="17" t="inlineStr">
        <is>
          <t>میلیون ریال</t>
        </is>
      </c>
      <c r="D129" s="33">
        <f>'ENG_SCEN'!$D$128</f>
        <v/>
      </c>
      <c r="E129" s="33">
        <f>'ENG_SCEN'!$D$129+'ENG_SCEN'!$E$128</f>
        <v/>
      </c>
      <c r="F129" s="33">
        <f>'ENG_SCEN'!$E$129+'ENG_SCEN'!$F$128</f>
        <v/>
      </c>
      <c r="G129" s="33">
        <f>'ENG_SCEN'!$F$129+'ENG_SCEN'!$G$128</f>
        <v/>
      </c>
      <c r="H129" s="33">
        <f>'ENG_SCEN'!$G$129+'ENG_SCEN'!$H$128</f>
        <v/>
      </c>
      <c r="I129" s="33">
        <f>'ENG_SCEN'!$H$129+'ENG_SCEN'!$I$128</f>
        <v/>
      </c>
      <c r="J129" s="33">
        <f>'ENG_SCEN'!$I$129+'ENG_SCEN'!$J$128</f>
        <v/>
      </c>
      <c r="K129" s="33">
        <f>'ENG_SCEN'!$J$129+'ENG_SCEN'!$K$128</f>
        <v/>
      </c>
      <c r="L129" s="33">
        <f>'ENG_SCEN'!$K$129+'ENG_SCEN'!$L$128</f>
        <v/>
      </c>
      <c r="M129" s="33">
        <f>'ENG_SCEN'!$L$129+'ENG_SCEN'!$M$128</f>
        <v/>
      </c>
      <c r="N129" s="33">
        <f>'ENG_SCEN'!$M$129+'ENG_SCEN'!$N$128</f>
        <v/>
      </c>
      <c r="O129" s="33">
        <f>'ENG_SCEN'!$N$129+'ENG_SCEN'!$O$128</f>
        <v/>
      </c>
      <c r="P129" s="33">
        <f>'ENG_SCEN'!$O$129+'ENG_SCEN'!$P$128</f>
        <v/>
      </c>
    </row>
    <row r="130">
      <c r="A130" s="15" t="inlineStr">
        <is>
          <t>[3] ارزش پایانی</t>
        </is>
      </c>
      <c r="B130" s="16" t="inlineStr">
        <is>
          <t>SB3.tv</t>
        </is>
      </c>
      <c r="C130" s="17" t="inlineStr">
        <is>
          <t>میلیون ریال</t>
        </is>
      </c>
      <c r="D130" s="33">
        <f>IF('IN_MACRO'!$D$23&lt;'IN_MACRO'!$D$11,0,IF('IN_MACRO'!$D$19=1,MAX(0,'ENG_SCEN'!$P$124)*(1+'IN_MACRO'!$D$18)/MAX(0.005,'ENG_SCEN'!$P$126-'IN_MACRO'!$D$18),'ENG_SCEN'!$P$117*'IN_MACRO'!$D$20))</f>
        <v/>
      </c>
      <c r="E130" s="33">
        <f>IF('IN_MACRO'!$E$23&lt;'IN_MACRO'!$D$11,0,IF('IN_MACRO'!$D$19=1,MAX(0,'ENG_SCEN'!$P$124)*(1+'IN_MACRO'!$D$18)/MAX(0.005,'ENG_SCEN'!$P$126-'IN_MACRO'!$D$18),'ENG_SCEN'!$P$117*'IN_MACRO'!$D$20))</f>
        <v/>
      </c>
      <c r="F130" s="33">
        <f>IF('IN_MACRO'!$F$23&lt;'IN_MACRO'!$D$11,0,IF('IN_MACRO'!$D$19=1,MAX(0,'ENG_SCEN'!$P$124)*(1+'IN_MACRO'!$D$18)/MAX(0.005,'ENG_SCEN'!$P$126-'IN_MACRO'!$D$18),'ENG_SCEN'!$P$117*'IN_MACRO'!$D$20))</f>
        <v/>
      </c>
      <c r="G130" s="33">
        <f>IF('IN_MACRO'!$G$23&lt;'IN_MACRO'!$D$11,0,IF('IN_MACRO'!$D$19=1,MAX(0,'ENG_SCEN'!$P$124)*(1+'IN_MACRO'!$D$18)/MAX(0.005,'ENG_SCEN'!$P$126-'IN_MACRO'!$D$18),'ENG_SCEN'!$P$117*'IN_MACRO'!$D$20))</f>
        <v/>
      </c>
      <c r="H130" s="33">
        <f>IF('IN_MACRO'!$H$23&lt;'IN_MACRO'!$D$11,0,IF('IN_MACRO'!$D$19=1,MAX(0,'ENG_SCEN'!$P$124)*(1+'IN_MACRO'!$D$18)/MAX(0.005,'ENG_SCEN'!$P$126-'IN_MACRO'!$D$18),'ENG_SCEN'!$P$117*'IN_MACRO'!$D$20))</f>
        <v/>
      </c>
      <c r="I130" s="33">
        <f>IF('IN_MACRO'!$I$23&lt;'IN_MACRO'!$D$11,0,IF('IN_MACRO'!$D$19=1,MAX(0,'ENG_SCEN'!$P$124)*(1+'IN_MACRO'!$D$18)/MAX(0.005,'ENG_SCEN'!$P$126-'IN_MACRO'!$D$18),'ENG_SCEN'!$P$117*'IN_MACRO'!$D$20))</f>
        <v/>
      </c>
      <c r="J130" s="33">
        <f>IF('IN_MACRO'!$J$23&lt;'IN_MACRO'!$D$11,0,IF('IN_MACRO'!$D$19=1,MAX(0,'ENG_SCEN'!$P$124)*(1+'IN_MACRO'!$D$18)/MAX(0.005,'ENG_SCEN'!$P$126-'IN_MACRO'!$D$18),'ENG_SCEN'!$P$117*'IN_MACRO'!$D$20))</f>
        <v/>
      </c>
      <c r="K130" s="33">
        <f>IF('IN_MACRO'!$K$23&lt;'IN_MACRO'!$D$11,0,IF('IN_MACRO'!$D$19=1,MAX(0,'ENG_SCEN'!$P$124)*(1+'IN_MACRO'!$D$18)/MAX(0.005,'ENG_SCEN'!$P$126-'IN_MACRO'!$D$18),'ENG_SCEN'!$P$117*'IN_MACRO'!$D$20))</f>
        <v/>
      </c>
      <c r="L130" s="33">
        <f>IF('IN_MACRO'!$L$23&lt;'IN_MACRO'!$D$11,0,IF('IN_MACRO'!$D$19=1,MAX(0,'ENG_SCEN'!$P$124)*(1+'IN_MACRO'!$D$18)/MAX(0.005,'ENG_SCEN'!$P$126-'IN_MACRO'!$D$18),'ENG_SCEN'!$P$117*'IN_MACRO'!$D$20))</f>
        <v/>
      </c>
      <c r="M130" s="33">
        <f>IF('IN_MACRO'!$M$23&lt;'IN_MACRO'!$D$11,0,IF('IN_MACRO'!$D$19=1,MAX(0,'ENG_SCEN'!$P$124)*(1+'IN_MACRO'!$D$18)/MAX(0.005,'ENG_SCEN'!$P$126-'IN_MACRO'!$D$18),'ENG_SCEN'!$P$117*'IN_MACRO'!$D$20))</f>
        <v/>
      </c>
      <c r="N130" s="33">
        <f>IF('IN_MACRO'!$N$23&lt;'IN_MACRO'!$D$11,0,IF('IN_MACRO'!$D$19=1,MAX(0,'ENG_SCEN'!$P$124)*(1+'IN_MACRO'!$D$18)/MAX(0.005,'ENG_SCEN'!$P$126-'IN_MACRO'!$D$18),'ENG_SCEN'!$P$117*'IN_MACRO'!$D$20))</f>
        <v/>
      </c>
      <c r="O130" s="33">
        <f>IF('IN_MACRO'!$O$23&lt;'IN_MACRO'!$D$11,0,IF('IN_MACRO'!$D$19=1,MAX(0,'ENG_SCEN'!$P$124)*(1+'IN_MACRO'!$D$18)/MAX(0.005,'ENG_SCEN'!$P$126-'IN_MACRO'!$D$18),'ENG_SCEN'!$P$117*'IN_MACRO'!$D$20))</f>
        <v/>
      </c>
      <c r="P130" s="33">
        <f>IF('IN_MACRO'!$P$23&lt;'IN_MACRO'!$D$11,0,IF('IN_MACRO'!$D$19=1,MAX(0,'ENG_SCEN'!$P$124)*(1+'IN_MACRO'!$D$18)/MAX(0.005,'ENG_SCEN'!$P$126-'IN_MACRO'!$D$18),'ENG_SCEN'!$P$117*'IN_MACRO'!$D$20))</f>
        <v/>
      </c>
    </row>
    <row r="131">
      <c r="A131" s="15" t="inlineStr">
        <is>
          <t>[3] ارزش فعلی ارزش پایانی</t>
        </is>
      </c>
      <c r="B131" s="16" t="inlineStr">
        <is>
          <t>SB3.pvtv</t>
        </is>
      </c>
      <c r="C131" s="17" t="inlineStr">
        <is>
          <t>میلیون ریال</t>
        </is>
      </c>
      <c r="D131" s="33">
        <f>'ENG_SCEN'!$D$130*'ENG_SCEN'!$D$127</f>
        <v/>
      </c>
      <c r="E131" s="33">
        <f>'ENG_SCEN'!$E$130*'ENG_SCEN'!$E$127</f>
        <v/>
      </c>
      <c r="F131" s="33">
        <f>'ENG_SCEN'!$F$130*'ENG_SCEN'!$F$127</f>
        <v/>
      </c>
      <c r="G131" s="33">
        <f>'ENG_SCEN'!$G$130*'ENG_SCEN'!$G$127</f>
        <v/>
      </c>
      <c r="H131" s="33">
        <f>'ENG_SCEN'!$H$130*'ENG_SCEN'!$H$127</f>
        <v/>
      </c>
      <c r="I131" s="33">
        <f>'ENG_SCEN'!$I$130*'ENG_SCEN'!$I$127</f>
        <v/>
      </c>
      <c r="J131" s="33">
        <f>'ENG_SCEN'!$J$130*'ENG_SCEN'!$J$127</f>
        <v/>
      </c>
      <c r="K131" s="33">
        <f>'ENG_SCEN'!$K$130*'ENG_SCEN'!$K$127</f>
        <v/>
      </c>
      <c r="L131" s="33">
        <f>'ENG_SCEN'!$L$130*'ENG_SCEN'!$L$127</f>
        <v/>
      </c>
      <c r="M131" s="33">
        <f>'ENG_SCEN'!$M$130*'ENG_SCEN'!$M$127</f>
        <v/>
      </c>
      <c r="N131" s="33">
        <f>'ENG_SCEN'!$N$130*'ENG_SCEN'!$N$127</f>
        <v/>
      </c>
      <c r="O131" s="33">
        <f>'ENG_SCEN'!$O$130*'ENG_SCEN'!$O$127</f>
        <v/>
      </c>
      <c r="P131" s="33">
        <f>'ENG_SCEN'!$P$130*'ENG_SCEN'!$P$127</f>
        <v/>
      </c>
    </row>
    <row r="132">
      <c r="A132" s="15" t="inlineStr">
        <is>
          <t>[3] جریان قابل بازدهی (FCF + TV)</t>
        </is>
      </c>
      <c r="B132" s="16" t="inlineStr">
        <is>
          <t>SB3.fcf_tv</t>
        </is>
      </c>
      <c r="C132" s="17" t="inlineStr">
        <is>
          <t>میلیون ریال</t>
        </is>
      </c>
      <c r="D132" s="33">
        <f>'ENG_SCEN'!$D$123+'ENG_SCEN'!$D$130</f>
        <v/>
      </c>
      <c r="E132" s="33">
        <f>'ENG_SCEN'!$E$123+'ENG_SCEN'!$E$130</f>
        <v/>
      </c>
      <c r="F132" s="33">
        <f>'ENG_SCEN'!$F$123+'ENG_SCEN'!$F$130</f>
        <v/>
      </c>
      <c r="G132" s="33">
        <f>'ENG_SCEN'!$G$123+'ENG_SCEN'!$G$130</f>
        <v/>
      </c>
      <c r="H132" s="33">
        <f>'ENG_SCEN'!$H$123+'ENG_SCEN'!$H$130</f>
        <v/>
      </c>
      <c r="I132" s="33">
        <f>'ENG_SCEN'!$I$123+'ENG_SCEN'!$I$130</f>
        <v/>
      </c>
      <c r="J132" s="33">
        <f>'ENG_SCEN'!$J$123+'ENG_SCEN'!$J$130</f>
        <v/>
      </c>
      <c r="K132" s="33">
        <f>'ENG_SCEN'!$K$123+'ENG_SCEN'!$K$130</f>
        <v/>
      </c>
      <c r="L132" s="33">
        <f>'ENG_SCEN'!$L$123+'ENG_SCEN'!$L$130</f>
        <v/>
      </c>
      <c r="M132" s="33">
        <f>'ENG_SCEN'!$M$123+'ENG_SCEN'!$M$130</f>
        <v/>
      </c>
      <c r="N132" s="33">
        <f>'ENG_SCEN'!$N$123+'ENG_SCEN'!$N$130</f>
        <v/>
      </c>
      <c r="O132" s="33">
        <f>'ENG_SCEN'!$O$123+'ENG_SCEN'!$O$130</f>
        <v/>
      </c>
      <c r="P132" s="33">
        <f>'ENG_SCEN'!$P$123+'ENG_SCEN'!$P$130</f>
        <v/>
      </c>
    </row>
    <row r="133">
      <c r="A133" s="15" t="inlineStr">
        <is>
          <t>[3] CFADS</t>
        </is>
      </c>
      <c r="B133" s="16" t="inlineStr">
        <is>
          <t>SB3.cfads</t>
        </is>
      </c>
      <c r="C133" s="17" t="inlineStr">
        <is>
          <t>میلیون ریال</t>
        </is>
      </c>
      <c r="D133" s="33">
        <f>'ENG_SCEN'!$D$117-'ENG_SCEN'!$D$119-'ENG_SCEN'!$D$122</f>
        <v/>
      </c>
      <c r="E133" s="33">
        <f>'ENG_SCEN'!$E$117-'ENG_SCEN'!$E$119-'ENG_SCEN'!$E$122</f>
        <v/>
      </c>
      <c r="F133" s="33">
        <f>'ENG_SCEN'!$F$117-'ENG_SCEN'!$F$119-'ENG_SCEN'!$F$122</f>
        <v/>
      </c>
      <c r="G133" s="33">
        <f>'ENG_SCEN'!$G$117-'ENG_SCEN'!$G$119-'ENG_SCEN'!$G$122</f>
        <v/>
      </c>
      <c r="H133" s="33">
        <f>'ENG_SCEN'!$H$117-'ENG_SCEN'!$H$119-'ENG_SCEN'!$H$122</f>
        <v/>
      </c>
      <c r="I133" s="33">
        <f>'ENG_SCEN'!$I$117-'ENG_SCEN'!$I$119-'ENG_SCEN'!$I$122</f>
        <v/>
      </c>
      <c r="J133" s="33">
        <f>'ENG_SCEN'!$J$117-'ENG_SCEN'!$J$119-'ENG_SCEN'!$J$122</f>
        <v/>
      </c>
      <c r="K133" s="33">
        <f>'ENG_SCEN'!$K$117-'ENG_SCEN'!$K$119-'ENG_SCEN'!$K$122</f>
        <v/>
      </c>
      <c r="L133" s="33">
        <f>'ENG_SCEN'!$L$117-'ENG_SCEN'!$L$119-'ENG_SCEN'!$L$122</f>
        <v/>
      </c>
      <c r="M133" s="33">
        <f>'ENG_SCEN'!$M$117-'ENG_SCEN'!$M$119-'ENG_SCEN'!$M$122</f>
        <v/>
      </c>
      <c r="N133" s="33">
        <f>'ENG_SCEN'!$N$117-'ENG_SCEN'!$N$119-'ENG_SCEN'!$N$122</f>
        <v/>
      </c>
      <c r="O133" s="33">
        <f>'ENG_SCEN'!$O$117-'ENG_SCEN'!$O$119-'ENG_SCEN'!$O$122</f>
        <v/>
      </c>
      <c r="P133" s="33">
        <f>'ENG_SCEN'!$P$117-'ENG_SCEN'!$P$119-'ENG_SCEN'!$P$122</f>
        <v/>
      </c>
    </row>
    <row r="134">
      <c r="A134" s="15" t="inlineStr">
        <is>
          <t>[3] خدمت دین</t>
        </is>
      </c>
      <c r="B134" s="16" t="inlineStr">
        <is>
          <t>SB3.debt_service</t>
        </is>
      </c>
      <c r="C134" s="17" t="inlineStr">
        <is>
          <t>میلیون ریال</t>
        </is>
      </c>
      <c r="D134" s="33">
        <f>'ENG_FCF'!$D$24+'ENG_FCF'!$D$20*('IN_FIN'!$D$25+'IN_SCEN'!$F$21)+'ENG_FCF'!$D$27</f>
        <v/>
      </c>
      <c r="E134" s="33">
        <f>'ENG_FCF'!$E$24+'ENG_FCF'!$E$20*('IN_FIN'!$D$25+'IN_SCEN'!$F$21)+'ENG_FCF'!$E$27</f>
        <v/>
      </c>
      <c r="F134" s="33">
        <f>'ENG_FCF'!$F$24+'ENG_FCF'!$F$20*('IN_FIN'!$D$25+'IN_SCEN'!$F$21)+'ENG_FCF'!$F$27</f>
        <v/>
      </c>
      <c r="G134" s="33">
        <f>'ENG_FCF'!$G$24+'ENG_FCF'!$G$20*('IN_FIN'!$D$25+'IN_SCEN'!$F$21)+'ENG_FCF'!$G$27</f>
        <v/>
      </c>
      <c r="H134" s="33">
        <f>'ENG_FCF'!$H$24+'ENG_FCF'!$H$20*('IN_FIN'!$D$25+'IN_SCEN'!$F$21)+'ENG_FCF'!$H$27</f>
        <v/>
      </c>
      <c r="I134" s="33">
        <f>'ENG_FCF'!$I$24+'ENG_FCF'!$I$20*('IN_FIN'!$D$25+'IN_SCEN'!$F$21)+'ENG_FCF'!$I$27</f>
        <v/>
      </c>
      <c r="J134" s="33">
        <f>'ENG_FCF'!$J$24+'ENG_FCF'!$J$20*('IN_FIN'!$D$25+'IN_SCEN'!$F$21)+'ENG_FCF'!$J$27</f>
        <v/>
      </c>
      <c r="K134" s="33">
        <f>'ENG_FCF'!$K$24+'ENG_FCF'!$K$20*('IN_FIN'!$D$25+'IN_SCEN'!$F$21)+'ENG_FCF'!$K$27</f>
        <v/>
      </c>
      <c r="L134" s="33">
        <f>'ENG_FCF'!$L$24+'ENG_FCF'!$L$20*('IN_FIN'!$D$25+'IN_SCEN'!$F$21)+'ENG_FCF'!$L$27</f>
        <v/>
      </c>
      <c r="M134" s="33">
        <f>'ENG_FCF'!$M$24+'ENG_FCF'!$M$20*('IN_FIN'!$D$25+'IN_SCEN'!$F$21)+'ENG_FCF'!$M$27</f>
        <v/>
      </c>
      <c r="N134" s="33">
        <f>'ENG_FCF'!$N$24+'ENG_FCF'!$N$20*('IN_FIN'!$D$25+'IN_SCEN'!$F$21)+'ENG_FCF'!$N$27</f>
        <v/>
      </c>
      <c r="O134" s="33">
        <f>'ENG_FCF'!$O$24+'ENG_FCF'!$O$20*('IN_FIN'!$D$25+'IN_SCEN'!$F$21)+'ENG_FCF'!$O$27</f>
        <v/>
      </c>
      <c r="P134" s="33">
        <f>'ENG_FCF'!$P$24+'ENG_FCF'!$P$20*('IN_FIN'!$D$25+'IN_SCEN'!$F$21)+'ENG_FCF'!$P$27</f>
        <v/>
      </c>
    </row>
    <row r="135">
      <c r="A135" s="15" t="inlineStr">
        <is>
          <t>[3] DSCR</t>
        </is>
      </c>
      <c r="B135" s="16" t="inlineStr">
        <is>
          <t>SB3.dscr</t>
        </is>
      </c>
      <c r="C135" s="17" t="inlineStr">
        <is>
          <t>ضریب</t>
        </is>
      </c>
      <c r="D135" s="35">
        <f>IFERROR('ENG_SCEN'!$D$133/'ENG_SCEN'!$D$134,"─")</f>
        <v/>
      </c>
      <c r="E135" s="35">
        <f>IFERROR('ENG_SCEN'!$E$133/'ENG_SCEN'!$E$134,"─")</f>
        <v/>
      </c>
      <c r="F135" s="35">
        <f>IFERROR('ENG_SCEN'!$F$133/'ENG_SCEN'!$F$134,"─")</f>
        <v/>
      </c>
      <c r="G135" s="35">
        <f>IFERROR('ENG_SCEN'!$G$133/'ENG_SCEN'!$G$134,"─")</f>
        <v/>
      </c>
      <c r="H135" s="35">
        <f>IFERROR('ENG_SCEN'!$H$133/'ENG_SCEN'!$H$134,"─")</f>
        <v/>
      </c>
      <c r="I135" s="35">
        <f>IFERROR('ENG_SCEN'!$I$133/'ENG_SCEN'!$I$134,"─")</f>
        <v/>
      </c>
      <c r="J135" s="35">
        <f>IFERROR('ENG_SCEN'!$J$133/'ENG_SCEN'!$J$134,"─")</f>
        <v/>
      </c>
      <c r="K135" s="35">
        <f>IFERROR('ENG_SCEN'!$K$133/'ENG_SCEN'!$K$134,"─")</f>
        <v/>
      </c>
      <c r="L135" s="35">
        <f>IFERROR('ENG_SCEN'!$L$133/'ENG_SCEN'!$L$134,"─")</f>
        <v/>
      </c>
      <c r="M135" s="35">
        <f>IFERROR('ENG_SCEN'!$M$133/'ENG_SCEN'!$M$134,"─")</f>
        <v/>
      </c>
      <c r="N135" s="35">
        <f>IFERROR('ENG_SCEN'!$N$133/'ENG_SCEN'!$N$134,"─")</f>
        <v/>
      </c>
      <c r="O135" s="35">
        <f>IFERROR('ENG_SCEN'!$O$133/'ENG_SCEN'!$O$134,"─")</f>
        <v/>
      </c>
      <c r="P135" s="35">
        <f>IFERROR('ENG_SCEN'!$P$133/'ENG_SCEN'!$P$134,"─")</f>
        <v/>
      </c>
    </row>
    <row r="136">
      <c r="A136" s="8" t="inlineStr">
        <is>
          <t>[3] ارزش فعلی خالص (NPV)</t>
        </is>
      </c>
      <c r="C136" s="13" t="inlineStr">
        <is>
          <t>میلیون ریال</t>
        </is>
      </c>
      <c r="D136" s="36">
        <f>SUM('ENG_SCEN'!$D$128:$P$128)+SUM('ENG_SCEN'!$D$131:$P$131)</f>
        <v/>
      </c>
    </row>
    <row r="137">
      <c r="A137" s="8" t="inlineStr">
        <is>
          <t>[3] IRR پروژه</t>
        </is>
      </c>
      <c r="C137" s="13" t="inlineStr">
        <is>
          <t>درصد</t>
        </is>
      </c>
      <c r="D137" s="31">
        <f>IFERROR(IRR('ENG_SCEN'!$D$132:$P$132),NA())</f>
        <v/>
      </c>
    </row>
    <row r="138">
      <c r="A138" s="8" t="inlineStr">
        <is>
          <t>[3] دوره بازپرداشت (سال)</t>
        </is>
      </c>
      <c r="C138" s="13" t="inlineStr">
        <is>
          <t>سال</t>
        </is>
      </c>
      <c r="D138" s="37">
        <f>IF(COUNTIF('ENG_SCEN'!$D$125:$P$125,"&lt;0")=0,0,IF(COUNTIF('ENG_SCEN'!$D$125:$P$125,"&lt;0")&gt;=13,NA(),INDEX('IN_MACRO'!$D$23:$P$23,COUNTIF('ENG_SCEN'!$D$125:$P$125,"&lt;0"))+(0-INDEX('ENG_SCEN'!$D$125:$P$125,COUNTIF('ENG_SCEN'!$D$125:$P$125,"&lt;0")))/(INDEX('ENG_SCEN'!$D$125:$P$125,COUNTIF('ENG_SCEN'!$D$125:$P$125,"&lt;0")+1)-INDEX('ENG_SCEN'!$D$125:$P$125,COUNTIF('ENG_SCEN'!$D$125:$P$125,"&lt;0")))))</f>
        <v/>
      </c>
    </row>
    <row r="139">
      <c r="A139" s="8" t="inlineStr">
        <is>
          <t>[3] شاخص سودآوری</t>
        </is>
      </c>
      <c r="C139" s="13" t="inlineStr">
        <is>
          <t>ضریب</t>
        </is>
      </c>
      <c r="D139" s="30">
        <f>IFERROR((SUMIF('ENG_SCEN'!$D$128:$P$128,"&gt;0")+SUM('ENG_SCEN'!$D$131:$P$131))/ABS(SUMIF('ENG_SCEN'!$D$128:$P$128,"&lt;0")),NA())</f>
        <v/>
      </c>
    </row>
    <row r="140">
      <c r="A140" s="8" t="inlineStr">
        <is>
          <t>[3] حداقل DSCR</t>
        </is>
      </c>
      <c r="C140" s="13" t="inlineStr">
        <is>
          <t>ضریب</t>
        </is>
      </c>
      <c r="D140" s="30">
        <f>IFERROR(IF(COUNT('ENG_SCEN'!$D$135:$P$135)=0,NA(),MIN('ENG_SCEN'!$D$135:$P$135)),NA())</f>
        <v/>
      </c>
    </row>
    <row r="141">
      <c r="A141" s="8" t="inlineStr">
        <is>
          <t>[3] میانگین DSCR دوره بازپرداخت</t>
        </is>
      </c>
      <c r="C141" s="13" t="inlineStr">
        <is>
          <t>ضریب</t>
        </is>
      </c>
      <c r="D141" s="30">
        <f>IFERROR(AVERAGEIF('ENG_SCEN'!$D$134:$P$134,"&gt;0",'ENG_SCEN'!$D$135:$P$135),NA())</f>
        <v/>
      </c>
    </row>
  </sheetData>
  <pageMargins left="0.75" right="0.75" top="1" bottom="1" header="0.5" footer="0.5"/>
</worksheet>
</file>

<file path=xl/worksheets/sheet10.xml><?xml version="1.0" encoding="utf-8"?>
<worksheet xmlns="http://schemas.openxmlformats.org/spreadsheetml/2006/main">
  <sheetPr>
    <tabColor rgb="00A6A6A6"/>
    <outlinePr summaryBelow="1" summaryRight="1"/>
    <pageSetUpPr/>
  </sheetPr>
  <dimension ref="A1:Q84"/>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موتور محاسبات عملیاتی</t>
        </is>
      </c>
      <c r="B1" s="2" t="inlineStr">
        <is>
          <t>موتور محاسبات</t>
        </is>
      </c>
    </row>
    <row r="2">
      <c r="A2" s="3" t="inlineStr">
        <is>
          <t>تبدیل ورودی‌های فنی ایستگاه‌ها به ظرفیت، جریان مواد، محصول قابل فروش و درآمد.</t>
        </is>
      </c>
    </row>
    <row r="3"/>
    <row r="4"/>
    <row r="5"/>
    <row r="6"/>
    <row r="7">
      <c r="A7" s="11" t="inlineStr">
        <is>
          <t>دوره (t)</t>
        </is>
      </c>
      <c r="D7" s="12" t="n">
        <v>0</v>
      </c>
      <c r="E7" s="12" t="n">
        <v>1</v>
      </c>
      <c r="F7" s="12" t="n">
        <v>2</v>
      </c>
      <c r="G7" s="12" t="n">
        <v>3</v>
      </c>
      <c r="H7" s="12" t="n">
        <v>4</v>
      </c>
      <c r="I7" s="12" t="n">
        <v>5</v>
      </c>
      <c r="J7" s="12" t="n">
        <v>6</v>
      </c>
      <c r="K7" s="12" t="n">
        <v>7</v>
      </c>
      <c r="L7" s="12" t="n">
        <v>8</v>
      </c>
      <c r="M7" s="12" t="n">
        <v>9</v>
      </c>
      <c r="N7" s="12" t="n">
        <v>10</v>
      </c>
      <c r="O7" s="12" t="n">
        <v>11</v>
      </c>
      <c r="P7" s="12" t="n">
        <v>12</v>
      </c>
    </row>
    <row r="8">
      <c r="A8" s="13" t="inlineStr">
        <is>
          <t>سال تقویمی</t>
        </is>
      </c>
      <c r="D8" s="14" t="n">
        <v>2026</v>
      </c>
      <c r="E8" s="14" t="n">
        <v>2027</v>
      </c>
      <c r="F8" s="14" t="n">
        <v>2028</v>
      </c>
      <c r="G8" s="14" t="n">
        <v>2029</v>
      </c>
      <c r="H8" s="14" t="n">
        <v>2030</v>
      </c>
      <c r="I8" s="14" t="n">
        <v>2031</v>
      </c>
      <c r="J8" s="14" t="n">
        <v>2032</v>
      </c>
      <c r="K8" s="14" t="n">
        <v>2033</v>
      </c>
      <c r="L8" s="14" t="n">
        <v>2034</v>
      </c>
      <c r="M8" s="14" t="n">
        <v>2035</v>
      </c>
      <c r="N8" s="14" t="n">
        <v>2036</v>
      </c>
      <c r="O8" s="14" t="n">
        <v>2037</v>
      </c>
      <c r="P8" s="14" t="n">
        <v>2038</v>
      </c>
    </row>
    <row r="9">
      <c r="A9" s="4" t="inlineStr">
        <is>
          <t>الف) ظرفیت و بارگذاری</t>
        </is>
      </c>
      <c r="B9" s="5" t="n"/>
      <c r="C9" s="5" t="n"/>
      <c r="D9" s="5" t="n"/>
      <c r="E9" s="5" t="n"/>
      <c r="F9" s="5" t="n"/>
      <c r="G9" s="5" t="n"/>
      <c r="H9" s="5" t="n"/>
      <c r="I9" s="5" t="n"/>
      <c r="J9" s="5" t="n"/>
      <c r="K9" s="5" t="n"/>
      <c r="L9" s="5" t="n"/>
      <c r="M9" s="5" t="n"/>
      <c r="N9" s="5" t="n"/>
      <c r="O9" s="5" t="n"/>
      <c r="P9" s="5" t="n"/>
      <c r="Q9" s="5" t="n"/>
    </row>
    <row r="10">
      <c r="A10" s="15" t="inlineStr">
        <is>
          <t>ضریب دستیابی به ظرفیت (Ramp)</t>
        </is>
      </c>
      <c r="B10" s="16" t="inlineStr">
        <is>
          <t>OPS.ramp</t>
        </is>
      </c>
      <c r="C10" s="17" t="inlineStr">
        <is>
          <t>درصد</t>
        </is>
      </c>
      <c r="D10" s="32">
        <f>'IN_TECH'!$D$59*'IN_MACRO'!$D$34</f>
        <v/>
      </c>
      <c r="E10" s="32">
        <f>'IN_TECH'!$E$59*'IN_MACRO'!$E$34</f>
        <v/>
      </c>
      <c r="F10" s="32">
        <f>'IN_TECH'!$F$59*'IN_MACRO'!$F$34</f>
        <v/>
      </c>
      <c r="G10" s="32">
        <f>'IN_TECH'!$G$59*'IN_MACRO'!$G$34</f>
        <v/>
      </c>
      <c r="H10" s="32">
        <f>'IN_TECH'!$H$59*'IN_MACRO'!$H$34</f>
        <v/>
      </c>
      <c r="I10" s="32">
        <f>'IN_TECH'!$I$59*'IN_MACRO'!$I$34</f>
        <v/>
      </c>
      <c r="J10" s="32">
        <f>'IN_TECH'!$J$59*'IN_MACRO'!$J$34</f>
        <v/>
      </c>
      <c r="K10" s="32">
        <f>'IN_TECH'!$K$59*'IN_MACRO'!$K$34</f>
        <v/>
      </c>
      <c r="L10" s="32">
        <f>'IN_TECH'!$L$59*'IN_MACRO'!$L$34</f>
        <v/>
      </c>
      <c r="M10" s="32">
        <f>'IN_TECH'!$M$59*'IN_MACRO'!$M$34</f>
        <v/>
      </c>
      <c r="N10" s="32">
        <f>'IN_TECH'!$N$59*'IN_MACRO'!$N$34</f>
        <v/>
      </c>
      <c r="O10" s="32">
        <f>'IN_TECH'!$O$59*'IN_MACRO'!$O$34</f>
        <v/>
      </c>
      <c r="P10" s="32">
        <f>'IN_TECH'!$P$59*'IN_MACRO'!$P$34</f>
        <v/>
      </c>
    </row>
    <row r="11">
      <c r="A11" s="15" t="inlineStr">
        <is>
          <t>نرخ دسترسی کل خط (کمینهٔ ایستگاه‌ها)</t>
        </is>
      </c>
      <c r="B11" s="16" t="inlineStr">
        <is>
          <t>OPS.avail</t>
        </is>
      </c>
      <c r="C11" s="17" t="inlineStr">
        <is>
          <t>درصد</t>
        </is>
      </c>
      <c r="D11" s="32">
        <f>MIN('IN_TECH'!$D$38,'IN_TECH'!$E$38,'IN_TECH'!$F$38,'IN_TECH'!$G$38,'IN_TECH'!$H$38,'IN_TECH'!$I$38)</f>
        <v/>
      </c>
      <c r="E11" s="32">
        <f>MIN('IN_TECH'!$D$38,'IN_TECH'!$E$38,'IN_TECH'!$F$38,'IN_TECH'!$G$38,'IN_TECH'!$H$38,'IN_TECH'!$I$38)</f>
        <v/>
      </c>
      <c r="F11" s="32">
        <f>MIN('IN_TECH'!$D$38,'IN_TECH'!$E$38,'IN_TECH'!$F$38,'IN_TECH'!$G$38,'IN_TECH'!$H$38,'IN_TECH'!$I$38)</f>
        <v/>
      </c>
      <c r="G11" s="32">
        <f>MIN('IN_TECH'!$D$38,'IN_TECH'!$E$38,'IN_TECH'!$F$38,'IN_TECH'!$G$38,'IN_TECH'!$H$38,'IN_TECH'!$I$38)</f>
        <v/>
      </c>
      <c r="H11" s="32">
        <f>MIN('IN_TECH'!$D$38,'IN_TECH'!$E$38,'IN_TECH'!$F$38,'IN_TECH'!$G$38,'IN_TECH'!$H$38,'IN_TECH'!$I$38)</f>
        <v/>
      </c>
      <c r="I11" s="32">
        <f>MIN('IN_TECH'!$D$38,'IN_TECH'!$E$38,'IN_TECH'!$F$38,'IN_TECH'!$G$38,'IN_TECH'!$H$38,'IN_TECH'!$I$38)</f>
        <v/>
      </c>
      <c r="J11" s="32">
        <f>MIN('IN_TECH'!$D$38,'IN_TECH'!$E$38,'IN_TECH'!$F$38,'IN_TECH'!$G$38,'IN_TECH'!$H$38,'IN_TECH'!$I$38)</f>
        <v/>
      </c>
      <c r="K11" s="32">
        <f>MIN('IN_TECH'!$D$38,'IN_TECH'!$E$38,'IN_TECH'!$F$38,'IN_TECH'!$G$38,'IN_TECH'!$H$38,'IN_TECH'!$I$38)</f>
        <v/>
      </c>
      <c r="L11" s="32">
        <f>MIN('IN_TECH'!$D$38,'IN_TECH'!$E$38,'IN_TECH'!$F$38,'IN_TECH'!$G$38,'IN_TECH'!$H$38,'IN_TECH'!$I$38)</f>
        <v/>
      </c>
      <c r="M11" s="32">
        <f>MIN('IN_TECH'!$D$38,'IN_TECH'!$E$38,'IN_TECH'!$F$38,'IN_TECH'!$G$38,'IN_TECH'!$H$38,'IN_TECH'!$I$38)</f>
        <v/>
      </c>
      <c r="N11" s="32">
        <f>MIN('IN_TECH'!$D$38,'IN_TECH'!$E$38,'IN_TECH'!$F$38,'IN_TECH'!$G$38,'IN_TECH'!$H$38,'IN_TECH'!$I$38)</f>
        <v/>
      </c>
      <c r="O11" s="32">
        <f>MIN('IN_TECH'!$D$38,'IN_TECH'!$E$38,'IN_TECH'!$F$38,'IN_TECH'!$G$38,'IN_TECH'!$H$38,'IN_TECH'!$I$38)</f>
        <v/>
      </c>
      <c r="P11" s="32">
        <f>MIN('IN_TECH'!$D$38,'IN_TECH'!$E$38,'IN_TECH'!$F$38,'IN_TECH'!$G$38,'IN_TECH'!$H$38,'IN_TECH'!$I$38)</f>
        <v/>
      </c>
    </row>
    <row r="12">
      <c r="A12" s="15" t="inlineStr">
        <is>
          <t>ضریب بهره‌برداری مؤثر</t>
        </is>
      </c>
      <c r="B12" s="16" t="inlineStr">
        <is>
          <t>OPS.util</t>
        </is>
      </c>
      <c r="C12" s="17" t="inlineStr">
        <is>
          <t>درصد</t>
        </is>
      </c>
      <c r="D12" s="32">
        <f>'ENG_OPS'!$D$10*'ENG_OPS'!$D$11*'ENG_SCEN'!$G$11</f>
        <v/>
      </c>
      <c r="E12" s="32">
        <f>'ENG_OPS'!$E$10*'ENG_OPS'!$E$11*'ENG_SCEN'!$G$11</f>
        <v/>
      </c>
      <c r="F12" s="32">
        <f>'ENG_OPS'!$F$10*'ENG_OPS'!$F$11*'ENG_SCEN'!$G$11</f>
        <v/>
      </c>
      <c r="G12" s="32">
        <f>'ENG_OPS'!$G$10*'ENG_OPS'!$G$11*'ENG_SCEN'!$G$11</f>
        <v/>
      </c>
      <c r="H12" s="32">
        <f>'ENG_OPS'!$H$10*'ENG_OPS'!$H$11*'ENG_SCEN'!$G$11</f>
        <v/>
      </c>
      <c r="I12" s="32">
        <f>'ENG_OPS'!$I$10*'ENG_OPS'!$I$11*'ENG_SCEN'!$G$11</f>
        <v/>
      </c>
      <c r="J12" s="32">
        <f>'ENG_OPS'!$J$10*'ENG_OPS'!$J$11*'ENG_SCEN'!$G$11</f>
        <v/>
      </c>
      <c r="K12" s="32">
        <f>'ENG_OPS'!$K$10*'ENG_OPS'!$K$11*'ENG_SCEN'!$G$11</f>
        <v/>
      </c>
      <c r="L12" s="32">
        <f>'ENG_OPS'!$L$10*'ENG_OPS'!$L$11*'ENG_SCEN'!$G$11</f>
        <v/>
      </c>
      <c r="M12" s="32">
        <f>'ENG_OPS'!$M$10*'ENG_OPS'!$M$11*'ENG_SCEN'!$G$11</f>
        <v/>
      </c>
      <c r="N12" s="32">
        <f>'ENG_OPS'!$N$10*'ENG_OPS'!$N$11*'ENG_SCEN'!$G$11</f>
        <v/>
      </c>
      <c r="O12" s="32">
        <f>'ENG_OPS'!$O$10*'ENG_OPS'!$O$11*'ENG_SCEN'!$G$11</f>
        <v/>
      </c>
      <c r="P12" s="32">
        <f>'ENG_OPS'!$P$10*'ENG_OPS'!$P$11*'ENG_SCEN'!$G$11</f>
        <v/>
      </c>
    </row>
    <row r="13">
      <c r="A13" s="15" t="inlineStr">
        <is>
          <t>سهم خوراک ایستگاه 1 (به‌ازای هر تن ورودی)</t>
        </is>
      </c>
      <c r="B13" s="16" t="inlineStr">
        <is>
          <t>OPS.split.0</t>
        </is>
      </c>
      <c r="C13" s="17" t="inlineStr">
        <is>
          <t>تن/تن</t>
        </is>
      </c>
      <c r="D13" s="35">
        <f>1</f>
        <v/>
      </c>
      <c r="E13" s="35">
        <f>1</f>
        <v/>
      </c>
      <c r="F13" s="35">
        <f>1</f>
        <v/>
      </c>
      <c r="G13" s="35">
        <f>1</f>
        <v/>
      </c>
      <c r="H13" s="35">
        <f>1</f>
        <v/>
      </c>
      <c r="I13" s="35">
        <f>1</f>
        <v/>
      </c>
      <c r="J13" s="35">
        <f>1</f>
        <v/>
      </c>
      <c r="K13" s="35">
        <f>1</f>
        <v/>
      </c>
      <c r="L13" s="35">
        <f>1</f>
        <v/>
      </c>
      <c r="M13" s="35">
        <f>1</f>
        <v/>
      </c>
      <c r="N13" s="35">
        <f>1</f>
        <v/>
      </c>
      <c r="O13" s="35">
        <f>1</f>
        <v/>
      </c>
      <c r="P13" s="35">
        <f>1</f>
        <v/>
      </c>
    </row>
    <row r="14">
      <c r="A14" s="15" t="inlineStr">
        <is>
          <t>سهم خوراک ایستگاه 2 (به‌ازای هر تن ورودی)</t>
        </is>
      </c>
      <c r="B14" s="16" t="inlineStr">
        <is>
          <t>OPS.split.1</t>
        </is>
      </c>
      <c r="C14" s="17" t="inlineStr">
        <is>
          <t>تن/تن</t>
        </is>
      </c>
      <c r="D14" s="35">
        <f>(1-'IN_TECH'!$D$40)</f>
        <v/>
      </c>
      <c r="E14" s="35">
        <f>(1-'IN_TECH'!$D$40)</f>
        <v/>
      </c>
      <c r="F14" s="35">
        <f>(1-'IN_TECH'!$D$40)</f>
        <v/>
      </c>
      <c r="G14" s="35">
        <f>(1-'IN_TECH'!$D$40)</f>
        <v/>
      </c>
      <c r="H14" s="35">
        <f>(1-'IN_TECH'!$D$40)</f>
        <v/>
      </c>
      <c r="I14" s="35">
        <f>(1-'IN_TECH'!$D$40)</f>
        <v/>
      </c>
      <c r="J14" s="35">
        <f>(1-'IN_TECH'!$D$40)</f>
        <v/>
      </c>
      <c r="K14" s="35">
        <f>(1-'IN_TECH'!$D$40)</f>
        <v/>
      </c>
      <c r="L14" s="35">
        <f>(1-'IN_TECH'!$D$40)</f>
        <v/>
      </c>
      <c r="M14" s="35">
        <f>(1-'IN_TECH'!$D$40)</f>
        <v/>
      </c>
      <c r="N14" s="35">
        <f>(1-'IN_TECH'!$D$40)</f>
        <v/>
      </c>
      <c r="O14" s="35">
        <f>(1-'IN_TECH'!$D$40)</f>
        <v/>
      </c>
      <c r="P14" s="35">
        <f>(1-'IN_TECH'!$D$40)</f>
        <v/>
      </c>
    </row>
    <row r="15">
      <c r="A15" s="15" t="inlineStr">
        <is>
          <t>سهم خوراک ایستگاه 3 (به‌ازای هر تن ورودی)</t>
        </is>
      </c>
      <c r="B15" s="16" t="inlineStr">
        <is>
          <t>OPS.split.2</t>
        </is>
      </c>
      <c r="C15" s="17" t="inlineStr">
        <is>
          <t>تن/تن</t>
        </is>
      </c>
      <c r="D15" s="35">
        <f>(((1-'IN_TECH'!$D$40)*(1-'IN_TECH'!$E$40))*'IN_TECH'!$D$27)</f>
        <v/>
      </c>
      <c r="E15" s="35">
        <f>(((1-'IN_TECH'!$D$40)*(1-'IN_TECH'!$E$40))*'IN_TECH'!$D$27)</f>
        <v/>
      </c>
      <c r="F15" s="35">
        <f>(((1-'IN_TECH'!$D$40)*(1-'IN_TECH'!$E$40))*'IN_TECH'!$D$27)</f>
        <v/>
      </c>
      <c r="G15" s="35">
        <f>(((1-'IN_TECH'!$D$40)*(1-'IN_TECH'!$E$40))*'IN_TECH'!$D$27)</f>
        <v/>
      </c>
      <c r="H15" s="35">
        <f>(((1-'IN_TECH'!$D$40)*(1-'IN_TECH'!$E$40))*'IN_TECH'!$D$27)</f>
        <v/>
      </c>
      <c r="I15" s="35">
        <f>(((1-'IN_TECH'!$D$40)*(1-'IN_TECH'!$E$40))*'IN_TECH'!$D$27)</f>
        <v/>
      </c>
      <c r="J15" s="35">
        <f>(((1-'IN_TECH'!$D$40)*(1-'IN_TECH'!$E$40))*'IN_TECH'!$D$27)</f>
        <v/>
      </c>
      <c r="K15" s="35">
        <f>(((1-'IN_TECH'!$D$40)*(1-'IN_TECH'!$E$40))*'IN_TECH'!$D$27)</f>
        <v/>
      </c>
      <c r="L15" s="35">
        <f>(((1-'IN_TECH'!$D$40)*(1-'IN_TECH'!$E$40))*'IN_TECH'!$D$27)</f>
        <v/>
      </c>
      <c r="M15" s="35">
        <f>(((1-'IN_TECH'!$D$40)*(1-'IN_TECH'!$E$40))*'IN_TECH'!$D$27)</f>
        <v/>
      </c>
      <c r="N15" s="35">
        <f>(((1-'IN_TECH'!$D$40)*(1-'IN_TECH'!$E$40))*'IN_TECH'!$D$27)</f>
        <v/>
      </c>
      <c r="O15" s="35">
        <f>(((1-'IN_TECH'!$D$40)*(1-'IN_TECH'!$E$40))*'IN_TECH'!$D$27)</f>
        <v/>
      </c>
      <c r="P15" s="35">
        <f>(((1-'IN_TECH'!$D$40)*(1-'IN_TECH'!$E$40))*'IN_TECH'!$D$27)</f>
        <v/>
      </c>
    </row>
    <row r="16">
      <c r="A16" s="15" t="inlineStr">
        <is>
          <t>سهم خوراک ایستگاه 4 (به‌ازای هر تن ورودی)</t>
        </is>
      </c>
      <c r="B16" s="16" t="inlineStr">
        <is>
          <t>OPS.split.3</t>
        </is>
      </c>
      <c r="C16" s="17" t="inlineStr">
        <is>
          <t>تن/تن</t>
        </is>
      </c>
      <c r="D16" s="35">
        <f>(((((1-'IN_TECH'!$D$40)*(1-'IN_TECH'!$E$40))*'IN_TECH'!$D$27)*'IN_TECH'!$D$18*(1-'IN_TECH'!$F$40))+(((1-'IN_TECH'!$D$40)*(1-'IN_TECH'!$E$40))*'IN_TECH'!$D$28))</f>
        <v/>
      </c>
      <c r="E16" s="35">
        <f>(((((1-'IN_TECH'!$D$40)*(1-'IN_TECH'!$E$40))*'IN_TECH'!$D$27)*'IN_TECH'!$D$18*(1-'IN_TECH'!$F$40))+(((1-'IN_TECH'!$D$40)*(1-'IN_TECH'!$E$40))*'IN_TECH'!$D$28))</f>
        <v/>
      </c>
      <c r="F16" s="35">
        <f>(((((1-'IN_TECH'!$D$40)*(1-'IN_TECH'!$E$40))*'IN_TECH'!$D$27)*'IN_TECH'!$D$18*(1-'IN_TECH'!$F$40))+(((1-'IN_TECH'!$D$40)*(1-'IN_TECH'!$E$40))*'IN_TECH'!$D$28))</f>
        <v/>
      </c>
      <c r="G16" s="35">
        <f>(((((1-'IN_TECH'!$D$40)*(1-'IN_TECH'!$E$40))*'IN_TECH'!$D$27)*'IN_TECH'!$D$18*(1-'IN_TECH'!$F$40))+(((1-'IN_TECH'!$D$40)*(1-'IN_TECH'!$E$40))*'IN_TECH'!$D$28))</f>
        <v/>
      </c>
      <c r="H16" s="35">
        <f>(((((1-'IN_TECH'!$D$40)*(1-'IN_TECH'!$E$40))*'IN_TECH'!$D$27)*'IN_TECH'!$D$18*(1-'IN_TECH'!$F$40))+(((1-'IN_TECH'!$D$40)*(1-'IN_TECH'!$E$40))*'IN_TECH'!$D$28))</f>
        <v/>
      </c>
      <c r="I16" s="35">
        <f>(((((1-'IN_TECH'!$D$40)*(1-'IN_TECH'!$E$40))*'IN_TECH'!$D$27)*'IN_TECH'!$D$18*(1-'IN_TECH'!$F$40))+(((1-'IN_TECH'!$D$40)*(1-'IN_TECH'!$E$40))*'IN_TECH'!$D$28))</f>
        <v/>
      </c>
      <c r="J16" s="35">
        <f>(((((1-'IN_TECH'!$D$40)*(1-'IN_TECH'!$E$40))*'IN_TECH'!$D$27)*'IN_TECH'!$D$18*(1-'IN_TECH'!$F$40))+(((1-'IN_TECH'!$D$40)*(1-'IN_TECH'!$E$40))*'IN_TECH'!$D$28))</f>
        <v/>
      </c>
      <c r="K16" s="35">
        <f>(((((1-'IN_TECH'!$D$40)*(1-'IN_TECH'!$E$40))*'IN_TECH'!$D$27)*'IN_TECH'!$D$18*(1-'IN_TECH'!$F$40))+(((1-'IN_TECH'!$D$40)*(1-'IN_TECH'!$E$40))*'IN_TECH'!$D$28))</f>
        <v/>
      </c>
      <c r="L16" s="35">
        <f>(((((1-'IN_TECH'!$D$40)*(1-'IN_TECH'!$E$40))*'IN_TECH'!$D$27)*'IN_TECH'!$D$18*(1-'IN_TECH'!$F$40))+(((1-'IN_TECH'!$D$40)*(1-'IN_TECH'!$E$40))*'IN_TECH'!$D$28))</f>
        <v/>
      </c>
      <c r="M16" s="35">
        <f>(((((1-'IN_TECH'!$D$40)*(1-'IN_TECH'!$E$40))*'IN_TECH'!$D$27)*'IN_TECH'!$D$18*(1-'IN_TECH'!$F$40))+(((1-'IN_TECH'!$D$40)*(1-'IN_TECH'!$E$40))*'IN_TECH'!$D$28))</f>
        <v/>
      </c>
      <c r="N16" s="35">
        <f>(((((1-'IN_TECH'!$D$40)*(1-'IN_TECH'!$E$40))*'IN_TECH'!$D$27)*'IN_TECH'!$D$18*(1-'IN_TECH'!$F$40))+(((1-'IN_TECH'!$D$40)*(1-'IN_TECH'!$E$40))*'IN_TECH'!$D$28))</f>
        <v/>
      </c>
      <c r="O16" s="35">
        <f>(((((1-'IN_TECH'!$D$40)*(1-'IN_TECH'!$E$40))*'IN_TECH'!$D$27)*'IN_TECH'!$D$18*(1-'IN_TECH'!$F$40))+(((1-'IN_TECH'!$D$40)*(1-'IN_TECH'!$E$40))*'IN_TECH'!$D$28))</f>
        <v/>
      </c>
      <c r="P16" s="35">
        <f>(((((1-'IN_TECH'!$D$40)*(1-'IN_TECH'!$E$40))*'IN_TECH'!$D$27)*'IN_TECH'!$D$18*(1-'IN_TECH'!$F$40))+(((1-'IN_TECH'!$D$40)*(1-'IN_TECH'!$E$40))*'IN_TECH'!$D$28))</f>
        <v/>
      </c>
    </row>
    <row r="17">
      <c r="A17" s="15" t="inlineStr">
        <is>
          <t>سهم خوراک ایستگاه 5 (به‌ازای هر تن ورودی)</t>
        </is>
      </c>
      <c r="B17" s="16" t="inlineStr">
        <is>
          <t>OPS.split.4</t>
        </is>
      </c>
      <c r="C17" s="17" t="inlineStr">
        <is>
          <t>تن/تن</t>
        </is>
      </c>
      <c r="D17" s="35">
        <f>((((((1-'IN_TECH'!$D$40)*(1-'IN_TECH'!$E$40))*'IN_TECH'!$D$27)*'IN_TECH'!$D$18*(1-'IN_TECH'!$F$40))*'IN_TECH'!$D$16+(((1-'IN_TECH'!$D$40)*(1-'IN_TECH'!$E$40))*'IN_TECH'!$D$28)*'IN_TECH'!$D$17)*'IN_TECH'!$D$19*(1-'IN_TECH'!$G$40))</f>
        <v/>
      </c>
      <c r="E17" s="35">
        <f>((((((1-'IN_TECH'!$D$40)*(1-'IN_TECH'!$E$40))*'IN_TECH'!$D$27)*'IN_TECH'!$D$18*(1-'IN_TECH'!$F$40))*'IN_TECH'!$D$16+(((1-'IN_TECH'!$D$40)*(1-'IN_TECH'!$E$40))*'IN_TECH'!$D$28)*'IN_TECH'!$D$17)*'IN_TECH'!$D$19*(1-'IN_TECH'!$G$40))</f>
        <v/>
      </c>
      <c r="F17" s="35">
        <f>((((((1-'IN_TECH'!$D$40)*(1-'IN_TECH'!$E$40))*'IN_TECH'!$D$27)*'IN_TECH'!$D$18*(1-'IN_TECH'!$F$40))*'IN_TECH'!$D$16+(((1-'IN_TECH'!$D$40)*(1-'IN_TECH'!$E$40))*'IN_TECH'!$D$28)*'IN_TECH'!$D$17)*'IN_TECH'!$D$19*(1-'IN_TECH'!$G$40))</f>
        <v/>
      </c>
      <c r="G17" s="35">
        <f>((((((1-'IN_TECH'!$D$40)*(1-'IN_TECH'!$E$40))*'IN_TECH'!$D$27)*'IN_TECH'!$D$18*(1-'IN_TECH'!$F$40))*'IN_TECH'!$D$16+(((1-'IN_TECH'!$D$40)*(1-'IN_TECH'!$E$40))*'IN_TECH'!$D$28)*'IN_TECH'!$D$17)*'IN_TECH'!$D$19*(1-'IN_TECH'!$G$40))</f>
        <v/>
      </c>
      <c r="H17" s="35">
        <f>((((((1-'IN_TECH'!$D$40)*(1-'IN_TECH'!$E$40))*'IN_TECH'!$D$27)*'IN_TECH'!$D$18*(1-'IN_TECH'!$F$40))*'IN_TECH'!$D$16+(((1-'IN_TECH'!$D$40)*(1-'IN_TECH'!$E$40))*'IN_TECH'!$D$28)*'IN_TECH'!$D$17)*'IN_TECH'!$D$19*(1-'IN_TECH'!$G$40))</f>
        <v/>
      </c>
      <c r="I17" s="35">
        <f>((((((1-'IN_TECH'!$D$40)*(1-'IN_TECH'!$E$40))*'IN_TECH'!$D$27)*'IN_TECH'!$D$18*(1-'IN_TECH'!$F$40))*'IN_TECH'!$D$16+(((1-'IN_TECH'!$D$40)*(1-'IN_TECH'!$E$40))*'IN_TECH'!$D$28)*'IN_TECH'!$D$17)*'IN_TECH'!$D$19*(1-'IN_TECH'!$G$40))</f>
        <v/>
      </c>
      <c r="J17" s="35">
        <f>((((((1-'IN_TECH'!$D$40)*(1-'IN_TECH'!$E$40))*'IN_TECH'!$D$27)*'IN_TECH'!$D$18*(1-'IN_TECH'!$F$40))*'IN_TECH'!$D$16+(((1-'IN_TECH'!$D$40)*(1-'IN_TECH'!$E$40))*'IN_TECH'!$D$28)*'IN_TECH'!$D$17)*'IN_TECH'!$D$19*(1-'IN_TECH'!$G$40))</f>
        <v/>
      </c>
      <c r="K17" s="35">
        <f>((((((1-'IN_TECH'!$D$40)*(1-'IN_TECH'!$E$40))*'IN_TECH'!$D$27)*'IN_TECH'!$D$18*(1-'IN_TECH'!$F$40))*'IN_TECH'!$D$16+(((1-'IN_TECH'!$D$40)*(1-'IN_TECH'!$E$40))*'IN_TECH'!$D$28)*'IN_TECH'!$D$17)*'IN_TECH'!$D$19*(1-'IN_TECH'!$G$40))</f>
        <v/>
      </c>
      <c r="L17" s="35">
        <f>((((((1-'IN_TECH'!$D$40)*(1-'IN_TECH'!$E$40))*'IN_TECH'!$D$27)*'IN_TECH'!$D$18*(1-'IN_TECH'!$F$40))*'IN_TECH'!$D$16+(((1-'IN_TECH'!$D$40)*(1-'IN_TECH'!$E$40))*'IN_TECH'!$D$28)*'IN_TECH'!$D$17)*'IN_TECH'!$D$19*(1-'IN_TECH'!$G$40))</f>
        <v/>
      </c>
      <c r="M17" s="35">
        <f>((((((1-'IN_TECH'!$D$40)*(1-'IN_TECH'!$E$40))*'IN_TECH'!$D$27)*'IN_TECH'!$D$18*(1-'IN_TECH'!$F$40))*'IN_TECH'!$D$16+(((1-'IN_TECH'!$D$40)*(1-'IN_TECH'!$E$40))*'IN_TECH'!$D$28)*'IN_TECH'!$D$17)*'IN_TECH'!$D$19*(1-'IN_TECH'!$G$40))</f>
        <v/>
      </c>
      <c r="N17" s="35">
        <f>((((((1-'IN_TECH'!$D$40)*(1-'IN_TECH'!$E$40))*'IN_TECH'!$D$27)*'IN_TECH'!$D$18*(1-'IN_TECH'!$F$40))*'IN_TECH'!$D$16+(((1-'IN_TECH'!$D$40)*(1-'IN_TECH'!$E$40))*'IN_TECH'!$D$28)*'IN_TECH'!$D$17)*'IN_TECH'!$D$19*(1-'IN_TECH'!$G$40))</f>
        <v/>
      </c>
      <c r="O17" s="35">
        <f>((((((1-'IN_TECH'!$D$40)*(1-'IN_TECH'!$E$40))*'IN_TECH'!$D$27)*'IN_TECH'!$D$18*(1-'IN_TECH'!$F$40))*'IN_TECH'!$D$16+(((1-'IN_TECH'!$D$40)*(1-'IN_TECH'!$E$40))*'IN_TECH'!$D$28)*'IN_TECH'!$D$17)*'IN_TECH'!$D$19*(1-'IN_TECH'!$G$40))</f>
        <v/>
      </c>
      <c r="P17" s="35">
        <f>((((((1-'IN_TECH'!$D$40)*(1-'IN_TECH'!$E$40))*'IN_TECH'!$D$27)*'IN_TECH'!$D$18*(1-'IN_TECH'!$F$40))*'IN_TECH'!$D$16+(((1-'IN_TECH'!$D$40)*(1-'IN_TECH'!$E$40))*'IN_TECH'!$D$28)*'IN_TECH'!$D$17)*'IN_TECH'!$D$19*(1-'IN_TECH'!$G$40))</f>
        <v/>
      </c>
    </row>
    <row r="18">
      <c r="A18" s="15" t="inlineStr">
        <is>
          <t>سهم خوراک ایستگاه 6 (به‌ازای هر تن ورودی)</t>
        </is>
      </c>
      <c r="B18" s="16" t="inlineStr">
        <is>
          <t>OPS.split.5</t>
        </is>
      </c>
      <c r="C18" s="17" t="inlineStr">
        <is>
          <t>تن/تن</t>
        </is>
      </c>
      <c r="D18" s="35">
        <f>((((((((1-'IN_TECH'!$D$40)*(1-'IN_TECH'!$E$40))*'IN_TECH'!$D$27)*'IN_TECH'!$D$18*(1-'IN_TECH'!$F$40))*'IN_TECH'!$D$16+(((1-'IN_TECH'!$D$40)*(1-'IN_TECH'!$E$40))*'IN_TECH'!$D$28)*'IN_TECH'!$D$17)*'IN_TECH'!$D$19*(1-'IN_TECH'!$G$40))*'IN_TECH'!$D$20*(1-'IN_TECH'!$H$40))+(((1-'IN_TECH'!$D$40)*(1-'IN_TECH'!$E$40))*'IN_TECH'!$D$29)*'IN_TECH'!$D$21+'IN_TECH'!$D$22)</f>
        <v/>
      </c>
      <c r="E18" s="35">
        <f>((((((((1-'IN_TECH'!$D$40)*(1-'IN_TECH'!$E$40))*'IN_TECH'!$D$27)*'IN_TECH'!$D$18*(1-'IN_TECH'!$F$40))*'IN_TECH'!$D$16+(((1-'IN_TECH'!$D$40)*(1-'IN_TECH'!$E$40))*'IN_TECH'!$D$28)*'IN_TECH'!$D$17)*'IN_TECH'!$D$19*(1-'IN_TECH'!$G$40))*'IN_TECH'!$D$20*(1-'IN_TECH'!$H$40))+(((1-'IN_TECH'!$D$40)*(1-'IN_TECH'!$E$40))*'IN_TECH'!$D$29)*'IN_TECH'!$D$21+'IN_TECH'!$D$22)</f>
        <v/>
      </c>
      <c r="F18" s="35">
        <f>((((((((1-'IN_TECH'!$D$40)*(1-'IN_TECH'!$E$40))*'IN_TECH'!$D$27)*'IN_TECH'!$D$18*(1-'IN_TECH'!$F$40))*'IN_TECH'!$D$16+(((1-'IN_TECH'!$D$40)*(1-'IN_TECH'!$E$40))*'IN_TECH'!$D$28)*'IN_TECH'!$D$17)*'IN_TECH'!$D$19*(1-'IN_TECH'!$G$40))*'IN_TECH'!$D$20*(1-'IN_TECH'!$H$40))+(((1-'IN_TECH'!$D$40)*(1-'IN_TECH'!$E$40))*'IN_TECH'!$D$29)*'IN_TECH'!$D$21+'IN_TECH'!$D$22)</f>
        <v/>
      </c>
      <c r="G18" s="35">
        <f>((((((((1-'IN_TECH'!$D$40)*(1-'IN_TECH'!$E$40))*'IN_TECH'!$D$27)*'IN_TECH'!$D$18*(1-'IN_TECH'!$F$40))*'IN_TECH'!$D$16+(((1-'IN_TECH'!$D$40)*(1-'IN_TECH'!$E$40))*'IN_TECH'!$D$28)*'IN_TECH'!$D$17)*'IN_TECH'!$D$19*(1-'IN_TECH'!$G$40))*'IN_TECH'!$D$20*(1-'IN_TECH'!$H$40))+(((1-'IN_TECH'!$D$40)*(1-'IN_TECH'!$E$40))*'IN_TECH'!$D$29)*'IN_TECH'!$D$21+'IN_TECH'!$D$22)</f>
        <v/>
      </c>
      <c r="H18" s="35">
        <f>((((((((1-'IN_TECH'!$D$40)*(1-'IN_TECH'!$E$40))*'IN_TECH'!$D$27)*'IN_TECH'!$D$18*(1-'IN_TECH'!$F$40))*'IN_TECH'!$D$16+(((1-'IN_TECH'!$D$40)*(1-'IN_TECH'!$E$40))*'IN_TECH'!$D$28)*'IN_TECH'!$D$17)*'IN_TECH'!$D$19*(1-'IN_TECH'!$G$40))*'IN_TECH'!$D$20*(1-'IN_TECH'!$H$40))+(((1-'IN_TECH'!$D$40)*(1-'IN_TECH'!$E$40))*'IN_TECH'!$D$29)*'IN_TECH'!$D$21+'IN_TECH'!$D$22)</f>
        <v/>
      </c>
      <c r="I18" s="35">
        <f>((((((((1-'IN_TECH'!$D$40)*(1-'IN_TECH'!$E$40))*'IN_TECH'!$D$27)*'IN_TECH'!$D$18*(1-'IN_TECH'!$F$40))*'IN_TECH'!$D$16+(((1-'IN_TECH'!$D$40)*(1-'IN_TECH'!$E$40))*'IN_TECH'!$D$28)*'IN_TECH'!$D$17)*'IN_TECH'!$D$19*(1-'IN_TECH'!$G$40))*'IN_TECH'!$D$20*(1-'IN_TECH'!$H$40))+(((1-'IN_TECH'!$D$40)*(1-'IN_TECH'!$E$40))*'IN_TECH'!$D$29)*'IN_TECH'!$D$21+'IN_TECH'!$D$22)</f>
        <v/>
      </c>
      <c r="J18" s="35">
        <f>((((((((1-'IN_TECH'!$D$40)*(1-'IN_TECH'!$E$40))*'IN_TECH'!$D$27)*'IN_TECH'!$D$18*(1-'IN_TECH'!$F$40))*'IN_TECH'!$D$16+(((1-'IN_TECH'!$D$40)*(1-'IN_TECH'!$E$40))*'IN_TECH'!$D$28)*'IN_TECH'!$D$17)*'IN_TECH'!$D$19*(1-'IN_TECH'!$G$40))*'IN_TECH'!$D$20*(1-'IN_TECH'!$H$40))+(((1-'IN_TECH'!$D$40)*(1-'IN_TECH'!$E$40))*'IN_TECH'!$D$29)*'IN_TECH'!$D$21+'IN_TECH'!$D$22)</f>
        <v/>
      </c>
      <c r="K18" s="35">
        <f>((((((((1-'IN_TECH'!$D$40)*(1-'IN_TECH'!$E$40))*'IN_TECH'!$D$27)*'IN_TECH'!$D$18*(1-'IN_TECH'!$F$40))*'IN_TECH'!$D$16+(((1-'IN_TECH'!$D$40)*(1-'IN_TECH'!$E$40))*'IN_TECH'!$D$28)*'IN_TECH'!$D$17)*'IN_TECH'!$D$19*(1-'IN_TECH'!$G$40))*'IN_TECH'!$D$20*(1-'IN_TECH'!$H$40))+(((1-'IN_TECH'!$D$40)*(1-'IN_TECH'!$E$40))*'IN_TECH'!$D$29)*'IN_TECH'!$D$21+'IN_TECH'!$D$22)</f>
        <v/>
      </c>
      <c r="L18" s="35">
        <f>((((((((1-'IN_TECH'!$D$40)*(1-'IN_TECH'!$E$40))*'IN_TECH'!$D$27)*'IN_TECH'!$D$18*(1-'IN_TECH'!$F$40))*'IN_TECH'!$D$16+(((1-'IN_TECH'!$D$40)*(1-'IN_TECH'!$E$40))*'IN_TECH'!$D$28)*'IN_TECH'!$D$17)*'IN_TECH'!$D$19*(1-'IN_TECH'!$G$40))*'IN_TECH'!$D$20*(1-'IN_TECH'!$H$40))+(((1-'IN_TECH'!$D$40)*(1-'IN_TECH'!$E$40))*'IN_TECH'!$D$29)*'IN_TECH'!$D$21+'IN_TECH'!$D$22)</f>
        <v/>
      </c>
      <c r="M18" s="35">
        <f>((((((((1-'IN_TECH'!$D$40)*(1-'IN_TECH'!$E$40))*'IN_TECH'!$D$27)*'IN_TECH'!$D$18*(1-'IN_TECH'!$F$40))*'IN_TECH'!$D$16+(((1-'IN_TECH'!$D$40)*(1-'IN_TECH'!$E$40))*'IN_TECH'!$D$28)*'IN_TECH'!$D$17)*'IN_TECH'!$D$19*(1-'IN_TECH'!$G$40))*'IN_TECH'!$D$20*(1-'IN_TECH'!$H$40))+(((1-'IN_TECH'!$D$40)*(1-'IN_TECH'!$E$40))*'IN_TECH'!$D$29)*'IN_TECH'!$D$21+'IN_TECH'!$D$22)</f>
        <v/>
      </c>
      <c r="N18" s="35">
        <f>((((((((1-'IN_TECH'!$D$40)*(1-'IN_TECH'!$E$40))*'IN_TECH'!$D$27)*'IN_TECH'!$D$18*(1-'IN_TECH'!$F$40))*'IN_TECH'!$D$16+(((1-'IN_TECH'!$D$40)*(1-'IN_TECH'!$E$40))*'IN_TECH'!$D$28)*'IN_TECH'!$D$17)*'IN_TECH'!$D$19*(1-'IN_TECH'!$G$40))*'IN_TECH'!$D$20*(1-'IN_TECH'!$H$40))+(((1-'IN_TECH'!$D$40)*(1-'IN_TECH'!$E$40))*'IN_TECH'!$D$29)*'IN_TECH'!$D$21+'IN_TECH'!$D$22)</f>
        <v/>
      </c>
      <c r="O18" s="35">
        <f>((((((((1-'IN_TECH'!$D$40)*(1-'IN_TECH'!$E$40))*'IN_TECH'!$D$27)*'IN_TECH'!$D$18*(1-'IN_TECH'!$F$40))*'IN_TECH'!$D$16+(((1-'IN_TECH'!$D$40)*(1-'IN_TECH'!$E$40))*'IN_TECH'!$D$28)*'IN_TECH'!$D$17)*'IN_TECH'!$D$19*(1-'IN_TECH'!$G$40))*'IN_TECH'!$D$20*(1-'IN_TECH'!$H$40))+(((1-'IN_TECH'!$D$40)*(1-'IN_TECH'!$E$40))*'IN_TECH'!$D$29)*'IN_TECH'!$D$21+'IN_TECH'!$D$22)</f>
        <v/>
      </c>
      <c r="P18" s="35">
        <f>((((((((1-'IN_TECH'!$D$40)*(1-'IN_TECH'!$E$40))*'IN_TECH'!$D$27)*'IN_TECH'!$D$18*(1-'IN_TECH'!$F$40))*'IN_TECH'!$D$16+(((1-'IN_TECH'!$D$40)*(1-'IN_TECH'!$E$40))*'IN_TECH'!$D$28)*'IN_TECH'!$D$17)*'IN_TECH'!$D$19*(1-'IN_TECH'!$G$40))*'IN_TECH'!$D$20*(1-'IN_TECH'!$H$40))+(((1-'IN_TECH'!$D$40)*(1-'IN_TECH'!$E$40))*'IN_TECH'!$D$29)*'IN_TECH'!$D$21+'IN_TECH'!$D$22)</f>
        <v/>
      </c>
    </row>
    <row r="19">
      <c r="A19" s="15" t="inlineStr">
        <is>
          <t>بیشینهٔ ورودی قابل پردازش (محدودیت گلوگاه)</t>
        </is>
      </c>
      <c r="B19" s="16" t="inlineStr">
        <is>
          <t>OPS.intake_cap</t>
        </is>
      </c>
      <c r="C19" s="17" t="inlineStr">
        <is>
          <t>تن</t>
        </is>
      </c>
      <c r="D19" s="33">
        <f>MIN(IFERROR('IN_TECH'!$D$36/'ENG_OPS'!$D$13,1E+15),IFERROR('IN_TECH'!$E$36/'ENG_OPS'!$D$14,1E+15),IFERROR('IN_TECH'!$F$36/'ENG_OPS'!$D$15,1E+15),IFERROR('IN_TECH'!$G$36/'ENG_OPS'!$D$16,1E+15),IFERROR('IN_TECH'!$H$36/'ENG_OPS'!$D$17,1E+15),IFERROR('IN_TECH'!$I$36/'ENG_OPS'!$D$18,1E+15))</f>
        <v/>
      </c>
      <c r="E19" s="33">
        <f>MIN(IFERROR('IN_TECH'!$D$36/'ENG_OPS'!$E$13,1E+15),IFERROR('IN_TECH'!$E$36/'ENG_OPS'!$E$14,1E+15),IFERROR('IN_TECH'!$F$36/'ENG_OPS'!$E$15,1E+15),IFERROR('IN_TECH'!$G$36/'ENG_OPS'!$E$16,1E+15),IFERROR('IN_TECH'!$H$36/'ENG_OPS'!$E$17,1E+15),IFERROR('IN_TECH'!$I$36/'ENG_OPS'!$E$18,1E+15))</f>
        <v/>
      </c>
      <c r="F19" s="33">
        <f>MIN(IFERROR('IN_TECH'!$D$36/'ENG_OPS'!$F$13,1E+15),IFERROR('IN_TECH'!$E$36/'ENG_OPS'!$F$14,1E+15),IFERROR('IN_TECH'!$F$36/'ENG_OPS'!$F$15,1E+15),IFERROR('IN_TECH'!$G$36/'ENG_OPS'!$F$16,1E+15),IFERROR('IN_TECH'!$H$36/'ENG_OPS'!$F$17,1E+15),IFERROR('IN_TECH'!$I$36/'ENG_OPS'!$F$18,1E+15))</f>
        <v/>
      </c>
      <c r="G19" s="33">
        <f>MIN(IFERROR('IN_TECH'!$D$36/'ENG_OPS'!$G$13,1E+15),IFERROR('IN_TECH'!$E$36/'ENG_OPS'!$G$14,1E+15),IFERROR('IN_TECH'!$F$36/'ENG_OPS'!$G$15,1E+15),IFERROR('IN_TECH'!$G$36/'ENG_OPS'!$G$16,1E+15),IFERROR('IN_TECH'!$H$36/'ENG_OPS'!$G$17,1E+15),IFERROR('IN_TECH'!$I$36/'ENG_OPS'!$G$18,1E+15))</f>
        <v/>
      </c>
      <c r="H19" s="33">
        <f>MIN(IFERROR('IN_TECH'!$D$36/'ENG_OPS'!$H$13,1E+15),IFERROR('IN_TECH'!$E$36/'ENG_OPS'!$H$14,1E+15),IFERROR('IN_TECH'!$F$36/'ENG_OPS'!$H$15,1E+15),IFERROR('IN_TECH'!$G$36/'ENG_OPS'!$H$16,1E+15),IFERROR('IN_TECH'!$H$36/'ENG_OPS'!$H$17,1E+15),IFERROR('IN_TECH'!$I$36/'ENG_OPS'!$H$18,1E+15))</f>
        <v/>
      </c>
      <c r="I19" s="33">
        <f>MIN(IFERROR('IN_TECH'!$D$36/'ENG_OPS'!$I$13,1E+15),IFERROR('IN_TECH'!$E$36/'ENG_OPS'!$I$14,1E+15),IFERROR('IN_TECH'!$F$36/'ENG_OPS'!$I$15,1E+15),IFERROR('IN_TECH'!$G$36/'ENG_OPS'!$I$16,1E+15),IFERROR('IN_TECH'!$H$36/'ENG_OPS'!$I$17,1E+15),IFERROR('IN_TECH'!$I$36/'ENG_OPS'!$I$18,1E+15))</f>
        <v/>
      </c>
      <c r="J19" s="33">
        <f>MIN(IFERROR('IN_TECH'!$D$36/'ENG_OPS'!$J$13,1E+15),IFERROR('IN_TECH'!$E$36/'ENG_OPS'!$J$14,1E+15),IFERROR('IN_TECH'!$F$36/'ENG_OPS'!$J$15,1E+15),IFERROR('IN_TECH'!$G$36/'ENG_OPS'!$J$16,1E+15),IFERROR('IN_TECH'!$H$36/'ENG_OPS'!$J$17,1E+15),IFERROR('IN_TECH'!$I$36/'ENG_OPS'!$J$18,1E+15))</f>
        <v/>
      </c>
      <c r="K19" s="33">
        <f>MIN(IFERROR('IN_TECH'!$D$36/'ENG_OPS'!$K$13,1E+15),IFERROR('IN_TECH'!$E$36/'ENG_OPS'!$K$14,1E+15),IFERROR('IN_TECH'!$F$36/'ENG_OPS'!$K$15,1E+15),IFERROR('IN_TECH'!$G$36/'ENG_OPS'!$K$16,1E+15),IFERROR('IN_TECH'!$H$36/'ENG_OPS'!$K$17,1E+15),IFERROR('IN_TECH'!$I$36/'ENG_OPS'!$K$18,1E+15))</f>
        <v/>
      </c>
      <c r="L19" s="33">
        <f>MIN(IFERROR('IN_TECH'!$D$36/'ENG_OPS'!$L$13,1E+15),IFERROR('IN_TECH'!$E$36/'ENG_OPS'!$L$14,1E+15),IFERROR('IN_TECH'!$F$36/'ENG_OPS'!$L$15,1E+15),IFERROR('IN_TECH'!$G$36/'ENG_OPS'!$L$16,1E+15),IFERROR('IN_TECH'!$H$36/'ENG_OPS'!$L$17,1E+15),IFERROR('IN_TECH'!$I$36/'ENG_OPS'!$L$18,1E+15))</f>
        <v/>
      </c>
      <c r="M19" s="33">
        <f>MIN(IFERROR('IN_TECH'!$D$36/'ENG_OPS'!$M$13,1E+15),IFERROR('IN_TECH'!$E$36/'ENG_OPS'!$M$14,1E+15),IFERROR('IN_TECH'!$F$36/'ENG_OPS'!$M$15,1E+15),IFERROR('IN_TECH'!$G$36/'ENG_OPS'!$M$16,1E+15),IFERROR('IN_TECH'!$H$36/'ENG_OPS'!$M$17,1E+15),IFERROR('IN_TECH'!$I$36/'ENG_OPS'!$M$18,1E+15))</f>
        <v/>
      </c>
      <c r="N19" s="33">
        <f>MIN(IFERROR('IN_TECH'!$D$36/'ENG_OPS'!$N$13,1E+15),IFERROR('IN_TECH'!$E$36/'ENG_OPS'!$N$14,1E+15),IFERROR('IN_TECH'!$F$36/'ENG_OPS'!$N$15,1E+15),IFERROR('IN_TECH'!$G$36/'ENG_OPS'!$N$16,1E+15),IFERROR('IN_TECH'!$H$36/'ENG_OPS'!$N$17,1E+15),IFERROR('IN_TECH'!$I$36/'ENG_OPS'!$N$18,1E+15))</f>
        <v/>
      </c>
      <c r="O19" s="33">
        <f>MIN(IFERROR('IN_TECH'!$D$36/'ENG_OPS'!$O$13,1E+15),IFERROR('IN_TECH'!$E$36/'ENG_OPS'!$O$14,1E+15),IFERROR('IN_TECH'!$F$36/'ENG_OPS'!$O$15,1E+15),IFERROR('IN_TECH'!$G$36/'ENG_OPS'!$O$16,1E+15),IFERROR('IN_TECH'!$H$36/'ENG_OPS'!$O$17,1E+15),IFERROR('IN_TECH'!$I$36/'ENG_OPS'!$O$18,1E+15))</f>
        <v/>
      </c>
      <c r="P19" s="33">
        <f>MIN(IFERROR('IN_TECH'!$D$36/'ENG_OPS'!$P$13,1E+15),IFERROR('IN_TECH'!$E$36/'ENG_OPS'!$P$14,1E+15),IFERROR('IN_TECH'!$F$36/'ENG_OPS'!$P$15,1E+15),IFERROR('IN_TECH'!$G$36/'ENG_OPS'!$P$16,1E+15),IFERROR('IN_TECH'!$H$36/'ENG_OPS'!$P$17,1E+15),IFERROR('IN_TECH'!$I$36/'ENG_OPS'!$P$18,1E+15))</f>
        <v/>
      </c>
    </row>
    <row r="20">
      <c r="A20" s="15" t="inlineStr">
        <is>
          <t>ورودی واقعی باتری ضایعاتی</t>
        </is>
      </c>
      <c r="B20" s="16" t="inlineStr">
        <is>
          <t>OPS.intake</t>
        </is>
      </c>
      <c r="C20" s="17" t="inlineStr">
        <is>
          <t>تن</t>
        </is>
      </c>
      <c r="D20" s="33">
        <f>MIN('IN_TECH'!$D$8*'ENG_OPS'!$D$12,'ENG_OPS'!$D$19)</f>
        <v/>
      </c>
      <c r="E20" s="33">
        <f>MIN('IN_TECH'!$D$8*'ENG_OPS'!$E$12,'ENG_OPS'!$E$19)</f>
        <v/>
      </c>
      <c r="F20" s="33">
        <f>MIN('IN_TECH'!$D$8*'ENG_OPS'!$F$12,'ENG_OPS'!$F$19)</f>
        <v/>
      </c>
      <c r="G20" s="33">
        <f>MIN('IN_TECH'!$D$8*'ENG_OPS'!$G$12,'ENG_OPS'!$G$19)</f>
        <v/>
      </c>
      <c r="H20" s="33">
        <f>MIN('IN_TECH'!$D$8*'ENG_OPS'!$H$12,'ENG_OPS'!$H$19)</f>
        <v/>
      </c>
      <c r="I20" s="33">
        <f>MIN('IN_TECH'!$D$8*'ENG_OPS'!$I$12,'ENG_OPS'!$I$19)</f>
        <v/>
      </c>
      <c r="J20" s="33">
        <f>MIN('IN_TECH'!$D$8*'ENG_OPS'!$J$12,'ENG_OPS'!$J$19)</f>
        <v/>
      </c>
      <c r="K20" s="33">
        <f>MIN('IN_TECH'!$D$8*'ENG_OPS'!$K$12,'ENG_OPS'!$K$19)</f>
        <v/>
      </c>
      <c r="L20" s="33">
        <f>MIN('IN_TECH'!$D$8*'ENG_OPS'!$L$12,'ENG_OPS'!$L$19)</f>
        <v/>
      </c>
      <c r="M20" s="33">
        <f>MIN('IN_TECH'!$D$8*'ENG_OPS'!$M$12,'ENG_OPS'!$M$19)</f>
        <v/>
      </c>
      <c r="N20" s="33">
        <f>MIN('IN_TECH'!$D$8*'ENG_OPS'!$N$12,'ENG_OPS'!$N$19)</f>
        <v/>
      </c>
      <c r="O20" s="33">
        <f>MIN('IN_TECH'!$D$8*'ENG_OPS'!$O$12,'ENG_OPS'!$O$19)</f>
        <v/>
      </c>
      <c r="P20" s="33">
        <f>MIN('IN_TECH'!$D$8*'ENG_OPS'!$P$12,'ENG_OPS'!$P$19)</f>
        <v/>
      </c>
    </row>
    <row r="21">
      <c r="A21" s="15" t="inlineStr">
        <is>
          <t>ساعات اسمی کارکرد در سال</t>
        </is>
      </c>
      <c r="B21" s="16" t="inlineStr">
        <is>
          <t>OPS.hours_nom</t>
        </is>
      </c>
      <c r="C21" s="17" t="inlineStr">
        <is>
          <t>ساعت</t>
        </is>
      </c>
      <c r="D21" s="33">
        <f>'IN_TECH'!$D$9*'IN_TECH'!$D$10*'IN_TECH'!$D$11</f>
        <v/>
      </c>
      <c r="E21" s="33">
        <f>'IN_TECH'!$D$9*'IN_TECH'!$D$10*'IN_TECH'!$D$11</f>
        <v/>
      </c>
      <c r="F21" s="33">
        <f>'IN_TECH'!$D$9*'IN_TECH'!$D$10*'IN_TECH'!$D$11</f>
        <v/>
      </c>
      <c r="G21" s="33">
        <f>'IN_TECH'!$D$9*'IN_TECH'!$D$10*'IN_TECH'!$D$11</f>
        <v/>
      </c>
      <c r="H21" s="33">
        <f>'IN_TECH'!$D$9*'IN_TECH'!$D$10*'IN_TECH'!$D$11</f>
        <v/>
      </c>
      <c r="I21" s="33">
        <f>'IN_TECH'!$D$9*'IN_TECH'!$D$10*'IN_TECH'!$D$11</f>
        <v/>
      </c>
      <c r="J21" s="33">
        <f>'IN_TECH'!$D$9*'IN_TECH'!$D$10*'IN_TECH'!$D$11</f>
        <v/>
      </c>
      <c r="K21" s="33">
        <f>'IN_TECH'!$D$9*'IN_TECH'!$D$10*'IN_TECH'!$D$11</f>
        <v/>
      </c>
      <c r="L21" s="33">
        <f>'IN_TECH'!$D$9*'IN_TECH'!$D$10*'IN_TECH'!$D$11</f>
        <v/>
      </c>
      <c r="M21" s="33">
        <f>'IN_TECH'!$D$9*'IN_TECH'!$D$10*'IN_TECH'!$D$11</f>
        <v/>
      </c>
      <c r="N21" s="33">
        <f>'IN_TECH'!$D$9*'IN_TECH'!$D$10*'IN_TECH'!$D$11</f>
        <v/>
      </c>
      <c r="O21" s="33">
        <f>'IN_TECH'!$D$9*'IN_TECH'!$D$10*'IN_TECH'!$D$11</f>
        <v/>
      </c>
      <c r="P21" s="33">
        <f>'IN_TECH'!$D$9*'IN_TECH'!$D$10*'IN_TECH'!$D$11</f>
        <v/>
      </c>
    </row>
    <row r="22">
      <c r="A22" s="15" t="inlineStr">
        <is>
          <t>ساعات مؤثر کارکرد</t>
        </is>
      </c>
      <c r="B22" s="16" t="inlineStr">
        <is>
          <t>OPS.hours</t>
        </is>
      </c>
      <c r="C22" s="17" t="inlineStr">
        <is>
          <t>ساعت</t>
        </is>
      </c>
      <c r="D22" s="33">
        <f>MAX(0,('ENG_OPS'!$D$21-'IN_TECH'!$D$12-'IN_TECH'!$D$13))*'ENG_OPS'!$D$12</f>
        <v/>
      </c>
      <c r="E22" s="33">
        <f>MAX(0,('ENG_OPS'!$E$21-'IN_TECH'!$D$12-'IN_TECH'!$D$13))*'ENG_OPS'!$E$12</f>
        <v/>
      </c>
      <c r="F22" s="33">
        <f>MAX(0,('ENG_OPS'!$F$21-'IN_TECH'!$D$12-'IN_TECH'!$D$13))*'ENG_OPS'!$F$12</f>
        <v/>
      </c>
      <c r="G22" s="33">
        <f>MAX(0,('ENG_OPS'!$G$21-'IN_TECH'!$D$12-'IN_TECH'!$D$13))*'ENG_OPS'!$G$12</f>
        <v/>
      </c>
      <c r="H22" s="33">
        <f>MAX(0,('ENG_OPS'!$H$21-'IN_TECH'!$D$12-'IN_TECH'!$D$13))*'ENG_OPS'!$H$12</f>
        <v/>
      </c>
      <c r="I22" s="33">
        <f>MAX(0,('ENG_OPS'!$I$21-'IN_TECH'!$D$12-'IN_TECH'!$D$13))*'ENG_OPS'!$I$12</f>
        <v/>
      </c>
      <c r="J22" s="33">
        <f>MAX(0,('ENG_OPS'!$J$21-'IN_TECH'!$D$12-'IN_TECH'!$D$13))*'ENG_OPS'!$J$12</f>
        <v/>
      </c>
      <c r="K22" s="33">
        <f>MAX(0,('ENG_OPS'!$K$21-'IN_TECH'!$D$12-'IN_TECH'!$D$13))*'ENG_OPS'!$K$12</f>
        <v/>
      </c>
      <c r="L22" s="33">
        <f>MAX(0,('ENG_OPS'!$L$21-'IN_TECH'!$D$12-'IN_TECH'!$D$13))*'ENG_OPS'!$L$12</f>
        <v/>
      </c>
      <c r="M22" s="33">
        <f>MAX(0,('ENG_OPS'!$M$21-'IN_TECH'!$D$12-'IN_TECH'!$D$13))*'ENG_OPS'!$M$12</f>
        <v/>
      </c>
      <c r="N22" s="33">
        <f>MAX(0,('ENG_OPS'!$N$21-'IN_TECH'!$D$12-'IN_TECH'!$D$13))*'ENG_OPS'!$N$12</f>
        <v/>
      </c>
      <c r="O22" s="33">
        <f>MAX(0,('ENG_OPS'!$O$21-'IN_TECH'!$D$12-'IN_TECH'!$D$13))*'ENG_OPS'!$O$12</f>
        <v/>
      </c>
      <c r="P22" s="33">
        <f>MAX(0,('ENG_OPS'!$P$21-'IN_TECH'!$D$12-'IN_TECH'!$D$13))*'ENG_OPS'!$P$12</f>
        <v/>
      </c>
    </row>
    <row r="23">
      <c r="A23" s="15" t="inlineStr">
        <is>
          <t>نرخ استفاده از ظرفیت اسمی</t>
        </is>
      </c>
      <c r="B23" s="16" t="inlineStr">
        <is>
          <t>OPS.caputil</t>
        </is>
      </c>
      <c r="C23" s="17" t="inlineStr">
        <is>
          <t>درصد</t>
        </is>
      </c>
      <c r="D23" s="32">
        <f>IFERROR('ENG_OPS'!$D$20/'IN_TECH'!$D$8,0)</f>
        <v/>
      </c>
      <c r="E23" s="32">
        <f>IFERROR('ENG_OPS'!$E$20/'IN_TECH'!$D$8,0)</f>
        <v/>
      </c>
      <c r="F23" s="32">
        <f>IFERROR('ENG_OPS'!$F$20/'IN_TECH'!$D$8,0)</f>
        <v/>
      </c>
      <c r="G23" s="32">
        <f>IFERROR('ENG_OPS'!$G$20/'IN_TECH'!$D$8,0)</f>
        <v/>
      </c>
      <c r="H23" s="32">
        <f>IFERROR('ENG_OPS'!$H$20/'IN_TECH'!$D$8,0)</f>
        <v/>
      </c>
      <c r="I23" s="32">
        <f>IFERROR('ENG_OPS'!$I$20/'IN_TECH'!$D$8,0)</f>
        <v/>
      </c>
      <c r="J23" s="32">
        <f>IFERROR('ENG_OPS'!$J$20/'IN_TECH'!$D$8,0)</f>
        <v/>
      </c>
      <c r="K23" s="32">
        <f>IFERROR('ENG_OPS'!$K$20/'IN_TECH'!$D$8,0)</f>
        <v/>
      </c>
      <c r="L23" s="32">
        <f>IFERROR('ENG_OPS'!$L$20/'IN_TECH'!$D$8,0)</f>
        <v/>
      </c>
      <c r="M23" s="32">
        <f>IFERROR('ENG_OPS'!$M$20/'IN_TECH'!$D$8,0)</f>
        <v/>
      </c>
      <c r="N23" s="32">
        <f>IFERROR('ENG_OPS'!$N$20/'IN_TECH'!$D$8,0)</f>
        <v/>
      </c>
      <c r="O23" s="32">
        <f>IFERROR('ENG_OPS'!$O$20/'IN_TECH'!$D$8,0)</f>
        <v/>
      </c>
      <c r="P23" s="32">
        <f>IFERROR('ENG_OPS'!$P$20/'IN_TECH'!$D$8,0)</f>
        <v/>
      </c>
    </row>
    <row r="24"/>
    <row r="25">
      <c r="A25" s="4" t="inlineStr">
        <is>
          <t>ب) جریان مواد و تراز جرم</t>
        </is>
      </c>
      <c r="B25" s="5" t="n"/>
      <c r="C25" s="5" t="n"/>
      <c r="D25" s="5" t="n"/>
      <c r="E25" s="5" t="n"/>
      <c r="F25" s="5" t="n"/>
      <c r="G25" s="5" t="n"/>
      <c r="H25" s="5" t="n"/>
      <c r="I25" s="5" t="n"/>
      <c r="J25" s="5" t="n"/>
      <c r="K25" s="5" t="n"/>
      <c r="L25" s="5" t="n"/>
      <c r="M25" s="5" t="n"/>
      <c r="N25" s="5" t="n"/>
      <c r="O25" s="5" t="n"/>
      <c r="P25" s="5" t="n"/>
      <c r="Q25" s="5" t="n"/>
    </row>
    <row r="26">
      <c r="A26" s="15" t="inlineStr">
        <is>
          <t>خروجی ایستگاه ۱ (پس از تخلیه)</t>
        </is>
      </c>
      <c r="B26" s="16" t="inlineStr">
        <is>
          <t>OPS.s1out</t>
        </is>
      </c>
      <c r="C26" s="17" t="inlineStr">
        <is>
          <t>تن</t>
        </is>
      </c>
      <c r="D26" s="33">
        <f>'ENG_OPS'!$D$20*(1-'IN_TECH'!$D$40)</f>
        <v/>
      </c>
      <c r="E26" s="33">
        <f>'ENG_OPS'!$E$20*(1-'IN_TECH'!$D$40)</f>
        <v/>
      </c>
      <c r="F26" s="33">
        <f>'ENG_OPS'!$F$20*(1-'IN_TECH'!$D$40)</f>
        <v/>
      </c>
      <c r="G26" s="33">
        <f>'ENG_OPS'!$G$20*(1-'IN_TECH'!$D$40)</f>
        <v/>
      </c>
      <c r="H26" s="33">
        <f>'ENG_OPS'!$H$20*(1-'IN_TECH'!$D$40)</f>
        <v/>
      </c>
      <c r="I26" s="33">
        <f>'ENG_OPS'!$I$20*(1-'IN_TECH'!$D$40)</f>
        <v/>
      </c>
      <c r="J26" s="33">
        <f>'ENG_OPS'!$J$20*(1-'IN_TECH'!$D$40)</f>
        <v/>
      </c>
      <c r="K26" s="33">
        <f>'ENG_OPS'!$K$20*(1-'IN_TECH'!$D$40)</f>
        <v/>
      </c>
      <c r="L26" s="33">
        <f>'ENG_OPS'!$L$20*(1-'IN_TECH'!$D$40)</f>
        <v/>
      </c>
      <c r="M26" s="33">
        <f>'ENG_OPS'!$M$20*(1-'IN_TECH'!$D$40)</f>
        <v/>
      </c>
      <c r="N26" s="33">
        <f>'ENG_OPS'!$N$20*(1-'IN_TECH'!$D$40)</f>
        <v/>
      </c>
      <c r="O26" s="33">
        <f>'ENG_OPS'!$O$20*(1-'IN_TECH'!$D$40)</f>
        <v/>
      </c>
      <c r="P26" s="33">
        <f>'ENG_OPS'!$P$20*(1-'IN_TECH'!$D$40)</f>
        <v/>
      </c>
    </row>
    <row r="27">
      <c r="A27" s="15" t="inlineStr">
        <is>
          <t>خروجی ایستگاه ۲ (پس از خردایش)</t>
        </is>
      </c>
      <c r="B27" s="16" t="inlineStr">
        <is>
          <t>OPS.s2out</t>
        </is>
      </c>
      <c r="C27" s="17" t="inlineStr">
        <is>
          <t>تن</t>
        </is>
      </c>
      <c r="D27" s="33">
        <f>'ENG_OPS'!$D$26*(1-'IN_TECH'!$E$40)</f>
        <v/>
      </c>
      <c r="E27" s="33">
        <f>'ENG_OPS'!$E$26*(1-'IN_TECH'!$E$40)</f>
        <v/>
      </c>
      <c r="F27" s="33">
        <f>'ENG_OPS'!$F$26*(1-'IN_TECH'!$E$40)</f>
        <v/>
      </c>
      <c r="G27" s="33">
        <f>'ENG_OPS'!$G$26*(1-'IN_TECH'!$E$40)</f>
        <v/>
      </c>
      <c r="H27" s="33">
        <f>'ENG_OPS'!$H$26*(1-'IN_TECH'!$E$40)</f>
        <v/>
      </c>
      <c r="I27" s="33">
        <f>'ENG_OPS'!$I$26*(1-'IN_TECH'!$E$40)</f>
        <v/>
      </c>
      <c r="J27" s="33">
        <f>'ENG_OPS'!$J$26*(1-'IN_TECH'!$E$40)</f>
        <v/>
      </c>
      <c r="K27" s="33">
        <f>'ENG_OPS'!$K$26*(1-'IN_TECH'!$E$40)</f>
        <v/>
      </c>
      <c r="L27" s="33">
        <f>'ENG_OPS'!$L$26*(1-'IN_TECH'!$E$40)</f>
        <v/>
      </c>
      <c r="M27" s="33">
        <f>'ENG_OPS'!$M$26*(1-'IN_TECH'!$E$40)</f>
        <v/>
      </c>
      <c r="N27" s="33">
        <f>'ENG_OPS'!$N$26*(1-'IN_TECH'!$E$40)</f>
        <v/>
      </c>
      <c r="O27" s="33">
        <f>'ENG_OPS'!$O$26*(1-'IN_TECH'!$E$40)</f>
        <v/>
      </c>
      <c r="P27" s="33">
        <f>'ENG_OPS'!$P$26*(1-'IN_TECH'!$E$40)</f>
        <v/>
      </c>
    </row>
    <row r="28">
      <c r="A28" s="15" t="inlineStr">
        <is>
          <t>خمیر سرب (جریان تفکیک‌شده)</t>
        </is>
      </c>
      <c r="B28" s="16" t="inlineStr">
        <is>
          <t>OPS.paste</t>
        </is>
      </c>
      <c r="C28" s="17" t="inlineStr">
        <is>
          <t>تن</t>
        </is>
      </c>
      <c r="D28" s="33">
        <f>'ENG_OPS'!$D$27*'IN_TECH'!$D$27</f>
        <v/>
      </c>
      <c r="E28" s="33">
        <f>'ENG_OPS'!$E$27*'IN_TECH'!$D$27</f>
        <v/>
      </c>
      <c r="F28" s="33">
        <f>'ENG_OPS'!$F$27*'IN_TECH'!$D$27</f>
        <v/>
      </c>
      <c r="G28" s="33">
        <f>'ENG_OPS'!$G$27*'IN_TECH'!$D$27</f>
        <v/>
      </c>
      <c r="H28" s="33">
        <f>'ENG_OPS'!$H$27*'IN_TECH'!$D$27</f>
        <v/>
      </c>
      <c r="I28" s="33">
        <f>'ENG_OPS'!$I$27*'IN_TECH'!$D$27</f>
        <v/>
      </c>
      <c r="J28" s="33">
        <f>'ENG_OPS'!$J$27*'IN_TECH'!$D$27</f>
        <v/>
      </c>
      <c r="K28" s="33">
        <f>'ENG_OPS'!$K$27*'IN_TECH'!$D$27</f>
        <v/>
      </c>
      <c r="L28" s="33">
        <f>'ENG_OPS'!$L$27*'IN_TECH'!$D$27</f>
        <v/>
      </c>
      <c r="M28" s="33">
        <f>'ENG_OPS'!$M$27*'IN_TECH'!$D$27</f>
        <v/>
      </c>
      <c r="N28" s="33">
        <f>'ENG_OPS'!$N$27*'IN_TECH'!$D$27</f>
        <v/>
      </c>
      <c r="O28" s="33">
        <f>'ENG_OPS'!$O$27*'IN_TECH'!$D$27</f>
        <v/>
      </c>
      <c r="P28" s="33">
        <f>'ENG_OPS'!$P$27*'IN_TECH'!$D$27</f>
        <v/>
      </c>
    </row>
    <row r="29">
      <c r="A29" s="15" t="inlineStr">
        <is>
          <t>قطعات فلزی سربی (جریان تفکیک‌شده)</t>
        </is>
      </c>
      <c r="B29" s="16" t="inlineStr">
        <is>
          <t>OPS.metal</t>
        </is>
      </c>
      <c r="C29" s="17" t="inlineStr">
        <is>
          <t>تن</t>
        </is>
      </c>
      <c r="D29" s="33">
        <f>'ENG_OPS'!$D$27*'IN_TECH'!$D$28</f>
        <v/>
      </c>
      <c r="E29" s="33">
        <f>'ENG_OPS'!$E$27*'IN_TECH'!$D$28</f>
        <v/>
      </c>
      <c r="F29" s="33">
        <f>'ENG_OPS'!$F$27*'IN_TECH'!$D$28</f>
        <v/>
      </c>
      <c r="G29" s="33">
        <f>'ENG_OPS'!$G$27*'IN_TECH'!$D$28</f>
        <v/>
      </c>
      <c r="H29" s="33">
        <f>'ENG_OPS'!$H$27*'IN_TECH'!$D$28</f>
        <v/>
      </c>
      <c r="I29" s="33">
        <f>'ENG_OPS'!$I$27*'IN_TECH'!$D$28</f>
        <v/>
      </c>
      <c r="J29" s="33">
        <f>'ENG_OPS'!$J$27*'IN_TECH'!$D$28</f>
        <v/>
      </c>
      <c r="K29" s="33">
        <f>'ENG_OPS'!$K$27*'IN_TECH'!$D$28</f>
        <v/>
      </c>
      <c r="L29" s="33">
        <f>'ENG_OPS'!$L$27*'IN_TECH'!$D$28</f>
        <v/>
      </c>
      <c r="M29" s="33">
        <f>'ENG_OPS'!$M$27*'IN_TECH'!$D$28</f>
        <v/>
      </c>
      <c r="N29" s="33">
        <f>'ENG_OPS'!$N$27*'IN_TECH'!$D$28</f>
        <v/>
      </c>
      <c r="O29" s="33">
        <f>'ENG_OPS'!$O$27*'IN_TECH'!$D$28</f>
        <v/>
      </c>
      <c r="P29" s="33">
        <f>'ENG_OPS'!$P$27*'IN_TECH'!$D$28</f>
        <v/>
      </c>
    </row>
    <row r="30">
      <c r="A30" s="15" t="inlineStr">
        <is>
          <t>پلی‌پروپیلن (جریان تفکیک‌شده)</t>
        </is>
      </c>
      <c r="B30" s="16" t="inlineStr">
        <is>
          <t>OPS.pp</t>
        </is>
      </c>
      <c r="C30" s="17" t="inlineStr">
        <is>
          <t>تن</t>
        </is>
      </c>
      <c r="D30" s="33">
        <f>'ENG_OPS'!$D$27*'IN_TECH'!$D$29</f>
        <v/>
      </c>
      <c r="E30" s="33">
        <f>'ENG_OPS'!$E$27*'IN_TECH'!$D$29</f>
        <v/>
      </c>
      <c r="F30" s="33">
        <f>'ENG_OPS'!$F$27*'IN_TECH'!$D$29</f>
        <v/>
      </c>
      <c r="G30" s="33">
        <f>'ENG_OPS'!$G$27*'IN_TECH'!$D$29</f>
        <v/>
      </c>
      <c r="H30" s="33">
        <f>'ENG_OPS'!$H$27*'IN_TECH'!$D$29</f>
        <v/>
      </c>
      <c r="I30" s="33">
        <f>'ENG_OPS'!$I$27*'IN_TECH'!$D$29</f>
        <v/>
      </c>
      <c r="J30" s="33">
        <f>'ENG_OPS'!$J$27*'IN_TECH'!$D$29</f>
        <v/>
      </c>
      <c r="K30" s="33">
        <f>'ENG_OPS'!$K$27*'IN_TECH'!$D$29</f>
        <v/>
      </c>
      <c r="L30" s="33">
        <f>'ENG_OPS'!$L$27*'IN_TECH'!$D$29</f>
        <v/>
      </c>
      <c r="M30" s="33">
        <f>'ENG_OPS'!$M$27*'IN_TECH'!$D$29</f>
        <v/>
      </c>
      <c r="N30" s="33">
        <f>'ENG_OPS'!$N$27*'IN_TECH'!$D$29</f>
        <v/>
      </c>
      <c r="O30" s="33">
        <f>'ENG_OPS'!$O$27*'IN_TECH'!$D$29</f>
        <v/>
      </c>
      <c r="P30" s="33">
        <f>'ENG_OPS'!$P$27*'IN_TECH'!$D$29</f>
        <v/>
      </c>
    </row>
    <row r="31">
      <c r="A31" s="15" t="inlineStr">
        <is>
          <t>جداکننده و سایر پسماند (جریان تفکیک‌شده)</t>
        </is>
      </c>
      <c r="B31" s="16" t="inlineStr">
        <is>
          <t>OPS.res</t>
        </is>
      </c>
      <c r="C31" s="17" t="inlineStr">
        <is>
          <t>تن</t>
        </is>
      </c>
      <c r="D31" s="33">
        <f>'ENG_OPS'!$D$27*'IN_TECH'!$D$31</f>
        <v/>
      </c>
      <c r="E31" s="33">
        <f>'ENG_OPS'!$E$27*'IN_TECH'!$D$31</f>
        <v/>
      </c>
      <c r="F31" s="33">
        <f>'ENG_OPS'!$F$27*'IN_TECH'!$D$31</f>
        <v/>
      </c>
      <c r="G31" s="33">
        <f>'ENG_OPS'!$G$27*'IN_TECH'!$D$31</f>
        <v/>
      </c>
      <c r="H31" s="33">
        <f>'ENG_OPS'!$H$27*'IN_TECH'!$D$31</f>
        <v/>
      </c>
      <c r="I31" s="33">
        <f>'ENG_OPS'!$I$27*'IN_TECH'!$D$31</f>
        <v/>
      </c>
      <c r="J31" s="33">
        <f>'ENG_OPS'!$J$27*'IN_TECH'!$D$31</f>
        <v/>
      </c>
      <c r="K31" s="33">
        <f>'ENG_OPS'!$K$27*'IN_TECH'!$D$31</f>
        <v/>
      </c>
      <c r="L31" s="33">
        <f>'ENG_OPS'!$L$27*'IN_TECH'!$D$31</f>
        <v/>
      </c>
      <c r="M31" s="33">
        <f>'ENG_OPS'!$M$27*'IN_TECH'!$D$31</f>
        <v/>
      </c>
      <c r="N31" s="33">
        <f>'ENG_OPS'!$N$27*'IN_TECH'!$D$31</f>
        <v/>
      </c>
      <c r="O31" s="33">
        <f>'ENG_OPS'!$O$27*'IN_TECH'!$D$31</f>
        <v/>
      </c>
      <c r="P31" s="33">
        <f>'ENG_OPS'!$P$27*'IN_TECH'!$D$31</f>
        <v/>
      </c>
    </row>
    <row r="32">
      <c r="A32" s="15" t="inlineStr">
        <is>
          <t>الکترولیت تخلیه‌شده</t>
        </is>
      </c>
      <c r="B32" s="16" t="inlineStr">
        <is>
          <t>OPS.elec</t>
        </is>
      </c>
      <c r="C32" s="17" t="inlineStr">
        <is>
          <t>تن</t>
        </is>
      </c>
      <c r="D32" s="33">
        <f>'ENG_OPS'!$D$20*'IN_TECH'!$D$30</f>
        <v/>
      </c>
      <c r="E32" s="33">
        <f>'ENG_OPS'!$E$20*'IN_TECH'!$D$30</f>
        <v/>
      </c>
      <c r="F32" s="33">
        <f>'ENG_OPS'!$F$20*'IN_TECH'!$D$30</f>
        <v/>
      </c>
      <c r="G32" s="33">
        <f>'ENG_OPS'!$G$20*'IN_TECH'!$D$30</f>
        <v/>
      </c>
      <c r="H32" s="33">
        <f>'ENG_OPS'!$H$20*'IN_TECH'!$D$30</f>
        <v/>
      </c>
      <c r="I32" s="33">
        <f>'ENG_OPS'!$I$20*'IN_TECH'!$D$30</f>
        <v/>
      </c>
      <c r="J32" s="33">
        <f>'ENG_OPS'!$J$20*'IN_TECH'!$D$30</f>
        <v/>
      </c>
      <c r="K32" s="33">
        <f>'ENG_OPS'!$K$20*'IN_TECH'!$D$30</f>
        <v/>
      </c>
      <c r="L32" s="33">
        <f>'ENG_OPS'!$L$20*'IN_TECH'!$D$30</f>
        <v/>
      </c>
      <c r="M32" s="33">
        <f>'ENG_OPS'!$M$20*'IN_TECH'!$D$30</f>
        <v/>
      </c>
      <c r="N32" s="33">
        <f>'ENG_OPS'!$N$20*'IN_TECH'!$D$30</f>
        <v/>
      </c>
      <c r="O32" s="33">
        <f>'ENG_OPS'!$O$20*'IN_TECH'!$D$30</f>
        <v/>
      </c>
      <c r="P32" s="33">
        <f>'ENG_OPS'!$P$20*'IN_TECH'!$D$30</f>
        <v/>
      </c>
    </row>
    <row r="33">
      <c r="A33" s="15" t="inlineStr">
        <is>
          <t>خمیر سولفات‌زدایی‌شده</t>
        </is>
      </c>
      <c r="B33" s="16" t="inlineStr">
        <is>
          <t>OPS.paste_ds</t>
        </is>
      </c>
      <c r="C33" s="17" t="inlineStr">
        <is>
          <t>تن</t>
        </is>
      </c>
      <c r="D33" s="33">
        <f>'ENG_OPS'!$D$28*'IN_TECH'!$D$18*(1-'IN_TECH'!$F$40)</f>
        <v/>
      </c>
      <c r="E33" s="33">
        <f>'ENG_OPS'!$E$28*'IN_TECH'!$D$18*(1-'IN_TECH'!$F$40)</f>
        <v/>
      </c>
      <c r="F33" s="33">
        <f>'ENG_OPS'!$F$28*'IN_TECH'!$D$18*(1-'IN_TECH'!$F$40)</f>
        <v/>
      </c>
      <c r="G33" s="33">
        <f>'ENG_OPS'!$G$28*'IN_TECH'!$D$18*(1-'IN_TECH'!$F$40)</f>
        <v/>
      </c>
      <c r="H33" s="33">
        <f>'ENG_OPS'!$H$28*'IN_TECH'!$D$18*(1-'IN_TECH'!$F$40)</f>
        <v/>
      </c>
      <c r="I33" s="33">
        <f>'ENG_OPS'!$I$28*'IN_TECH'!$D$18*(1-'IN_TECH'!$F$40)</f>
        <v/>
      </c>
      <c r="J33" s="33">
        <f>'ENG_OPS'!$J$28*'IN_TECH'!$D$18*(1-'IN_TECH'!$F$40)</f>
        <v/>
      </c>
      <c r="K33" s="33">
        <f>'ENG_OPS'!$K$28*'IN_TECH'!$D$18*(1-'IN_TECH'!$F$40)</f>
        <v/>
      </c>
      <c r="L33" s="33">
        <f>'ENG_OPS'!$L$28*'IN_TECH'!$D$18*(1-'IN_TECH'!$F$40)</f>
        <v/>
      </c>
      <c r="M33" s="33">
        <f>'ENG_OPS'!$M$28*'IN_TECH'!$D$18*(1-'IN_TECH'!$F$40)</f>
        <v/>
      </c>
      <c r="N33" s="33">
        <f>'ENG_OPS'!$N$28*'IN_TECH'!$D$18*(1-'IN_TECH'!$F$40)</f>
        <v/>
      </c>
      <c r="O33" s="33">
        <f>'ENG_OPS'!$O$28*'IN_TECH'!$D$18*(1-'IN_TECH'!$F$40)</f>
        <v/>
      </c>
      <c r="P33" s="33">
        <f>'ENG_OPS'!$P$28*'IN_TECH'!$D$18*(1-'IN_TECH'!$F$40)</f>
        <v/>
      </c>
    </row>
    <row r="34">
      <c r="A34" s="15" t="inlineStr">
        <is>
          <t>سرب ورودی به کوره</t>
        </is>
      </c>
      <c r="B34" s="16" t="inlineStr">
        <is>
          <t>OPS.furnace_pb</t>
        </is>
      </c>
      <c r="C34" s="17" t="inlineStr">
        <is>
          <t>تن</t>
        </is>
      </c>
      <c r="D34" s="33">
        <f>'ENG_OPS'!$D$33*'IN_TECH'!$D$16+'ENG_OPS'!$D$29*'IN_TECH'!$D$17</f>
        <v/>
      </c>
      <c r="E34" s="33">
        <f>'ENG_OPS'!$E$33*'IN_TECH'!$D$16+'ENG_OPS'!$E$29*'IN_TECH'!$D$17</f>
        <v/>
      </c>
      <c r="F34" s="33">
        <f>'ENG_OPS'!$F$33*'IN_TECH'!$D$16+'ENG_OPS'!$F$29*'IN_TECH'!$D$17</f>
        <v/>
      </c>
      <c r="G34" s="33">
        <f>'ENG_OPS'!$G$33*'IN_TECH'!$D$16+'ENG_OPS'!$G$29*'IN_TECH'!$D$17</f>
        <v/>
      </c>
      <c r="H34" s="33">
        <f>'ENG_OPS'!$H$33*'IN_TECH'!$D$16+'ENG_OPS'!$H$29*'IN_TECH'!$D$17</f>
        <v/>
      </c>
      <c r="I34" s="33">
        <f>'ENG_OPS'!$I$33*'IN_TECH'!$D$16+'ENG_OPS'!$I$29*'IN_TECH'!$D$17</f>
        <v/>
      </c>
      <c r="J34" s="33">
        <f>'ENG_OPS'!$J$33*'IN_TECH'!$D$16+'ENG_OPS'!$J$29*'IN_TECH'!$D$17</f>
        <v/>
      </c>
      <c r="K34" s="33">
        <f>'ENG_OPS'!$K$33*'IN_TECH'!$D$16+'ENG_OPS'!$K$29*'IN_TECH'!$D$17</f>
        <v/>
      </c>
      <c r="L34" s="33">
        <f>'ENG_OPS'!$L$33*'IN_TECH'!$D$16+'ENG_OPS'!$L$29*'IN_TECH'!$D$17</f>
        <v/>
      </c>
      <c r="M34" s="33">
        <f>'ENG_OPS'!$M$33*'IN_TECH'!$D$16+'ENG_OPS'!$M$29*'IN_TECH'!$D$17</f>
        <v/>
      </c>
      <c r="N34" s="33">
        <f>'ENG_OPS'!$N$33*'IN_TECH'!$D$16+'ENG_OPS'!$N$29*'IN_TECH'!$D$17</f>
        <v/>
      </c>
      <c r="O34" s="33">
        <f>'ENG_OPS'!$O$33*'IN_TECH'!$D$16+'ENG_OPS'!$O$29*'IN_TECH'!$D$17</f>
        <v/>
      </c>
      <c r="P34" s="33">
        <f>'ENG_OPS'!$P$33*'IN_TECH'!$D$16+'ENG_OPS'!$P$29*'IN_TECH'!$D$17</f>
        <v/>
      </c>
    </row>
    <row r="35">
      <c r="A35" s="15" t="inlineStr">
        <is>
          <t>سرب خام خروجی کوره</t>
        </is>
      </c>
      <c r="B35" s="16" t="inlineStr">
        <is>
          <t>OPS.crude</t>
        </is>
      </c>
      <c r="C35" s="17" t="inlineStr">
        <is>
          <t>تن</t>
        </is>
      </c>
      <c r="D35" s="33">
        <f>'ENG_OPS'!$D$34*'IN_TECH'!$D$19*(1-'IN_TECH'!$G$40)</f>
        <v/>
      </c>
      <c r="E35" s="33">
        <f>'ENG_OPS'!$E$34*'IN_TECH'!$D$19*(1-'IN_TECH'!$G$40)</f>
        <v/>
      </c>
      <c r="F35" s="33">
        <f>'ENG_OPS'!$F$34*'IN_TECH'!$D$19*(1-'IN_TECH'!$G$40)</f>
        <v/>
      </c>
      <c r="G35" s="33">
        <f>'ENG_OPS'!$G$34*'IN_TECH'!$D$19*(1-'IN_TECH'!$G$40)</f>
        <v/>
      </c>
      <c r="H35" s="33">
        <f>'ENG_OPS'!$H$34*'IN_TECH'!$D$19*(1-'IN_TECH'!$G$40)</f>
        <v/>
      </c>
      <c r="I35" s="33">
        <f>'ENG_OPS'!$I$34*'IN_TECH'!$D$19*(1-'IN_TECH'!$G$40)</f>
        <v/>
      </c>
      <c r="J35" s="33">
        <f>'ENG_OPS'!$J$34*'IN_TECH'!$D$19*(1-'IN_TECH'!$G$40)</f>
        <v/>
      </c>
      <c r="K35" s="33">
        <f>'ENG_OPS'!$K$34*'IN_TECH'!$D$19*(1-'IN_TECH'!$G$40)</f>
        <v/>
      </c>
      <c r="L35" s="33">
        <f>'ENG_OPS'!$L$34*'IN_TECH'!$D$19*(1-'IN_TECH'!$G$40)</f>
        <v/>
      </c>
      <c r="M35" s="33">
        <f>'ENG_OPS'!$M$34*'IN_TECH'!$D$19*(1-'IN_TECH'!$G$40)</f>
        <v/>
      </c>
      <c r="N35" s="33">
        <f>'ENG_OPS'!$N$34*'IN_TECH'!$D$19*(1-'IN_TECH'!$G$40)</f>
        <v/>
      </c>
      <c r="O35" s="33">
        <f>'ENG_OPS'!$O$34*'IN_TECH'!$D$19*(1-'IN_TECH'!$G$40)</f>
        <v/>
      </c>
      <c r="P35" s="33">
        <f>'ENG_OPS'!$P$34*'IN_TECH'!$D$19*(1-'IN_TECH'!$G$40)</f>
        <v/>
      </c>
    </row>
    <row r="36">
      <c r="A36" s="15" t="inlineStr">
        <is>
          <t>سرب تصفیه‌شده</t>
        </is>
      </c>
      <c r="B36" s="16" t="inlineStr">
        <is>
          <t>OPS.refined</t>
        </is>
      </c>
      <c r="C36" s="17" t="inlineStr">
        <is>
          <t>تن</t>
        </is>
      </c>
      <c r="D36" s="33">
        <f>'ENG_OPS'!$D$35*'IN_TECH'!$D$20*(1-'IN_TECH'!$H$40)</f>
        <v/>
      </c>
      <c r="E36" s="33">
        <f>'ENG_OPS'!$E$35*'IN_TECH'!$D$20*(1-'IN_TECH'!$H$40)</f>
        <v/>
      </c>
      <c r="F36" s="33">
        <f>'ENG_OPS'!$F$35*'IN_TECH'!$D$20*(1-'IN_TECH'!$H$40)</f>
        <v/>
      </c>
      <c r="G36" s="33">
        <f>'ENG_OPS'!$G$35*'IN_TECH'!$D$20*(1-'IN_TECH'!$H$40)</f>
        <v/>
      </c>
      <c r="H36" s="33">
        <f>'ENG_OPS'!$H$35*'IN_TECH'!$D$20*(1-'IN_TECH'!$H$40)</f>
        <v/>
      </c>
      <c r="I36" s="33">
        <f>'ENG_OPS'!$I$35*'IN_TECH'!$D$20*(1-'IN_TECH'!$H$40)</f>
        <v/>
      </c>
      <c r="J36" s="33">
        <f>'ENG_OPS'!$J$35*'IN_TECH'!$D$20*(1-'IN_TECH'!$H$40)</f>
        <v/>
      </c>
      <c r="K36" s="33">
        <f>'ENG_OPS'!$K$35*'IN_TECH'!$D$20*(1-'IN_TECH'!$H$40)</f>
        <v/>
      </c>
      <c r="L36" s="33">
        <f>'ENG_OPS'!$L$35*'IN_TECH'!$D$20*(1-'IN_TECH'!$H$40)</f>
        <v/>
      </c>
      <c r="M36" s="33">
        <f>'ENG_OPS'!$M$35*'IN_TECH'!$D$20*(1-'IN_TECH'!$H$40)</f>
        <v/>
      </c>
      <c r="N36" s="33">
        <f>'ENG_OPS'!$N$35*'IN_TECH'!$D$20*(1-'IN_TECH'!$H$40)</f>
        <v/>
      </c>
      <c r="O36" s="33">
        <f>'ENG_OPS'!$O$35*'IN_TECH'!$D$20*(1-'IN_TECH'!$H$40)</f>
        <v/>
      </c>
      <c r="P36" s="33">
        <f>'ENG_OPS'!$P$35*'IN_TECH'!$D$20*(1-'IN_TECH'!$H$40)</f>
        <v/>
      </c>
    </row>
    <row r="37"/>
    <row r="38">
      <c r="A38" s="4" t="inlineStr">
        <is>
          <t>ج) محصولات قابل فروش</t>
        </is>
      </c>
      <c r="B38" s="5" t="n"/>
      <c r="C38" s="5" t="n"/>
      <c r="D38" s="5" t="n"/>
      <c r="E38" s="5" t="n"/>
      <c r="F38" s="5" t="n"/>
      <c r="G38" s="5" t="n"/>
      <c r="H38" s="5" t="n"/>
      <c r="I38" s="5" t="n"/>
      <c r="J38" s="5" t="n"/>
      <c r="K38" s="5" t="n"/>
      <c r="L38" s="5" t="n"/>
      <c r="M38" s="5" t="n"/>
      <c r="N38" s="5" t="n"/>
      <c r="O38" s="5" t="n"/>
      <c r="P38" s="5" t="n"/>
      <c r="Q38" s="5" t="n"/>
    </row>
    <row r="39">
      <c r="A39" s="15" t="inlineStr">
        <is>
          <t>شمش سرب خالص (تولید)</t>
        </is>
      </c>
      <c r="B39" s="16" t="inlineStr">
        <is>
          <t>OPS.soft</t>
        </is>
      </c>
      <c r="C39" s="17" t="inlineStr">
        <is>
          <t>تن</t>
        </is>
      </c>
      <c r="D39" s="33">
        <f>'ENG_OPS'!$D$36*'IN_TECH'!$D$23*(1-'IN_TECH'!$I$40)</f>
        <v/>
      </c>
      <c r="E39" s="33">
        <f>'ENG_OPS'!$E$36*'IN_TECH'!$D$23*(1-'IN_TECH'!$I$40)</f>
        <v/>
      </c>
      <c r="F39" s="33">
        <f>'ENG_OPS'!$F$36*'IN_TECH'!$D$23*(1-'IN_TECH'!$I$40)</f>
        <v/>
      </c>
      <c r="G39" s="33">
        <f>'ENG_OPS'!$G$36*'IN_TECH'!$D$23*(1-'IN_TECH'!$I$40)</f>
        <v/>
      </c>
      <c r="H39" s="33">
        <f>'ENG_OPS'!$H$36*'IN_TECH'!$D$23*(1-'IN_TECH'!$I$40)</f>
        <v/>
      </c>
      <c r="I39" s="33">
        <f>'ENG_OPS'!$I$36*'IN_TECH'!$D$23*(1-'IN_TECH'!$I$40)</f>
        <v/>
      </c>
      <c r="J39" s="33">
        <f>'ENG_OPS'!$J$36*'IN_TECH'!$D$23*(1-'IN_TECH'!$I$40)</f>
        <v/>
      </c>
      <c r="K39" s="33">
        <f>'ENG_OPS'!$K$36*'IN_TECH'!$D$23*(1-'IN_TECH'!$I$40)</f>
        <v/>
      </c>
      <c r="L39" s="33">
        <f>'ENG_OPS'!$L$36*'IN_TECH'!$D$23*(1-'IN_TECH'!$I$40)</f>
        <v/>
      </c>
      <c r="M39" s="33">
        <f>'ENG_OPS'!$M$36*'IN_TECH'!$D$23*(1-'IN_TECH'!$I$40)</f>
        <v/>
      </c>
      <c r="N39" s="33">
        <f>'ENG_OPS'!$N$36*'IN_TECH'!$D$23*(1-'IN_TECH'!$I$40)</f>
        <v/>
      </c>
      <c r="O39" s="33">
        <f>'ENG_OPS'!$O$36*'IN_TECH'!$D$23*(1-'IN_TECH'!$I$40)</f>
        <v/>
      </c>
      <c r="P39" s="33">
        <f>'ENG_OPS'!$P$36*'IN_TECH'!$D$23*(1-'IN_TECH'!$I$40)</f>
        <v/>
      </c>
    </row>
    <row r="40">
      <c r="A40" s="15" t="inlineStr">
        <is>
          <t>شمش آلیاژ سرب (تولید)</t>
        </is>
      </c>
      <c r="B40" s="16" t="inlineStr">
        <is>
          <t>OPS.alloy</t>
        </is>
      </c>
      <c r="C40" s="17" t="inlineStr">
        <is>
          <t>تن</t>
        </is>
      </c>
      <c r="D40" s="33">
        <f>'ENG_OPS'!$D$36*'IN_TECH'!$D$24*(1-'IN_TECH'!$I$40)</f>
        <v/>
      </c>
      <c r="E40" s="33">
        <f>'ENG_OPS'!$E$36*'IN_TECH'!$D$24*(1-'IN_TECH'!$I$40)</f>
        <v/>
      </c>
      <c r="F40" s="33">
        <f>'ENG_OPS'!$F$36*'IN_TECH'!$D$24*(1-'IN_TECH'!$I$40)</f>
        <v/>
      </c>
      <c r="G40" s="33">
        <f>'ENG_OPS'!$G$36*'IN_TECH'!$D$24*(1-'IN_TECH'!$I$40)</f>
        <v/>
      </c>
      <c r="H40" s="33">
        <f>'ENG_OPS'!$H$36*'IN_TECH'!$D$24*(1-'IN_TECH'!$I$40)</f>
        <v/>
      </c>
      <c r="I40" s="33">
        <f>'ENG_OPS'!$I$36*'IN_TECH'!$D$24*(1-'IN_TECH'!$I$40)</f>
        <v/>
      </c>
      <c r="J40" s="33">
        <f>'ENG_OPS'!$J$36*'IN_TECH'!$D$24*(1-'IN_TECH'!$I$40)</f>
        <v/>
      </c>
      <c r="K40" s="33">
        <f>'ENG_OPS'!$K$36*'IN_TECH'!$D$24*(1-'IN_TECH'!$I$40)</f>
        <v/>
      </c>
      <c r="L40" s="33">
        <f>'ENG_OPS'!$L$36*'IN_TECH'!$D$24*(1-'IN_TECH'!$I$40)</f>
        <v/>
      </c>
      <c r="M40" s="33">
        <f>'ENG_OPS'!$M$36*'IN_TECH'!$D$24*(1-'IN_TECH'!$I$40)</f>
        <v/>
      </c>
      <c r="N40" s="33">
        <f>'ENG_OPS'!$N$36*'IN_TECH'!$D$24*(1-'IN_TECH'!$I$40)</f>
        <v/>
      </c>
      <c r="O40" s="33">
        <f>'ENG_OPS'!$O$36*'IN_TECH'!$D$24*(1-'IN_TECH'!$I$40)</f>
        <v/>
      </c>
      <c r="P40" s="33">
        <f>'ENG_OPS'!$P$36*'IN_TECH'!$D$24*(1-'IN_TECH'!$I$40)</f>
        <v/>
      </c>
    </row>
    <row r="41">
      <c r="A41" s="15" t="inlineStr">
        <is>
          <t>گرانول پلی‌پروپیلن (تولید)</t>
        </is>
      </c>
      <c r="B41" s="16" t="inlineStr">
        <is>
          <t>OPS.ppg</t>
        </is>
      </c>
      <c r="C41" s="17" t="inlineStr">
        <is>
          <t>تن</t>
        </is>
      </c>
      <c r="D41" s="33">
        <f>'ENG_OPS'!$D$30*'IN_TECH'!$D$21*(1-'IN_TECH'!$I$40)</f>
        <v/>
      </c>
      <c r="E41" s="33">
        <f>'ENG_OPS'!$E$30*'IN_TECH'!$D$21*(1-'IN_TECH'!$I$40)</f>
        <v/>
      </c>
      <c r="F41" s="33">
        <f>'ENG_OPS'!$F$30*'IN_TECH'!$D$21*(1-'IN_TECH'!$I$40)</f>
        <v/>
      </c>
      <c r="G41" s="33">
        <f>'ENG_OPS'!$G$30*'IN_TECH'!$D$21*(1-'IN_TECH'!$I$40)</f>
        <v/>
      </c>
      <c r="H41" s="33">
        <f>'ENG_OPS'!$H$30*'IN_TECH'!$D$21*(1-'IN_TECH'!$I$40)</f>
        <v/>
      </c>
      <c r="I41" s="33">
        <f>'ENG_OPS'!$I$30*'IN_TECH'!$D$21*(1-'IN_TECH'!$I$40)</f>
        <v/>
      </c>
      <c r="J41" s="33">
        <f>'ENG_OPS'!$J$30*'IN_TECH'!$D$21*(1-'IN_TECH'!$I$40)</f>
        <v/>
      </c>
      <c r="K41" s="33">
        <f>'ENG_OPS'!$K$30*'IN_TECH'!$D$21*(1-'IN_TECH'!$I$40)</f>
        <v/>
      </c>
      <c r="L41" s="33">
        <f>'ENG_OPS'!$L$30*'IN_TECH'!$D$21*(1-'IN_TECH'!$I$40)</f>
        <v/>
      </c>
      <c r="M41" s="33">
        <f>'ENG_OPS'!$M$30*'IN_TECH'!$D$21*(1-'IN_TECH'!$I$40)</f>
        <v/>
      </c>
      <c r="N41" s="33">
        <f>'ENG_OPS'!$N$30*'IN_TECH'!$D$21*(1-'IN_TECH'!$I$40)</f>
        <v/>
      </c>
      <c r="O41" s="33">
        <f>'ENG_OPS'!$O$30*'IN_TECH'!$D$21*(1-'IN_TECH'!$I$40)</f>
        <v/>
      </c>
      <c r="P41" s="33">
        <f>'ENG_OPS'!$P$30*'IN_TECH'!$D$21*(1-'IN_TECH'!$I$40)</f>
        <v/>
      </c>
    </row>
    <row r="42">
      <c r="A42" s="15" t="inlineStr">
        <is>
          <t>سولفات سدیم (تولید)</t>
        </is>
      </c>
      <c r="B42" s="16" t="inlineStr">
        <is>
          <t>OPS.na2so4</t>
        </is>
      </c>
      <c r="C42" s="17" t="inlineStr">
        <is>
          <t>تن</t>
        </is>
      </c>
      <c r="D42" s="33">
        <f>'ENG_OPS'!$D$20*'IN_TECH'!$D$22*(1-'IN_TECH'!$I$40)</f>
        <v/>
      </c>
      <c r="E42" s="33">
        <f>'ENG_OPS'!$E$20*'IN_TECH'!$D$22*(1-'IN_TECH'!$I$40)</f>
        <v/>
      </c>
      <c r="F42" s="33">
        <f>'ENG_OPS'!$F$20*'IN_TECH'!$D$22*(1-'IN_TECH'!$I$40)</f>
        <v/>
      </c>
      <c r="G42" s="33">
        <f>'ENG_OPS'!$G$20*'IN_TECH'!$D$22*(1-'IN_TECH'!$I$40)</f>
        <v/>
      </c>
      <c r="H42" s="33">
        <f>'ENG_OPS'!$H$20*'IN_TECH'!$D$22*(1-'IN_TECH'!$I$40)</f>
        <v/>
      </c>
      <c r="I42" s="33">
        <f>'ENG_OPS'!$I$20*'IN_TECH'!$D$22*(1-'IN_TECH'!$I$40)</f>
        <v/>
      </c>
      <c r="J42" s="33">
        <f>'ENG_OPS'!$J$20*'IN_TECH'!$D$22*(1-'IN_TECH'!$I$40)</f>
        <v/>
      </c>
      <c r="K42" s="33">
        <f>'ENG_OPS'!$K$20*'IN_TECH'!$D$22*(1-'IN_TECH'!$I$40)</f>
        <v/>
      </c>
      <c r="L42" s="33">
        <f>'ENG_OPS'!$L$20*'IN_TECH'!$D$22*(1-'IN_TECH'!$I$40)</f>
        <v/>
      </c>
      <c r="M42" s="33">
        <f>'ENG_OPS'!$M$20*'IN_TECH'!$D$22*(1-'IN_TECH'!$I$40)</f>
        <v/>
      </c>
      <c r="N42" s="33">
        <f>'ENG_OPS'!$N$20*'IN_TECH'!$D$22*(1-'IN_TECH'!$I$40)</f>
        <v/>
      </c>
      <c r="O42" s="33">
        <f>'ENG_OPS'!$O$20*'IN_TECH'!$D$22*(1-'IN_TECH'!$I$40)</f>
        <v/>
      </c>
      <c r="P42" s="33">
        <f>'ENG_OPS'!$P$20*'IN_TECH'!$D$22*(1-'IN_TECH'!$I$40)</f>
        <v/>
      </c>
    </row>
    <row r="43">
      <c r="A43" s="15" t="inlineStr">
        <is>
          <t>جمع محصولات تولیدی</t>
        </is>
      </c>
      <c r="B43" s="16" t="inlineStr">
        <is>
          <t>OPS.prod_total</t>
        </is>
      </c>
      <c r="C43" s="17" t="inlineStr">
        <is>
          <t>تن</t>
        </is>
      </c>
      <c r="D43" s="33">
        <f>'ENG_OPS'!$D$39+'ENG_OPS'!$D$40+'ENG_OPS'!$D$41+'ENG_OPS'!$D$42</f>
        <v/>
      </c>
      <c r="E43" s="33">
        <f>'ENG_OPS'!$E$39+'ENG_OPS'!$E$40+'ENG_OPS'!$E$41+'ENG_OPS'!$E$42</f>
        <v/>
      </c>
      <c r="F43" s="33">
        <f>'ENG_OPS'!$F$39+'ENG_OPS'!$F$40+'ENG_OPS'!$F$41+'ENG_OPS'!$F$42</f>
        <v/>
      </c>
      <c r="G43" s="33">
        <f>'ENG_OPS'!$G$39+'ENG_OPS'!$G$40+'ENG_OPS'!$G$41+'ENG_OPS'!$G$42</f>
        <v/>
      </c>
      <c r="H43" s="33">
        <f>'ENG_OPS'!$H$39+'ENG_OPS'!$H$40+'ENG_OPS'!$H$41+'ENG_OPS'!$H$42</f>
        <v/>
      </c>
      <c r="I43" s="33">
        <f>'ENG_OPS'!$I$39+'ENG_OPS'!$I$40+'ENG_OPS'!$I$41+'ENG_OPS'!$I$42</f>
        <v/>
      </c>
      <c r="J43" s="33">
        <f>'ENG_OPS'!$J$39+'ENG_OPS'!$J$40+'ENG_OPS'!$J$41+'ENG_OPS'!$J$42</f>
        <v/>
      </c>
      <c r="K43" s="33">
        <f>'ENG_OPS'!$K$39+'ENG_OPS'!$K$40+'ENG_OPS'!$K$41+'ENG_OPS'!$K$42</f>
        <v/>
      </c>
      <c r="L43" s="33">
        <f>'ENG_OPS'!$L$39+'ENG_OPS'!$L$40+'ENG_OPS'!$L$41+'ENG_OPS'!$L$42</f>
        <v/>
      </c>
      <c r="M43" s="33">
        <f>'ENG_OPS'!$M$39+'ENG_OPS'!$M$40+'ENG_OPS'!$M$41+'ENG_OPS'!$M$42</f>
        <v/>
      </c>
      <c r="N43" s="33">
        <f>'ENG_OPS'!$N$39+'ENG_OPS'!$N$40+'ENG_OPS'!$N$41+'ENG_OPS'!$N$42</f>
        <v/>
      </c>
      <c r="O43" s="33">
        <f>'ENG_OPS'!$O$39+'ENG_OPS'!$O$40+'ENG_OPS'!$O$41+'ENG_OPS'!$O$42</f>
        <v/>
      </c>
      <c r="P43" s="33">
        <f>'ENG_OPS'!$P$39+'ENG_OPS'!$P$40+'ENG_OPS'!$P$41+'ENG_OPS'!$P$42</f>
        <v/>
      </c>
    </row>
    <row r="44">
      <c r="A44" s="15" t="inlineStr">
        <is>
          <t>ضایعات و پسماند (کنترل تراز)</t>
        </is>
      </c>
      <c r="B44" s="16" t="inlineStr">
        <is>
          <t>OPS.waste</t>
        </is>
      </c>
      <c r="C44" s="17" t="inlineStr">
        <is>
          <t>تن</t>
        </is>
      </c>
      <c r="D44" s="33">
        <f>'ENG_OPS'!$D$20-'ENG_OPS'!$D$43</f>
        <v/>
      </c>
      <c r="E44" s="33">
        <f>'ENG_OPS'!$E$20-'ENG_OPS'!$E$43</f>
        <v/>
      </c>
      <c r="F44" s="33">
        <f>'ENG_OPS'!$F$20-'ENG_OPS'!$F$43</f>
        <v/>
      </c>
      <c r="G44" s="33">
        <f>'ENG_OPS'!$G$20-'ENG_OPS'!$G$43</f>
        <v/>
      </c>
      <c r="H44" s="33">
        <f>'ENG_OPS'!$H$20-'ENG_OPS'!$H$43</f>
        <v/>
      </c>
      <c r="I44" s="33">
        <f>'ENG_OPS'!$I$20-'ENG_OPS'!$I$43</f>
        <v/>
      </c>
      <c r="J44" s="33">
        <f>'ENG_OPS'!$J$20-'ENG_OPS'!$J$43</f>
        <v/>
      </c>
      <c r="K44" s="33">
        <f>'ENG_OPS'!$K$20-'ENG_OPS'!$K$43</f>
        <v/>
      </c>
      <c r="L44" s="33">
        <f>'ENG_OPS'!$L$20-'ENG_OPS'!$L$43</f>
        <v/>
      </c>
      <c r="M44" s="33">
        <f>'ENG_OPS'!$M$20-'ENG_OPS'!$M$43</f>
        <v/>
      </c>
      <c r="N44" s="33">
        <f>'ENG_OPS'!$N$20-'ENG_OPS'!$N$43</f>
        <v/>
      </c>
      <c r="O44" s="33">
        <f>'ENG_OPS'!$O$20-'ENG_OPS'!$O$43</f>
        <v/>
      </c>
      <c r="P44" s="33">
        <f>'ENG_OPS'!$P$20-'ENG_OPS'!$P$43</f>
        <v/>
      </c>
    </row>
    <row r="45"/>
    <row r="46">
      <c r="A46" s="4" t="inlineStr">
        <is>
          <t>د) ورودی و بارگذاری ایستگاه‌ها</t>
        </is>
      </c>
      <c r="B46" s="5" t="n"/>
      <c r="C46" s="5" t="n"/>
      <c r="D46" s="5" t="n"/>
      <c r="E46" s="5" t="n"/>
      <c r="F46" s="5" t="n"/>
      <c r="G46" s="5" t="n"/>
      <c r="H46" s="5" t="n"/>
      <c r="I46" s="5" t="n"/>
      <c r="J46" s="5" t="n"/>
      <c r="K46" s="5" t="n"/>
      <c r="L46" s="5" t="n"/>
      <c r="M46" s="5" t="n"/>
      <c r="N46" s="5" t="n"/>
      <c r="O46" s="5" t="n"/>
      <c r="P46" s="5" t="n"/>
      <c r="Q46" s="5" t="n"/>
    </row>
    <row r="47">
      <c r="A47" s="15" t="inlineStr">
        <is>
          <t>ورودی ایستگاه 1</t>
        </is>
      </c>
      <c r="B47" s="16" t="inlineStr">
        <is>
          <t>OPS.feed.0</t>
        </is>
      </c>
      <c r="C47" s="17" t="inlineStr">
        <is>
          <t>تن</t>
        </is>
      </c>
      <c r="D47" s="33">
        <f>'ENG_OPS'!$D$20</f>
        <v/>
      </c>
      <c r="E47" s="33">
        <f>'ENG_OPS'!$E$20</f>
        <v/>
      </c>
      <c r="F47" s="33">
        <f>'ENG_OPS'!$F$20</f>
        <v/>
      </c>
      <c r="G47" s="33">
        <f>'ENG_OPS'!$G$20</f>
        <v/>
      </c>
      <c r="H47" s="33">
        <f>'ENG_OPS'!$H$20</f>
        <v/>
      </c>
      <c r="I47" s="33">
        <f>'ENG_OPS'!$I$20</f>
        <v/>
      </c>
      <c r="J47" s="33">
        <f>'ENG_OPS'!$J$20</f>
        <v/>
      </c>
      <c r="K47" s="33">
        <f>'ENG_OPS'!$K$20</f>
        <v/>
      </c>
      <c r="L47" s="33">
        <f>'ENG_OPS'!$L$20</f>
        <v/>
      </c>
      <c r="M47" s="33">
        <f>'ENG_OPS'!$M$20</f>
        <v/>
      </c>
      <c r="N47" s="33">
        <f>'ENG_OPS'!$N$20</f>
        <v/>
      </c>
      <c r="O47" s="33">
        <f>'ENG_OPS'!$O$20</f>
        <v/>
      </c>
      <c r="P47" s="33">
        <f>'ENG_OPS'!$P$20</f>
        <v/>
      </c>
    </row>
    <row r="48">
      <c r="A48" s="15" t="inlineStr">
        <is>
          <t>ورودی ایستگاه 2</t>
        </is>
      </c>
      <c r="B48" s="16" t="inlineStr">
        <is>
          <t>OPS.feed.1</t>
        </is>
      </c>
      <c r="C48" s="17" t="inlineStr">
        <is>
          <t>تن</t>
        </is>
      </c>
      <c r="D48" s="33">
        <f>'ENG_OPS'!$D$26</f>
        <v/>
      </c>
      <c r="E48" s="33">
        <f>'ENG_OPS'!$E$26</f>
        <v/>
      </c>
      <c r="F48" s="33">
        <f>'ENG_OPS'!$F$26</f>
        <v/>
      </c>
      <c r="G48" s="33">
        <f>'ENG_OPS'!$G$26</f>
        <v/>
      </c>
      <c r="H48" s="33">
        <f>'ENG_OPS'!$H$26</f>
        <v/>
      </c>
      <c r="I48" s="33">
        <f>'ENG_OPS'!$I$26</f>
        <v/>
      </c>
      <c r="J48" s="33">
        <f>'ENG_OPS'!$J$26</f>
        <v/>
      </c>
      <c r="K48" s="33">
        <f>'ENG_OPS'!$K$26</f>
        <v/>
      </c>
      <c r="L48" s="33">
        <f>'ENG_OPS'!$L$26</f>
        <v/>
      </c>
      <c r="M48" s="33">
        <f>'ENG_OPS'!$M$26</f>
        <v/>
      </c>
      <c r="N48" s="33">
        <f>'ENG_OPS'!$N$26</f>
        <v/>
      </c>
      <c r="O48" s="33">
        <f>'ENG_OPS'!$O$26</f>
        <v/>
      </c>
      <c r="P48" s="33">
        <f>'ENG_OPS'!$P$26</f>
        <v/>
      </c>
    </row>
    <row r="49">
      <c r="A49" s="15" t="inlineStr">
        <is>
          <t>ورودی ایستگاه 3</t>
        </is>
      </c>
      <c r="B49" s="16" t="inlineStr">
        <is>
          <t>OPS.feed.2</t>
        </is>
      </c>
      <c r="C49" s="17" t="inlineStr">
        <is>
          <t>تن</t>
        </is>
      </c>
      <c r="D49" s="33">
        <f>'ENG_OPS'!$D$28</f>
        <v/>
      </c>
      <c r="E49" s="33">
        <f>'ENG_OPS'!$E$28</f>
        <v/>
      </c>
      <c r="F49" s="33">
        <f>'ENG_OPS'!$F$28</f>
        <v/>
      </c>
      <c r="G49" s="33">
        <f>'ENG_OPS'!$G$28</f>
        <v/>
      </c>
      <c r="H49" s="33">
        <f>'ENG_OPS'!$H$28</f>
        <v/>
      </c>
      <c r="I49" s="33">
        <f>'ENG_OPS'!$I$28</f>
        <v/>
      </c>
      <c r="J49" s="33">
        <f>'ENG_OPS'!$J$28</f>
        <v/>
      </c>
      <c r="K49" s="33">
        <f>'ENG_OPS'!$K$28</f>
        <v/>
      </c>
      <c r="L49" s="33">
        <f>'ENG_OPS'!$L$28</f>
        <v/>
      </c>
      <c r="M49" s="33">
        <f>'ENG_OPS'!$M$28</f>
        <v/>
      </c>
      <c r="N49" s="33">
        <f>'ENG_OPS'!$N$28</f>
        <v/>
      </c>
      <c r="O49" s="33">
        <f>'ENG_OPS'!$O$28</f>
        <v/>
      </c>
      <c r="P49" s="33">
        <f>'ENG_OPS'!$P$28</f>
        <v/>
      </c>
    </row>
    <row r="50">
      <c r="A50" s="15" t="inlineStr">
        <is>
          <t>ورودی ایستگاه 4</t>
        </is>
      </c>
      <c r="B50" s="16" t="inlineStr">
        <is>
          <t>OPS.feed.3</t>
        </is>
      </c>
      <c r="C50" s="17" t="inlineStr">
        <is>
          <t>تن</t>
        </is>
      </c>
      <c r="D50" s="33">
        <f>'ENG_OPS'!$D$33+'ENG_OPS'!$D$29</f>
        <v/>
      </c>
      <c r="E50" s="33">
        <f>'ENG_OPS'!$E$33+'ENG_OPS'!$E$29</f>
        <v/>
      </c>
      <c r="F50" s="33">
        <f>'ENG_OPS'!$F$33+'ENG_OPS'!$F$29</f>
        <v/>
      </c>
      <c r="G50" s="33">
        <f>'ENG_OPS'!$G$33+'ENG_OPS'!$G$29</f>
        <v/>
      </c>
      <c r="H50" s="33">
        <f>'ENG_OPS'!$H$33+'ENG_OPS'!$H$29</f>
        <v/>
      </c>
      <c r="I50" s="33">
        <f>'ENG_OPS'!$I$33+'ENG_OPS'!$I$29</f>
        <v/>
      </c>
      <c r="J50" s="33">
        <f>'ENG_OPS'!$J$33+'ENG_OPS'!$J$29</f>
        <v/>
      </c>
      <c r="K50" s="33">
        <f>'ENG_OPS'!$K$33+'ENG_OPS'!$K$29</f>
        <v/>
      </c>
      <c r="L50" s="33">
        <f>'ENG_OPS'!$L$33+'ENG_OPS'!$L$29</f>
        <v/>
      </c>
      <c r="M50" s="33">
        <f>'ENG_OPS'!$M$33+'ENG_OPS'!$M$29</f>
        <v/>
      </c>
      <c r="N50" s="33">
        <f>'ENG_OPS'!$N$33+'ENG_OPS'!$N$29</f>
        <v/>
      </c>
      <c r="O50" s="33">
        <f>'ENG_OPS'!$O$33+'ENG_OPS'!$O$29</f>
        <v/>
      </c>
      <c r="P50" s="33">
        <f>'ENG_OPS'!$P$33+'ENG_OPS'!$P$29</f>
        <v/>
      </c>
    </row>
    <row r="51">
      <c r="A51" s="15" t="inlineStr">
        <is>
          <t>ورودی ایستگاه 5</t>
        </is>
      </c>
      <c r="B51" s="16" t="inlineStr">
        <is>
          <t>OPS.feed.4</t>
        </is>
      </c>
      <c r="C51" s="17" t="inlineStr">
        <is>
          <t>تن</t>
        </is>
      </c>
      <c r="D51" s="33">
        <f>'ENG_OPS'!$D$35</f>
        <v/>
      </c>
      <c r="E51" s="33">
        <f>'ENG_OPS'!$E$35</f>
        <v/>
      </c>
      <c r="F51" s="33">
        <f>'ENG_OPS'!$F$35</f>
        <v/>
      </c>
      <c r="G51" s="33">
        <f>'ENG_OPS'!$G$35</f>
        <v/>
      </c>
      <c r="H51" s="33">
        <f>'ENG_OPS'!$H$35</f>
        <v/>
      </c>
      <c r="I51" s="33">
        <f>'ENG_OPS'!$I$35</f>
        <v/>
      </c>
      <c r="J51" s="33">
        <f>'ENG_OPS'!$J$35</f>
        <v/>
      </c>
      <c r="K51" s="33">
        <f>'ENG_OPS'!$K$35</f>
        <v/>
      </c>
      <c r="L51" s="33">
        <f>'ENG_OPS'!$L$35</f>
        <v/>
      </c>
      <c r="M51" s="33">
        <f>'ENG_OPS'!$M$35</f>
        <v/>
      </c>
      <c r="N51" s="33">
        <f>'ENG_OPS'!$N$35</f>
        <v/>
      </c>
      <c r="O51" s="33">
        <f>'ENG_OPS'!$O$35</f>
        <v/>
      </c>
      <c r="P51" s="33">
        <f>'ENG_OPS'!$P$35</f>
        <v/>
      </c>
    </row>
    <row r="52">
      <c r="A52" s="15" t="inlineStr">
        <is>
          <t>ورودی ایستگاه 6</t>
        </is>
      </c>
      <c r="B52" s="16" t="inlineStr">
        <is>
          <t>OPS.feed.5</t>
        </is>
      </c>
      <c r="C52" s="17" t="inlineStr">
        <is>
          <t>تن</t>
        </is>
      </c>
      <c r="D52" s="33">
        <f>'ENG_OPS'!$D$36+'ENG_OPS'!$D$41/(1-'IN_TECH'!$I$40)+'ENG_OPS'!$D$42/(1-'IN_TECH'!$I$40)</f>
        <v/>
      </c>
      <c r="E52" s="33">
        <f>'ENG_OPS'!$E$36+'ENG_OPS'!$E$41/(1-'IN_TECH'!$I$40)+'ENG_OPS'!$E$42/(1-'IN_TECH'!$I$40)</f>
        <v/>
      </c>
      <c r="F52" s="33">
        <f>'ENG_OPS'!$F$36+'ENG_OPS'!$F$41/(1-'IN_TECH'!$I$40)+'ENG_OPS'!$F$42/(1-'IN_TECH'!$I$40)</f>
        <v/>
      </c>
      <c r="G52" s="33">
        <f>'ENG_OPS'!$G$36+'ENG_OPS'!$G$41/(1-'IN_TECH'!$I$40)+'ENG_OPS'!$G$42/(1-'IN_TECH'!$I$40)</f>
        <v/>
      </c>
      <c r="H52" s="33">
        <f>'ENG_OPS'!$H$36+'ENG_OPS'!$H$41/(1-'IN_TECH'!$I$40)+'ENG_OPS'!$H$42/(1-'IN_TECH'!$I$40)</f>
        <v/>
      </c>
      <c r="I52" s="33">
        <f>'ENG_OPS'!$I$36+'ENG_OPS'!$I$41/(1-'IN_TECH'!$I$40)+'ENG_OPS'!$I$42/(1-'IN_TECH'!$I$40)</f>
        <v/>
      </c>
      <c r="J52" s="33">
        <f>'ENG_OPS'!$J$36+'ENG_OPS'!$J$41/(1-'IN_TECH'!$I$40)+'ENG_OPS'!$J$42/(1-'IN_TECH'!$I$40)</f>
        <v/>
      </c>
      <c r="K52" s="33">
        <f>'ENG_OPS'!$K$36+'ENG_OPS'!$K$41/(1-'IN_TECH'!$I$40)+'ENG_OPS'!$K$42/(1-'IN_TECH'!$I$40)</f>
        <v/>
      </c>
      <c r="L52" s="33">
        <f>'ENG_OPS'!$L$36+'ENG_OPS'!$L$41/(1-'IN_TECH'!$I$40)+'ENG_OPS'!$L$42/(1-'IN_TECH'!$I$40)</f>
        <v/>
      </c>
      <c r="M52" s="33">
        <f>'ENG_OPS'!$M$36+'ENG_OPS'!$M$41/(1-'IN_TECH'!$I$40)+'ENG_OPS'!$M$42/(1-'IN_TECH'!$I$40)</f>
        <v/>
      </c>
      <c r="N52" s="33">
        <f>'ENG_OPS'!$N$36+'ENG_OPS'!$N$41/(1-'IN_TECH'!$I$40)+'ENG_OPS'!$N$42/(1-'IN_TECH'!$I$40)</f>
        <v/>
      </c>
      <c r="O52" s="33">
        <f>'ENG_OPS'!$O$36+'ENG_OPS'!$O$41/(1-'IN_TECH'!$I$40)+'ENG_OPS'!$O$42/(1-'IN_TECH'!$I$40)</f>
        <v/>
      </c>
      <c r="P52" s="33">
        <f>'ENG_OPS'!$P$36+'ENG_OPS'!$P$41/(1-'IN_TECH'!$I$40)+'ENG_OPS'!$P$42/(1-'IN_TECH'!$I$40)</f>
        <v/>
      </c>
    </row>
    <row r="53">
      <c r="A53" s="15" t="inlineStr">
        <is>
          <t>بارگذاری ایستگاه 1</t>
        </is>
      </c>
      <c r="B53" s="16" t="inlineStr">
        <is>
          <t>S1</t>
        </is>
      </c>
      <c r="C53" s="17" t="inlineStr">
        <is>
          <t>درصد</t>
        </is>
      </c>
      <c r="D53" s="32">
        <f>IFERROR('ENG_OPS'!$D$47/'IN_TECH'!$D$36,0)</f>
        <v/>
      </c>
      <c r="E53" s="32">
        <f>IFERROR('ENG_OPS'!$E$47/'IN_TECH'!$D$36,0)</f>
        <v/>
      </c>
      <c r="F53" s="32">
        <f>IFERROR('ENG_OPS'!$F$47/'IN_TECH'!$D$36,0)</f>
        <v/>
      </c>
      <c r="G53" s="32">
        <f>IFERROR('ENG_OPS'!$G$47/'IN_TECH'!$D$36,0)</f>
        <v/>
      </c>
      <c r="H53" s="32">
        <f>IFERROR('ENG_OPS'!$H$47/'IN_TECH'!$D$36,0)</f>
        <v/>
      </c>
      <c r="I53" s="32">
        <f>IFERROR('ENG_OPS'!$I$47/'IN_TECH'!$D$36,0)</f>
        <v/>
      </c>
      <c r="J53" s="32">
        <f>IFERROR('ENG_OPS'!$J$47/'IN_TECH'!$D$36,0)</f>
        <v/>
      </c>
      <c r="K53" s="32">
        <f>IFERROR('ENG_OPS'!$K$47/'IN_TECH'!$D$36,0)</f>
        <v/>
      </c>
      <c r="L53" s="32">
        <f>IFERROR('ENG_OPS'!$L$47/'IN_TECH'!$D$36,0)</f>
        <v/>
      </c>
      <c r="M53" s="32">
        <f>IFERROR('ENG_OPS'!$M$47/'IN_TECH'!$D$36,0)</f>
        <v/>
      </c>
      <c r="N53" s="32">
        <f>IFERROR('ENG_OPS'!$N$47/'IN_TECH'!$D$36,0)</f>
        <v/>
      </c>
      <c r="O53" s="32">
        <f>IFERROR('ENG_OPS'!$O$47/'IN_TECH'!$D$36,0)</f>
        <v/>
      </c>
      <c r="P53" s="32">
        <f>IFERROR('ENG_OPS'!$P$47/'IN_TECH'!$D$36,0)</f>
        <v/>
      </c>
    </row>
    <row r="54">
      <c r="A54" s="15" t="inlineStr">
        <is>
          <t>بارگذاری ایستگاه 2</t>
        </is>
      </c>
      <c r="B54" s="16" t="inlineStr">
        <is>
          <t>S2</t>
        </is>
      </c>
      <c r="C54" s="17" t="inlineStr">
        <is>
          <t>درصد</t>
        </is>
      </c>
      <c r="D54" s="32">
        <f>IFERROR('ENG_OPS'!$D$48/'IN_TECH'!$E$36,0)</f>
        <v/>
      </c>
      <c r="E54" s="32">
        <f>IFERROR('ENG_OPS'!$E$48/'IN_TECH'!$E$36,0)</f>
        <v/>
      </c>
      <c r="F54" s="32">
        <f>IFERROR('ENG_OPS'!$F$48/'IN_TECH'!$E$36,0)</f>
        <v/>
      </c>
      <c r="G54" s="32">
        <f>IFERROR('ENG_OPS'!$G$48/'IN_TECH'!$E$36,0)</f>
        <v/>
      </c>
      <c r="H54" s="32">
        <f>IFERROR('ENG_OPS'!$H$48/'IN_TECH'!$E$36,0)</f>
        <v/>
      </c>
      <c r="I54" s="32">
        <f>IFERROR('ENG_OPS'!$I$48/'IN_TECH'!$E$36,0)</f>
        <v/>
      </c>
      <c r="J54" s="32">
        <f>IFERROR('ENG_OPS'!$J$48/'IN_TECH'!$E$36,0)</f>
        <v/>
      </c>
      <c r="K54" s="32">
        <f>IFERROR('ENG_OPS'!$K$48/'IN_TECH'!$E$36,0)</f>
        <v/>
      </c>
      <c r="L54" s="32">
        <f>IFERROR('ENG_OPS'!$L$48/'IN_TECH'!$E$36,0)</f>
        <v/>
      </c>
      <c r="M54" s="32">
        <f>IFERROR('ENG_OPS'!$M$48/'IN_TECH'!$E$36,0)</f>
        <v/>
      </c>
      <c r="N54" s="32">
        <f>IFERROR('ENG_OPS'!$N$48/'IN_TECH'!$E$36,0)</f>
        <v/>
      </c>
      <c r="O54" s="32">
        <f>IFERROR('ENG_OPS'!$O$48/'IN_TECH'!$E$36,0)</f>
        <v/>
      </c>
      <c r="P54" s="32">
        <f>IFERROR('ENG_OPS'!$P$48/'IN_TECH'!$E$36,0)</f>
        <v/>
      </c>
    </row>
    <row r="55">
      <c r="A55" s="15" t="inlineStr">
        <is>
          <t>بارگذاری ایستگاه 3</t>
        </is>
      </c>
      <c r="B55" s="16" t="inlineStr">
        <is>
          <t>S3</t>
        </is>
      </c>
      <c r="C55" s="17" t="inlineStr">
        <is>
          <t>درصد</t>
        </is>
      </c>
      <c r="D55" s="32">
        <f>IFERROR('ENG_OPS'!$D$49/'IN_TECH'!$F$36,0)</f>
        <v/>
      </c>
      <c r="E55" s="32">
        <f>IFERROR('ENG_OPS'!$E$49/'IN_TECH'!$F$36,0)</f>
        <v/>
      </c>
      <c r="F55" s="32">
        <f>IFERROR('ENG_OPS'!$F$49/'IN_TECH'!$F$36,0)</f>
        <v/>
      </c>
      <c r="G55" s="32">
        <f>IFERROR('ENG_OPS'!$G$49/'IN_TECH'!$F$36,0)</f>
        <v/>
      </c>
      <c r="H55" s="32">
        <f>IFERROR('ENG_OPS'!$H$49/'IN_TECH'!$F$36,0)</f>
        <v/>
      </c>
      <c r="I55" s="32">
        <f>IFERROR('ENG_OPS'!$I$49/'IN_TECH'!$F$36,0)</f>
        <v/>
      </c>
      <c r="J55" s="32">
        <f>IFERROR('ENG_OPS'!$J$49/'IN_TECH'!$F$36,0)</f>
        <v/>
      </c>
      <c r="K55" s="32">
        <f>IFERROR('ENG_OPS'!$K$49/'IN_TECH'!$F$36,0)</f>
        <v/>
      </c>
      <c r="L55" s="32">
        <f>IFERROR('ENG_OPS'!$L$49/'IN_TECH'!$F$36,0)</f>
        <v/>
      </c>
      <c r="M55" s="32">
        <f>IFERROR('ENG_OPS'!$M$49/'IN_TECH'!$F$36,0)</f>
        <v/>
      </c>
      <c r="N55" s="32">
        <f>IFERROR('ENG_OPS'!$N$49/'IN_TECH'!$F$36,0)</f>
        <v/>
      </c>
      <c r="O55" s="32">
        <f>IFERROR('ENG_OPS'!$O$49/'IN_TECH'!$F$36,0)</f>
        <v/>
      </c>
      <c r="P55" s="32">
        <f>IFERROR('ENG_OPS'!$P$49/'IN_TECH'!$F$36,0)</f>
        <v/>
      </c>
    </row>
    <row r="56">
      <c r="A56" s="15" t="inlineStr">
        <is>
          <t>بارگذاری ایستگاه 4</t>
        </is>
      </c>
      <c r="B56" s="16" t="inlineStr">
        <is>
          <t>S4</t>
        </is>
      </c>
      <c r="C56" s="17" t="inlineStr">
        <is>
          <t>درصد</t>
        </is>
      </c>
      <c r="D56" s="32">
        <f>IFERROR('ENG_OPS'!$D$50/'IN_TECH'!$G$36,0)</f>
        <v/>
      </c>
      <c r="E56" s="32">
        <f>IFERROR('ENG_OPS'!$E$50/'IN_TECH'!$G$36,0)</f>
        <v/>
      </c>
      <c r="F56" s="32">
        <f>IFERROR('ENG_OPS'!$F$50/'IN_TECH'!$G$36,0)</f>
        <v/>
      </c>
      <c r="G56" s="32">
        <f>IFERROR('ENG_OPS'!$G$50/'IN_TECH'!$G$36,0)</f>
        <v/>
      </c>
      <c r="H56" s="32">
        <f>IFERROR('ENG_OPS'!$H$50/'IN_TECH'!$G$36,0)</f>
        <v/>
      </c>
      <c r="I56" s="32">
        <f>IFERROR('ENG_OPS'!$I$50/'IN_TECH'!$G$36,0)</f>
        <v/>
      </c>
      <c r="J56" s="32">
        <f>IFERROR('ENG_OPS'!$J$50/'IN_TECH'!$G$36,0)</f>
        <v/>
      </c>
      <c r="K56" s="32">
        <f>IFERROR('ENG_OPS'!$K$50/'IN_TECH'!$G$36,0)</f>
        <v/>
      </c>
      <c r="L56" s="32">
        <f>IFERROR('ENG_OPS'!$L$50/'IN_TECH'!$G$36,0)</f>
        <v/>
      </c>
      <c r="M56" s="32">
        <f>IFERROR('ENG_OPS'!$M$50/'IN_TECH'!$G$36,0)</f>
        <v/>
      </c>
      <c r="N56" s="32">
        <f>IFERROR('ENG_OPS'!$N$50/'IN_TECH'!$G$36,0)</f>
        <v/>
      </c>
      <c r="O56" s="32">
        <f>IFERROR('ENG_OPS'!$O$50/'IN_TECH'!$G$36,0)</f>
        <v/>
      </c>
      <c r="P56" s="32">
        <f>IFERROR('ENG_OPS'!$P$50/'IN_TECH'!$G$36,0)</f>
        <v/>
      </c>
    </row>
    <row r="57">
      <c r="A57" s="15" t="inlineStr">
        <is>
          <t>بارگذاری ایستگاه 5</t>
        </is>
      </c>
      <c r="B57" s="16" t="inlineStr">
        <is>
          <t>S5</t>
        </is>
      </c>
      <c r="C57" s="17" t="inlineStr">
        <is>
          <t>درصد</t>
        </is>
      </c>
      <c r="D57" s="32">
        <f>IFERROR('ENG_OPS'!$D$51/'IN_TECH'!$H$36,0)</f>
        <v/>
      </c>
      <c r="E57" s="32">
        <f>IFERROR('ENG_OPS'!$E$51/'IN_TECH'!$H$36,0)</f>
        <v/>
      </c>
      <c r="F57" s="32">
        <f>IFERROR('ENG_OPS'!$F$51/'IN_TECH'!$H$36,0)</f>
        <v/>
      </c>
      <c r="G57" s="32">
        <f>IFERROR('ENG_OPS'!$G$51/'IN_TECH'!$H$36,0)</f>
        <v/>
      </c>
      <c r="H57" s="32">
        <f>IFERROR('ENG_OPS'!$H$51/'IN_TECH'!$H$36,0)</f>
        <v/>
      </c>
      <c r="I57" s="32">
        <f>IFERROR('ENG_OPS'!$I$51/'IN_TECH'!$H$36,0)</f>
        <v/>
      </c>
      <c r="J57" s="32">
        <f>IFERROR('ENG_OPS'!$J$51/'IN_TECH'!$H$36,0)</f>
        <v/>
      </c>
      <c r="K57" s="32">
        <f>IFERROR('ENG_OPS'!$K$51/'IN_TECH'!$H$36,0)</f>
        <v/>
      </c>
      <c r="L57" s="32">
        <f>IFERROR('ENG_OPS'!$L$51/'IN_TECH'!$H$36,0)</f>
        <v/>
      </c>
      <c r="M57" s="32">
        <f>IFERROR('ENG_OPS'!$M$51/'IN_TECH'!$H$36,0)</f>
        <v/>
      </c>
      <c r="N57" s="32">
        <f>IFERROR('ENG_OPS'!$N$51/'IN_TECH'!$H$36,0)</f>
        <v/>
      </c>
      <c r="O57" s="32">
        <f>IFERROR('ENG_OPS'!$O$51/'IN_TECH'!$H$36,0)</f>
        <v/>
      </c>
      <c r="P57" s="32">
        <f>IFERROR('ENG_OPS'!$P$51/'IN_TECH'!$H$36,0)</f>
        <v/>
      </c>
    </row>
    <row r="58">
      <c r="A58" s="15" t="inlineStr">
        <is>
          <t>بارگذاری ایستگاه 6</t>
        </is>
      </c>
      <c r="B58" s="16" t="inlineStr">
        <is>
          <t>S6</t>
        </is>
      </c>
      <c r="C58" s="17" t="inlineStr">
        <is>
          <t>درصد</t>
        </is>
      </c>
      <c r="D58" s="32">
        <f>IFERROR('ENG_OPS'!$D$52/'IN_TECH'!$I$36,0)</f>
        <v/>
      </c>
      <c r="E58" s="32">
        <f>IFERROR('ENG_OPS'!$E$52/'IN_TECH'!$I$36,0)</f>
        <v/>
      </c>
      <c r="F58" s="32">
        <f>IFERROR('ENG_OPS'!$F$52/'IN_TECH'!$I$36,0)</f>
        <v/>
      </c>
      <c r="G58" s="32">
        <f>IFERROR('ENG_OPS'!$G$52/'IN_TECH'!$I$36,0)</f>
        <v/>
      </c>
      <c r="H58" s="32">
        <f>IFERROR('ENG_OPS'!$H$52/'IN_TECH'!$I$36,0)</f>
        <v/>
      </c>
      <c r="I58" s="32">
        <f>IFERROR('ENG_OPS'!$I$52/'IN_TECH'!$I$36,0)</f>
        <v/>
      </c>
      <c r="J58" s="32">
        <f>IFERROR('ENG_OPS'!$J$52/'IN_TECH'!$I$36,0)</f>
        <v/>
      </c>
      <c r="K58" s="32">
        <f>IFERROR('ENG_OPS'!$K$52/'IN_TECH'!$I$36,0)</f>
        <v/>
      </c>
      <c r="L58" s="32">
        <f>IFERROR('ENG_OPS'!$L$52/'IN_TECH'!$I$36,0)</f>
        <v/>
      </c>
      <c r="M58" s="32">
        <f>IFERROR('ENG_OPS'!$M$52/'IN_TECH'!$I$36,0)</f>
        <v/>
      </c>
      <c r="N58" s="32">
        <f>IFERROR('ENG_OPS'!$N$52/'IN_TECH'!$I$36,0)</f>
        <v/>
      </c>
      <c r="O58" s="32">
        <f>IFERROR('ENG_OPS'!$O$52/'IN_TECH'!$I$36,0)</f>
        <v/>
      </c>
      <c r="P58" s="32">
        <f>IFERROR('ENG_OPS'!$P$52/'IN_TECH'!$I$36,0)</f>
        <v/>
      </c>
    </row>
    <row r="59">
      <c r="A59" s="15" t="inlineStr">
        <is>
          <t>بیشترین بارگذاری (گلوگاه)</t>
        </is>
      </c>
      <c r="B59" s="16" t="inlineStr">
        <is>
          <t>OPS.bottleneck</t>
        </is>
      </c>
      <c r="C59" s="17" t="inlineStr">
        <is>
          <t>درصد</t>
        </is>
      </c>
      <c r="D59" s="32">
        <f>MAX('ENG_OPS'!$D$53,'ENG_OPS'!$D$54,'ENG_OPS'!$D$55,'ENG_OPS'!$D$56,'ENG_OPS'!$D$57,'ENG_OPS'!$D$58)</f>
        <v/>
      </c>
      <c r="E59" s="32">
        <f>MAX('ENG_OPS'!$E$53,'ENG_OPS'!$E$54,'ENG_OPS'!$E$55,'ENG_OPS'!$E$56,'ENG_OPS'!$E$57,'ENG_OPS'!$E$58)</f>
        <v/>
      </c>
      <c r="F59" s="32">
        <f>MAX('ENG_OPS'!$F$53,'ENG_OPS'!$F$54,'ENG_OPS'!$F$55,'ENG_OPS'!$F$56,'ENG_OPS'!$F$57,'ENG_OPS'!$F$58)</f>
        <v/>
      </c>
      <c r="G59" s="32">
        <f>MAX('ENG_OPS'!$G$53,'ENG_OPS'!$G$54,'ENG_OPS'!$G$55,'ENG_OPS'!$G$56,'ENG_OPS'!$G$57,'ENG_OPS'!$G$58)</f>
        <v/>
      </c>
      <c r="H59" s="32">
        <f>MAX('ENG_OPS'!$H$53,'ENG_OPS'!$H$54,'ENG_OPS'!$H$55,'ENG_OPS'!$H$56,'ENG_OPS'!$H$57,'ENG_OPS'!$H$58)</f>
        <v/>
      </c>
      <c r="I59" s="32">
        <f>MAX('ENG_OPS'!$I$53,'ENG_OPS'!$I$54,'ENG_OPS'!$I$55,'ENG_OPS'!$I$56,'ENG_OPS'!$I$57,'ENG_OPS'!$I$58)</f>
        <v/>
      </c>
      <c r="J59" s="32">
        <f>MAX('ENG_OPS'!$J$53,'ENG_OPS'!$J$54,'ENG_OPS'!$J$55,'ENG_OPS'!$J$56,'ENG_OPS'!$J$57,'ENG_OPS'!$J$58)</f>
        <v/>
      </c>
      <c r="K59" s="32">
        <f>MAX('ENG_OPS'!$K$53,'ENG_OPS'!$K$54,'ENG_OPS'!$K$55,'ENG_OPS'!$K$56,'ENG_OPS'!$K$57,'ENG_OPS'!$K$58)</f>
        <v/>
      </c>
      <c r="L59" s="32">
        <f>MAX('ENG_OPS'!$L$53,'ENG_OPS'!$L$54,'ENG_OPS'!$L$55,'ENG_OPS'!$L$56,'ENG_OPS'!$L$57,'ENG_OPS'!$L$58)</f>
        <v/>
      </c>
      <c r="M59" s="32">
        <f>MAX('ENG_OPS'!$M$53,'ENG_OPS'!$M$54,'ENG_OPS'!$M$55,'ENG_OPS'!$M$56,'ENG_OPS'!$M$57,'ENG_OPS'!$M$58)</f>
        <v/>
      </c>
      <c r="N59" s="32">
        <f>MAX('ENG_OPS'!$N$53,'ENG_OPS'!$N$54,'ENG_OPS'!$N$55,'ENG_OPS'!$N$56,'ENG_OPS'!$N$57,'ENG_OPS'!$N$58)</f>
        <v/>
      </c>
      <c r="O59" s="32">
        <f>MAX('ENG_OPS'!$O$53,'ENG_OPS'!$O$54,'ENG_OPS'!$O$55,'ENG_OPS'!$O$56,'ENG_OPS'!$O$57,'ENG_OPS'!$O$58)</f>
        <v/>
      </c>
      <c r="P59" s="32">
        <f>MAX('ENG_OPS'!$P$53,'ENG_OPS'!$P$54,'ENG_OPS'!$P$55,'ENG_OPS'!$P$56,'ENG_OPS'!$P$57,'ENG_OPS'!$P$58)</f>
        <v/>
      </c>
    </row>
    <row r="60">
      <c r="A60" s="15" t="inlineStr">
        <is>
          <t>شماره ایستگاه گلوگاه</t>
        </is>
      </c>
      <c r="B60" s="16" t="inlineStr">
        <is>
          <t>OPS.bottleneck_st</t>
        </is>
      </c>
      <c r="C60" s="17" t="inlineStr">
        <is>
          <t>شماره</t>
        </is>
      </c>
      <c r="D60" s="33">
        <f>IFERROR(INDEX('ENG_OPS'!$B$53:$B$58,MATCH('ENG_OPS'!$D$59,INDEX('ENG_OPS'!$D$53:$P$58,1,0),0),1),0)</f>
        <v/>
      </c>
      <c r="E60" s="33">
        <f>IFERROR(INDEX('ENG_OPS'!$B$53:$B$58,MATCH('ENG_OPS'!$E$59,INDEX('ENG_OPS'!$D$53:$P$58,2,0),0),1),0)</f>
        <v/>
      </c>
      <c r="F60" s="33">
        <f>IFERROR(INDEX('ENG_OPS'!$B$53:$B$58,MATCH('ENG_OPS'!$F$59,INDEX('ENG_OPS'!$D$53:$P$58,3,0),0),1),0)</f>
        <v/>
      </c>
      <c r="G60" s="33">
        <f>IFERROR(INDEX('ENG_OPS'!$B$53:$B$58,MATCH('ENG_OPS'!$G$59,INDEX('ENG_OPS'!$D$53:$P$58,4,0),0),1),0)</f>
        <v/>
      </c>
      <c r="H60" s="33">
        <f>IFERROR(INDEX('ENG_OPS'!$B$53:$B$58,MATCH('ENG_OPS'!$H$59,INDEX('ENG_OPS'!$D$53:$P$58,5,0),0),1),0)</f>
        <v/>
      </c>
      <c r="I60" s="33">
        <f>IFERROR(INDEX('ENG_OPS'!$B$53:$B$58,MATCH('ENG_OPS'!$I$59,INDEX('ENG_OPS'!$D$53:$P$58,6,0),0),1),0)</f>
        <v/>
      </c>
      <c r="J60" s="33">
        <f>IFERROR(INDEX('ENG_OPS'!$B$53:$B$58,MATCH('ENG_OPS'!$J$59,INDEX('ENG_OPS'!$D$53:$P$58,7,0),0),1),0)</f>
        <v/>
      </c>
      <c r="K60" s="33">
        <f>IFERROR(INDEX('ENG_OPS'!$B$53:$B$58,MATCH('ENG_OPS'!$K$59,INDEX('ENG_OPS'!$D$53:$P$58,8,0),0),1),0)</f>
        <v/>
      </c>
      <c r="L60" s="33">
        <f>IFERROR(INDEX('ENG_OPS'!$B$53:$B$58,MATCH('ENG_OPS'!$L$59,INDEX('ENG_OPS'!$D$53:$P$58,9,0),0),1),0)</f>
        <v/>
      </c>
      <c r="M60" s="33">
        <f>IFERROR(INDEX('ENG_OPS'!$B$53:$B$58,MATCH('ENG_OPS'!$M$59,INDEX('ENG_OPS'!$D$53:$P$58,10,0),0),1),0)</f>
        <v/>
      </c>
      <c r="N60" s="33">
        <f>IFERROR(INDEX('ENG_OPS'!$B$53:$B$58,MATCH('ENG_OPS'!$N$59,INDEX('ENG_OPS'!$D$53:$P$58,11,0),0),1),0)</f>
        <v/>
      </c>
      <c r="O60" s="33">
        <f>IFERROR(INDEX('ENG_OPS'!$B$53:$B$58,MATCH('ENG_OPS'!$O$59,INDEX('ENG_OPS'!$D$53:$P$58,12,0),0),1),0)</f>
        <v/>
      </c>
      <c r="P60" s="33">
        <f>IFERROR(INDEX('ENG_OPS'!$B$53:$B$58,MATCH('ENG_OPS'!$P$59,INDEX('ENG_OPS'!$D$53:$P$58,13,0),0),1),0)</f>
        <v/>
      </c>
    </row>
    <row r="61"/>
    <row r="62">
      <c r="A62" s="4" t="inlineStr">
        <is>
          <t>ه‍) مصارف انرژی و آب</t>
        </is>
      </c>
      <c r="B62" s="5" t="n"/>
      <c r="C62" s="5" t="n"/>
      <c r="D62" s="5" t="n"/>
      <c r="E62" s="5" t="n"/>
      <c r="F62" s="5" t="n"/>
      <c r="G62" s="5" t="n"/>
      <c r="H62" s="5" t="n"/>
      <c r="I62" s="5" t="n"/>
      <c r="J62" s="5" t="n"/>
      <c r="K62" s="5" t="n"/>
      <c r="L62" s="5" t="n"/>
      <c r="M62" s="5" t="n"/>
      <c r="N62" s="5" t="n"/>
      <c r="O62" s="5" t="n"/>
      <c r="P62" s="5" t="n"/>
      <c r="Q62" s="5" t="n"/>
    </row>
    <row r="63">
      <c r="A63" s="15" t="inlineStr">
        <is>
          <t>برق مصرفی کل</t>
        </is>
      </c>
      <c r="B63" s="16" t="inlineStr">
        <is>
          <t>OPS.kwh</t>
        </is>
      </c>
      <c r="C63" s="17" t="inlineStr">
        <is>
          <t>kWh</t>
        </is>
      </c>
      <c r="D63" s="33">
        <f>('ENG_OPS'!$D$47*'IN_TECH'!$D$41)+('ENG_OPS'!$D$48*'IN_TECH'!$E$41)+('ENG_OPS'!$D$49*'IN_TECH'!$F$41)+('ENG_OPS'!$D$50*'IN_TECH'!$G$41)+('ENG_OPS'!$D$51*'IN_TECH'!$H$41)+('ENG_OPS'!$D$52*'IN_TECH'!$I$41)</f>
        <v/>
      </c>
      <c r="E63" s="33">
        <f>('ENG_OPS'!$E$47*'IN_TECH'!$D$41)+('ENG_OPS'!$E$48*'IN_TECH'!$E$41)+('ENG_OPS'!$E$49*'IN_TECH'!$F$41)+('ENG_OPS'!$E$50*'IN_TECH'!$G$41)+('ENG_OPS'!$E$51*'IN_TECH'!$H$41)+('ENG_OPS'!$E$52*'IN_TECH'!$I$41)</f>
        <v/>
      </c>
      <c r="F63" s="33">
        <f>('ENG_OPS'!$F$47*'IN_TECH'!$D$41)+('ENG_OPS'!$F$48*'IN_TECH'!$E$41)+('ENG_OPS'!$F$49*'IN_TECH'!$F$41)+('ENG_OPS'!$F$50*'IN_TECH'!$G$41)+('ENG_OPS'!$F$51*'IN_TECH'!$H$41)+('ENG_OPS'!$F$52*'IN_TECH'!$I$41)</f>
        <v/>
      </c>
      <c r="G63" s="33">
        <f>('ENG_OPS'!$G$47*'IN_TECH'!$D$41)+('ENG_OPS'!$G$48*'IN_TECH'!$E$41)+('ENG_OPS'!$G$49*'IN_TECH'!$F$41)+('ENG_OPS'!$G$50*'IN_TECH'!$G$41)+('ENG_OPS'!$G$51*'IN_TECH'!$H$41)+('ENG_OPS'!$G$52*'IN_TECH'!$I$41)</f>
        <v/>
      </c>
      <c r="H63" s="33">
        <f>('ENG_OPS'!$H$47*'IN_TECH'!$D$41)+('ENG_OPS'!$H$48*'IN_TECH'!$E$41)+('ENG_OPS'!$H$49*'IN_TECH'!$F$41)+('ENG_OPS'!$H$50*'IN_TECH'!$G$41)+('ENG_OPS'!$H$51*'IN_TECH'!$H$41)+('ENG_OPS'!$H$52*'IN_TECH'!$I$41)</f>
        <v/>
      </c>
      <c r="I63" s="33">
        <f>('ENG_OPS'!$I$47*'IN_TECH'!$D$41)+('ENG_OPS'!$I$48*'IN_TECH'!$E$41)+('ENG_OPS'!$I$49*'IN_TECH'!$F$41)+('ENG_OPS'!$I$50*'IN_TECH'!$G$41)+('ENG_OPS'!$I$51*'IN_TECH'!$H$41)+('ENG_OPS'!$I$52*'IN_TECH'!$I$41)</f>
        <v/>
      </c>
      <c r="J63" s="33">
        <f>('ENG_OPS'!$J$47*'IN_TECH'!$D$41)+('ENG_OPS'!$J$48*'IN_TECH'!$E$41)+('ENG_OPS'!$J$49*'IN_TECH'!$F$41)+('ENG_OPS'!$J$50*'IN_TECH'!$G$41)+('ENG_OPS'!$J$51*'IN_TECH'!$H$41)+('ENG_OPS'!$J$52*'IN_TECH'!$I$41)</f>
        <v/>
      </c>
      <c r="K63" s="33">
        <f>('ENG_OPS'!$K$47*'IN_TECH'!$D$41)+('ENG_OPS'!$K$48*'IN_TECH'!$E$41)+('ENG_OPS'!$K$49*'IN_TECH'!$F$41)+('ENG_OPS'!$K$50*'IN_TECH'!$G$41)+('ENG_OPS'!$K$51*'IN_TECH'!$H$41)+('ENG_OPS'!$K$52*'IN_TECH'!$I$41)</f>
        <v/>
      </c>
      <c r="L63" s="33">
        <f>('ENG_OPS'!$L$47*'IN_TECH'!$D$41)+('ENG_OPS'!$L$48*'IN_TECH'!$E$41)+('ENG_OPS'!$L$49*'IN_TECH'!$F$41)+('ENG_OPS'!$L$50*'IN_TECH'!$G$41)+('ENG_OPS'!$L$51*'IN_TECH'!$H$41)+('ENG_OPS'!$L$52*'IN_TECH'!$I$41)</f>
        <v/>
      </c>
      <c r="M63" s="33">
        <f>('ENG_OPS'!$M$47*'IN_TECH'!$D$41)+('ENG_OPS'!$M$48*'IN_TECH'!$E$41)+('ENG_OPS'!$M$49*'IN_TECH'!$F$41)+('ENG_OPS'!$M$50*'IN_TECH'!$G$41)+('ENG_OPS'!$M$51*'IN_TECH'!$H$41)+('ENG_OPS'!$M$52*'IN_TECH'!$I$41)</f>
        <v/>
      </c>
      <c r="N63" s="33">
        <f>('ENG_OPS'!$N$47*'IN_TECH'!$D$41)+('ENG_OPS'!$N$48*'IN_TECH'!$E$41)+('ENG_OPS'!$N$49*'IN_TECH'!$F$41)+('ENG_OPS'!$N$50*'IN_TECH'!$G$41)+('ENG_OPS'!$N$51*'IN_TECH'!$H$41)+('ENG_OPS'!$N$52*'IN_TECH'!$I$41)</f>
        <v/>
      </c>
      <c r="O63" s="33">
        <f>('ENG_OPS'!$O$47*'IN_TECH'!$D$41)+('ENG_OPS'!$O$48*'IN_TECH'!$E$41)+('ENG_OPS'!$O$49*'IN_TECH'!$F$41)+('ENG_OPS'!$O$50*'IN_TECH'!$G$41)+('ENG_OPS'!$O$51*'IN_TECH'!$H$41)+('ENG_OPS'!$O$52*'IN_TECH'!$I$41)</f>
        <v/>
      </c>
      <c r="P63" s="33">
        <f>('ENG_OPS'!$P$47*'IN_TECH'!$D$41)+('ENG_OPS'!$P$48*'IN_TECH'!$E$41)+('ENG_OPS'!$P$49*'IN_TECH'!$F$41)+('ENG_OPS'!$P$50*'IN_TECH'!$G$41)+('ENG_OPS'!$P$51*'IN_TECH'!$H$41)+('ENG_OPS'!$P$52*'IN_TECH'!$I$41)</f>
        <v/>
      </c>
    </row>
    <row r="64">
      <c r="A64" s="15" t="inlineStr">
        <is>
          <t>آب مصرفی کل</t>
        </is>
      </c>
      <c r="B64" s="16" t="inlineStr">
        <is>
          <t>OPS.water</t>
        </is>
      </c>
      <c r="C64" s="17" t="inlineStr">
        <is>
          <t>m3</t>
        </is>
      </c>
      <c r="D64" s="33">
        <f>('ENG_OPS'!$D$47*'IN_TECH'!$D$42)+('ENG_OPS'!$D$48*'IN_TECH'!$E$42)+('ENG_OPS'!$D$49*'IN_TECH'!$F$42)+('ENG_OPS'!$D$50*'IN_TECH'!$G$42)+('ENG_OPS'!$D$51*'IN_TECH'!$H$42)+('ENG_OPS'!$D$52*'IN_TECH'!$I$42)</f>
        <v/>
      </c>
      <c r="E64" s="33">
        <f>('ENG_OPS'!$E$47*'IN_TECH'!$D$42)+('ENG_OPS'!$E$48*'IN_TECH'!$E$42)+('ENG_OPS'!$E$49*'IN_TECH'!$F$42)+('ENG_OPS'!$E$50*'IN_TECH'!$G$42)+('ENG_OPS'!$E$51*'IN_TECH'!$H$42)+('ENG_OPS'!$E$52*'IN_TECH'!$I$42)</f>
        <v/>
      </c>
      <c r="F64" s="33">
        <f>('ENG_OPS'!$F$47*'IN_TECH'!$D$42)+('ENG_OPS'!$F$48*'IN_TECH'!$E$42)+('ENG_OPS'!$F$49*'IN_TECH'!$F$42)+('ENG_OPS'!$F$50*'IN_TECH'!$G$42)+('ENG_OPS'!$F$51*'IN_TECH'!$H$42)+('ENG_OPS'!$F$52*'IN_TECH'!$I$42)</f>
        <v/>
      </c>
      <c r="G64" s="33">
        <f>('ENG_OPS'!$G$47*'IN_TECH'!$D$42)+('ENG_OPS'!$G$48*'IN_TECH'!$E$42)+('ENG_OPS'!$G$49*'IN_TECH'!$F$42)+('ENG_OPS'!$G$50*'IN_TECH'!$G$42)+('ENG_OPS'!$G$51*'IN_TECH'!$H$42)+('ENG_OPS'!$G$52*'IN_TECH'!$I$42)</f>
        <v/>
      </c>
      <c r="H64" s="33">
        <f>('ENG_OPS'!$H$47*'IN_TECH'!$D$42)+('ENG_OPS'!$H$48*'IN_TECH'!$E$42)+('ENG_OPS'!$H$49*'IN_TECH'!$F$42)+('ENG_OPS'!$H$50*'IN_TECH'!$G$42)+('ENG_OPS'!$H$51*'IN_TECH'!$H$42)+('ENG_OPS'!$H$52*'IN_TECH'!$I$42)</f>
        <v/>
      </c>
      <c r="I64" s="33">
        <f>('ENG_OPS'!$I$47*'IN_TECH'!$D$42)+('ENG_OPS'!$I$48*'IN_TECH'!$E$42)+('ENG_OPS'!$I$49*'IN_TECH'!$F$42)+('ENG_OPS'!$I$50*'IN_TECH'!$G$42)+('ENG_OPS'!$I$51*'IN_TECH'!$H$42)+('ENG_OPS'!$I$52*'IN_TECH'!$I$42)</f>
        <v/>
      </c>
      <c r="J64" s="33">
        <f>('ENG_OPS'!$J$47*'IN_TECH'!$D$42)+('ENG_OPS'!$J$48*'IN_TECH'!$E$42)+('ENG_OPS'!$J$49*'IN_TECH'!$F$42)+('ENG_OPS'!$J$50*'IN_TECH'!$G$42)+('ENG_OPS'!$J$51*'IN_TECH'!$H$42)+('ENG_OPS'!$J$52*'IN_TECH'!$I$42)</f>
        <v/>
      </c>
      <c r="K64" s="33">
        <f>('ENG_OPS'!$K$47*'IN_TECH'!$D$42)+('ENG_OPS'!$K$48*'IN_TECH'!$E$42)+('ENG_OPS'!$K$49*'IN_TECH'!$F$42)+('ENG_OPS'!$K$50*'IN_TECH'!$G$42)+('ENG_OPS'!$K$51*'IN_TECH'!$H$42)+('ENG_OPS'!$K$52*'IN_TECH'!$I$42)</f>
        <v/>
      </c>
      <c r="L64" s="33">
        <f>('ENG_OPS'!$L$47*'IN_TECH'!$D$42)+('ENG_OPS'!$L$48*'IN_TECH'!$E$42)+('ENG_OPS'!$L$49*'IN_TECH'!$F$42)+('ENG_OPS'!$L$50*'IN_TECH'!$G$42)+('ENG_OPS'!$L$51*'IN_TECH'!$H$42)+('ENG_OPS'!$L$52*'IN_TECH'!$I$42)</f>
        <v/>
      </c>
      <c r="M64" s="33">
        <f>('ENG_OPS'!$M$47*'IN_TECH'!$D$42)+('ENG_OPS'!$M$48*'IN_TECH'!$E$42)+('ENG_OPS'!$M$49*'IN_TECH'!$F$42)+('ENG_OPS'!$M$50*'IN_TECH'!$G$42)+('ENG_OPS'!$M$51*'IN_TECH'!$H$42)+('ENG_OPS'!$M$52*'IN_TECH'!$I$42)</f>
        <v/>
      </c>
      <c r="N64" s="33">
        <f>('ENG_OPS'!$N$47*'IN_TECH'!$D$42)+('ENG_OPS'!$N$48*'IN_TECH'!$E$42)+('ENG_OPS'!$N$49*'IN_TECH'!$F$42)+('ENG_OPS'!$N$50*'IN_TECH'!$G$42)+('ENG_OPS'!$N$51*'IN_TECH'!$H$42)+('ENG_OPS'!$N$52*'IN_TECH'!$I$42)</f>
        <v/>
      </c>
      <c r="O64" s="33">
        <f>('ENG_OPS'!$O$47*'IN_TECH'!$D$42)+('ENG_OPS'!$O$48*'IN_TECH'!$E$42)+('ENG_OPS'!$O$49*'IN_TECH'!$F$42)+('ENG_OPS'!$O$50*'IN_TECH'!$G$42)+('ENG_OPS'!$O$51*'IN_TECH'!$H$42)+('ENG_OPS'!$O$52*'IN_TECH'!$I$42)</f>
        <v/>
      </c>
      <c r="P64" s="33">
        <f>('ENG_OPS'!$P$47*'IN_TECH'!$D$42)+('ENG_OPS'!$P$48*'IN_TECH'!$E$42)+('ENG_OPS'!$P$49*'IN_TECH'!$F$42)+('ENG_OPS'!$P$50*'IN_TECH'!$G$42)+('ENG_OPS'!$P$51*'IN_TECH'!$H$42)+('ENG_OPS'!$P$52*'IN_TECH'!$I$42)</f>
        <v/>
      </c>
    </row>
    <row r="65"/>
    <row r="66">
      <c r="A66" s="4" t="inlineStr">
        <is>
          <t>و) قیمت‌گذاری و درآمد</t>
        </is>
      </c>
      <c r="B66" s="5" t="n"/>
      <c r="C66" s="5" t="n"/>
      <c r="D66" s="5" t="n"/>
      <c r="E66" s="5" t="n"/>
      <c r="F66" s="5" t="n"/>
      <c r="G66" s="5" t="n"/>
      <c r="H66" s="5" t="n"/>
      <c r="I66" s="5" t="n"/>
      <c r="J66" s="5" t="n"/>
      <c r="K66" s="5" t="n"/>
      <c r="L66" s="5" t="n"/>
      <c r="M66" s="5" t="n"/>
      <c r="N66" s="5" t="n"/>
      <c r="O66" s="5" t="n"/>
      <c r="P66" s="5" t="n"/>
      <c r="Q66" s="5" t="n"/>
    </row>
    <row r="67">
      <c r="A67" s="15" t="inlineStr">
        <is>
          <t>قیمت فروش محصول 1</t>
        </is>
      </c>
      <c r="B67" s="16" t="inlineStr">
        <is>
          <t>OPS.price</t>
        </is>
      </c>
      <c r="C67" s="17" t="inlineStr">
        <is>
          <t>میلیون ریال/تن</t>
        </is>
      </c>
      <c r="D67" s="34">
        <f>IF('IN_SALES'!$D$11=1,'ENG_SCEN'!$D$28*'ENG_SCEN'!$D$29/1000000*'IN_SALES'!$D$12,'IN_SALES'!$D$10*POWER(1+'IN_SALES'!$D$13,'IN_MACRO'!$D$23)*(1+'IN_SALES'!$D$14*('ENG_SCEN'!$D$29/'ENG_SCEN'!$D$29-1)))*'ENG_SCEN'!$G$12</f>
        <v/>
      </c>
      <c r="E67" s="34">
        <f>IF('IN_SALES'!$D$11=1,'ENG_SCEN'!$E$28*'ENG_SCEN'!$E$29/1000000*'IN_SALES'!$D$12,'IN_SALES'!$D$10*POWER(1+'IN_SALES'!$D$13,'IN_MACRO'!$E$23)*(1+'IN_SALES'!$D$14*('ENG_SCEN'!$E$29/'ENG_SCEN'!$D$29-1)))*'ENG_SCEN'!$G$12</f>
        <v/>
      </c>
      <c r="F67" s="34">
        <f>IF('IN_SALES'!$D$11=1,'ENG_SCEN'!$F$28*'ENG_SCEN'!$F$29/1000000*'IN_SALES'!$D$12,'IN_SALES'!$D$10*POWER(1+'IN_SALES'!$D$13,'IN_MACRO'!$F$23)*(1+'IN_SALES'!$D$14*('ENG_SCEN'!$F$29/'ENG_SCEN'!$D$29-1)))*'ENG_SCEN'!$G$12</f>
        <v/>
      </c>
      <c r="G67" s="34">
        <f>IF('IN_SALES'!$D$11=1,'ENG_SCEN'!$G$28*'ENG_SCEN'!$G$29/1000000*'IN_SALES'!$D$12,'IN_SALES'!$D$10*POWER(1+'IN_SALES'!$D$13,'IN_MACRO'!$G$23)*(1+'IN_SALES'!$D$14*('ENG_SCEN'!$G$29/'ENG_SCEN'!$D$29-1)))*'ENG_SCEN'!$G$12</f>
        <v/>
      </c>
      <c r="H67" s="34">
        <f>IF('IN_SALES'!$D$11=1,'ENG_SCEN'!$H$28*'ENG_SCEN'!$H$29/1000000*'IN_SALES'!$D$12,'IN_SALES'!$D$10*POWER(1+'IN_SALES'!$D$13,'IN_MACRO'!$H$23)*(1+'IN_SALES'!$D$14*('ENG_SCEN'!$H$29/'ENG_SCEN'!$D$29-1)))*'ENG_SCEN'!$G$12</f>
        <v/>
      </c>
      <c r="I67" s="34">
        <f>IF('IN_SALES'!$D$11=1,'ENG_SCEN'!$I$28*'ENG_SCEN'!$I$29/1000000*'IN_SALES'!$D$12,'IN_SALES'!$D$10*POWER(1+'IN_SALES'!$D$13,'IN_MACRO'!$I$23)*(1+'IN_SALES'!$D$14*('ENG_SCEN'!$I$29/'ENG_SCEN'!$D$29-1)))*'ENG_SCEN'!$G$12</f>
        <v/>
      </c>
      <c r="J67" s="34">
        <f>IF('IN_SALES'!$D$11=1,'ENG_SCEN'!$J$28*'ENG_SCEN'!$J$29/1000000*'IN_SALES'!$D$12,'IN_SALES'!$D$10*POWER(1+'IN_SALES'!$D$13,'IN_MACRO'!$J$23)*(1+'IN_SALES'!$D$14*('ENG_SCEN'!$J$29/'ENG_SCEN'!$D$29-1)))*'ENG_SCEN'!$G$12</f>
        <v/>
      </c>
      <c r="K67" s="34">
        <f>IF('IN_SALES'!$D$11=1,'ENG_SCEN'!$K$28*'ENG_SCEN'!$K$29/1000000*'IN_SALES'!$D$12,'IN_SALES'!$D$10*POWER(1+'IN_SALES'!$D$13,'IN_MACRO'!$K$23)*(1+'IN_SALES'!$D$14*('ENG_SCEN'!$K$29/'ENG_SCEN'!$D$29-1)))*'ENG_SCEN'!$G$12</f>
        <v/>
      </c>
      <c r="L67" s="34">
        <f>IF('IN_SALES'!$D$11=1,'ENG_SCEN'!$L$28*'ENG_SCEN'!$L$29/1000000*'IN_SALES'!$D$12,'IN_SALES'!$D$10*POWER(1+'IN_SALES'!$D$13,'IN_MACRO'!$L$23)*(1+'IN_SALES'!$D$14*('ENG_SCEN'!$L$29/'ENG_SCEN'!$D$29-1)))*'ENG_SCEN'!$G$12</f>
        <v/>
      </c>
      <c r="M67" s="34">
        <f>IF('IN_SALES'!$D$11=1,'ENG_SCEN'!$M$28*'ENG_SCEN'!$M$29/1000000*'IN_SALES'!$D$12,'IN_SALES'!$D$10*POWER(1+'IN_SALES'!$D$13,'IN_MACRO'!$M$23)*(1+'IN_SALES'!$D$14*('ENG_SCEN'!$M$29/'ENG_SCEN'!$D$29-1)))*'ENG_SCEN'!$G$12</f>
        <v/>
      </c>
      <c r="N67" s="34">
        <f>IF('IN_SALES'!$D$11=1,'ENG_SCEN'!$N$28*'ENG_SCEN'!$N$29/1000000*'IN_SALES'!$D$12,'IN_SALES'!$D$10*POWER(1+'IN_SALES'!$D$13,'IN_MACRO'!$N$23)*(1+'IN_SALES'!$D$14*('ENG_SCEN'!$N$29/'ENG_SCEN'!$D$29-1)))*'ENG_SCEN'!$G$12</f>
        <v/>
      </c>
      <c r="O67" s="34">
        <f>IF('IN_SALES'!$D$11=1,'ENG_SCEN'!$O$28*'ENG_SCEN'!$O$29/1000000*'IN_SALES'!$D$12,'IN_SALES'!$D$10*POWER(1+'IN_SALES'!$D$13,'IN_MACRO'!$O$23)*(1+'IN_SALES'!$D$14*('ENG_SCEN'!$O$29/'ENG_SCEN'!$D$29-1)))*'ENG_SCEN'!$G$12</f>
        <v/>
      </c>
      <c r="P67" s="34">
        <f>IF('IN_SALES'!$D$11=1,'ENG_SCEN'!$P$28*'ENG_SCEN'!$P$29/1000000*'IN_SALES'!$D$12,'IN_SALES'!$D$10*POWER(1+'IN_SALES'!$D$13,'IN_MACRO'!$P$23)*(1+'IN_SALES'!$D$14*('ENG_SCEN'!$P$29/'ENG_SCEN'!$D$29-1)))*'ENG_SCEN'!$G$12</f>
        <v/>
      </c>
    </row>
    <row r="68">
      <c r="A68" s="15" t="inlineStr">
        <is>
          <t>قیمت فروش محصول 2</t>
        </is>
      </c>
      <c r="B68" s="16" t="inlineStr"/>
      <c r="C68" s="17" t="inlineStr">
        <is>
          <t>میلیون ریال/تن</t>
        </is>
      </c>
      <c r="D68" s="34">
        <f>IF('IN_SALES'!$E$11=1,'ENG_SCEN'!$D$28*'ENG_SCEN'!$D$29/1000000*'IN_SALES'!$E$12,'IN_SALES'!$E$10*POWER(1+'IN_SALES'!$E$13,'IN_MACRO'!$D$23)*(1+'IN_SALES'!$E$14*('ENG_SCEN'!$D$29/'ENG_SCEN'!$D$29-1)))*'ENG_SCEN'!$G$12</f>
        <v/>
      </c>
      <c r="E68" s="34">
        <f>IF('IN_SALES'!$E$11=1,'ENG_SCEN'!$E$28*'ENG_SCEN'!$E$29/1000000*'IN_SALES'!$E$12,'IN_SALES'!$E$10*POWER(1+'IN_SALES'!$E$13,'IN_MACRO'!$E$23)*(1+'IN_SALES'!$E$14*('ENG_SCEN'!$E$29/'ENG_SCEN'!$D$29-1)))*'ENG_SCEN'!$G$12</f>
        <v/>
      </c>
      <c r="F68" s="34">
        <f>IF('IN_SALES'!$E$11=1,'ENG_SCEN'!$F$28*'ENG_SCEN'!$F$29/1000000*'IN_SALES'!$E$12,'IN_SALES'!$E$10*POWER(1+'IN_SALES'!$E$13,'IN_MACRO'!$F$23)*(1+'IN_SALES'!$E$14*('ENG_SCEN'!$F$29/'ENG_SCEN'!$D$29-1)))*'ENG_SCEN'!$G$12</f>
        <v/>
      </c>
      <c r="G68" s="34">
        <f>IF('IN_SALES'!$E$11=1,'ENG_SCEN'!$G$28*'ENG_SCEN'!$G$29/1000000*'IN_SALES'!$E$12,'IN_SALES'!$E$10*POWER(1+'IN_SALES'!$E$13,'IN_MACRO'!$G$23)*(1+'IN_SALES'!$E$14*('ENG_SCEN'!$G$29/'ENG_SCEN'!$D$29-1)))*'ENG_SCEN'!$G$12</f>
        <v/>
      </c>
      <c r="H68" s="34">
        <f>IF('IN_SALES'!$E$11=1,'ENG_SCEN'!$H$28*'ENG_SCEN'!$H$29/1000000*'IN_SALES'!$E$12,'IN_SALES'!$E$10*POWER(1+'IN_SALES'!$E$13,'IN_MACRO'!$H$23)*(1+'IN_SALES'!$E$14*('ENG_SCEN'!$H$29/'ENG_SCEN'!$D$29-1)))*'ENG_SCEN'!$G$12</f>
        <v/>
      </c>
      <c r="I68" s="34">
        <f>IF('IN_SALES'!$E$11=1,'ENG_SCEN'!$I$28*'ENG_SCEN'!$I$29/1000000*'IN_SALES'!$E$12,'IN_SALES'!$E$10*POWER(1+'IN_SALES'!$E$13,'IN_MACRO'!$I$23)*(1+'IN_SALES'!$E$14*('ENG_SCEN'!$I$29/'ENG_SCEN'!$D$29-1)))*'ENG_SCEN'!$G$12</f>
        <v/>
      </c>
      <c r="J68" s="34">
        <f>IF('IN_SALES'!$E$11=1,'ENG_SCEN'!$J$28*'ENG_SCEN'!$J$29/1000000*'IN_SALES'!$E$12,'IN_SALES'!$E$10*POWER(1+'IN_SALES'!$E$13,'IN_MACRO'!$J$23)*(1+'IN_SALES'!$E$14*('ENG_SCEN'!$J$29/'ENG_SCEN'!$D$29-1)))*'ENG_SCEN'!$G$12</f>
        <v/>
      </c>
      <c r="K68" s="34">
        <f>IF('IN_SALES'!$E$11=1,'ENG_SCEN'!$K$28*'ENG_SCEN'!$K$29/1000000*'IN_SALES'!$E$12,'IN_SALES'!$E$10*POWER(1+'IN_SALES'!$E$13,'IN_MACRO'!$K$23)*(1+'IN_SALES'!$E$14*('ENG_SCEN'!$K$29/'ENG_SCEN'!$D$29-1)))*'ENG_SCEN'!$G$12</f>
        <v/>
      </c>
      <c r="L68" s="34">
        <f>IF('IN_SALES'!$E$11=1,'ENG_SCEN'!$L$28*'ENG_SCEN'!$L$29/1000000*'IN_SALES'!$E$12,'IN_SALES'!$E$10*POWER(1+'IN_SALES'!$E$13,'IN_MACRO'!$L$23)*(1+'IN_SALES'!$E$14*('ENG_SCEN'!$L$29/'ENG_SCEN'!$D$29-1)))*'ENG_SCEN'!$G$12</f>
        <v/>
      </c>
      <c r="M68" s="34">
        <f>IF('IN_SALES'!$E$11=1,'ENG_SCEN'!$M$28*'ENG_SCEN'!$M$29/1000000*'IN_SALES'!$E$12,'IN_SALES'!$E$10*POWER(1+'IN_SALES'!$E$13,'IN_MACRO'!$M$23)*(1+'IN_SALES'!$E$14*('ENG_SCEN'!$M$29/'ENG_SCEN'!$D$29-1)))*'ENG_SCEN'!$G$12</f>
        <v/>
      </c>
      <c r="N68" s="34">
        <f>IF('IN_SALES'!$E$11=1,'ENG_SCEN'!$N$28*'ENG_SCEN'!$N$29/1000000*'IN_SALES'!$E$12,'IN_SALES'!$E$10*POWER(1+'IN_SALES'!$E$13,'IN_MACRO'!$N$23)*(1+'IN_SALES'!$E$14*('ENG_SCEN'!$N$29/'ENG_SCEN'!$D$29-1)))*'ENG_SCEN'!$G$12</f>
        <v/>
      </c>
      <c r="O68" s="34">
        <f>IF('IN_SALES'!$E$11=1,'ENG_SCEN'!$O$28*'ENG_SCEN'!$O$29/1000000*'IN_SALES'!$E$12,'IN_SALES'!$E$10*POWER(1+'IN_SALES'!$E$13,'IN_MACRO'!$O$23)*(1+'IN_SALES'!$E$14*('ENG_SCEN'!$O$29/'ENG_SCEN'!$D$29-1)))*'ENG_SCEN'!$G$12</f>
        <v/>
      </c>
      <c r="P68" s="34">
        <f>IF('IN_SALES'!$E$11=1,'ENG_SCEN'!$P$28*'ENG_SCEN'!$P$29/1000000*'IN_SALES'!$E$12,'IN_SALES'!$E$10*POWER(1+'IN_SALES'!$E$13,'IN_MACRO'!$P$23)*(1+'IN_SALES'!$E$14*('ENG_SCEN'!$P$29/'ENG_SCEN'!$D$29-1)))*'ENG_SCEN'!$G$12</f>
        <v/>
      </c>
    </row>
    <row r="69">
      <c r="A69" s="15" t="inlineStr">
        <is>
          <t>قیمت فروش محصول 3</t>
        </is>
      </c>
      <c r="B69" s="16" t="inlineStr"/>
      <c r="C69" s="17" t="inlineStr">
        <is>
          <t>میلیون ریال/تن</t>
        </is>
      </c>
      <c r="D69" s="34">
        <f>IF('IN_SALES'!$F$11=1,'ENG_SCEN'!$D$28*'ENG_SCEN'!$D$29/1000000*'IN_SALES'!$F$12,'IN_SALES'!$F$10*POWER(1+'IN_SALES'!$F$13,'IN_MACRO'!$D$23)*(1+'IN_SALES'!$F$14*('ENG_SCEN'!$D$29/'ENG_SCEN'!$D$29-1)))*'ENG_SCEN'!$G$12</f>
        <v/>
      </c>
      <c r="E69" s="34">
        <f>IF('IN_SALES'!$F$11=1,'ENG_SCEN'!$E$28*'ENG_SCEN'!$E$29/1000000*'IN_SALES'!$F$12,'IN_SALES'!$F$10*POWER(1+'IN_SALES'!$F$13,'IN_MACRO'!$E$23)*(1+'IN_SALES'!$F$14*('ENG_SCEN'!$E$29/'ENG_SCEN'!$D$29-1)))*'ENG_SCEN'!$G$12</f>
        <v/>
      </c>
      <c r="F69" s="34">
        <f>IF('IN_SALES'!$F$11=1,'ENG_SCEN'!$F$28*'ENG_SCEN'!$F$29/1000000*'IN_SALES'!$F$12,'IN_SALES'!$F$10*POWER(1+'IN_SALES'!$F$13,'IN_MACRO'!$F$23)*(1+'IN_SALES'!$F$14*('ENG_SCEN'!$F$29/'ENG_SCEN'!$D$29-1)))*'ENG_SCEN'!$G$12</f>
        <v/>
      </c>
      <c r="G69" s="34">
        <f>IF('IN_SALES'!$F$11=1,'ENG_SCEN'!$G$28*'ENG_SCEN'!$G$29/1000000*'IN_SALES'!$F$12,'IN_SALES'!$F$10*POWER(1+'IN_SALES'!$F$13,'IN_MACRO'!$G$23)*(1+'IN_SALES'!$F$14*('ENG_SCEN'!$G$29/'ENG_SCEN'!$D$29-1)))*'ENG_SCEN'!$G$12</f>
        <v/>
      </c>
      <c r="H69" s="34">
        <f>IF('IN_SALES'!$F$11=1,'ENG_SCEN'!$H$28*'ENG_SCEN'!$H$29/1000000*'IN_SALES'!$F$12,'IN_SALES'!$F$10*POWER(1+'IN_SALES'!$F$13,'IN_MACRO'!$H$23)*(1+'IN_SALES'!$F$14*('ENG_SCEN'!$H$29/'ENG_SCEN'!$D$29-1)))*'ENG_SCEN'!$G$12</f>
        <v/>
      </c>
      <c r="I69" s="34">
        <f>IF('IN_SALES'!$F$11=1,'ENG_SCEN'!$I$28*'ENG_SCEN'!$I$29/1000000*'IN_SALES'!$F$12,'IN_SALES'!$F$10*POWER(1+'IN_SALES'!$F$13,'IN_MACRO'!$I$23)*(1+'IN_SALES'!$F$14*('ENG_SCEN'!$I$29/'ENG_SCEN'!$D$29-1)))*'ENG_SCEN'!$G$12</f>
        <v/>
      </c>
      <c r="J69" s="34">
        <f>IF('IN_SALES'!$F$11=1,'ENG_SCEN'!$J$28*'ENG_SCEN'!$J$29/1000000*'IN_SALES'!$F$12,'IN_SALES'!$F$10*POWER(1+'IN_SALES'!$F$13,'IN_MACRO'!$J$23)*(1+'IN_SALES'!$F$14*('ENG_SCEN'!$J$29/'ENG_SCEN'!$D$29-1)))*'ENG_SCEN'!$G$12</f>
        <v/>
      </c>
      <c r="K69" s="34">
        <f>IF('IN_SALES'!$F$11=1,'ENG_SCEN'!$K$28*'ENG_SCEN'!$K$29/1000000*'IN_SALES'!$F$12,'IN_SALES'!$F$10*POWER(1+'IN_SALES'!$F$13,'IN_MACRO'!$K$23)*(1+'IN_SALES'!$F$14*('ENG_SCEN'!$K$29/'ENG_SCEN'!$D$29-1)))*'ENG_SCEN'!$G$12</f>
        <v/>
      </c>
      <c r="L69" s="34">
        <f>IF('IN_SALES'!$F$11=1,'ENG_SCEN'!$L$28*'ENG_SCEN'!$L$29/1000000*'IN_SALES'!$F$12,'IN_SALES'!$F$10*POWER(1+'IN_SALES'!$F$13,'IN_MACRO'!$L$23)*(1+'IN_SALES'!$F$14*('ENG_SCEN'!$L$29/'ENG_SCEN'!$D$29-1)))*'ENG_SCEN'!$G$12</f>
        <v/>
      </c>
      <c r="M69" s="34">
        <f>IF('IN_SALES'!$F$11=1,'ENG_SCEN'!$M$28*'ENG_SCEN'!$M$29/1000000*'IN_SALES'!$F$12,'IN_SALES'!$F$10*POWER(1+'IN_SALES'!$F$13,'IN_MACRO'!$M$23)*(1+'IN_SALES'!$F$14*('ENG_SCEN'!$M$29/'ENG_SCEN'!$D$29-1)))*'ENG_SCEN'!$G$12</f>
        <v/>
      </c>
      <c r="N69" s="34">
        <f>IF('IN_SALES'!$F$11=1,'ENG_SCEN'!$N$28*'ENG_SCEN'!$N$29/1000000*'IN_SALES'!$F$12,'IN_SALES'!$F$10*POWER(1+'IN_SALES'!$F$13,'IN_MACRO'!$N$23)*(1+'IN_SALES'!$F$14*('ENG_SCEN'!$N$29/'ENG_SCEN'!$D$29-1)))*'ENG_SCEN'!$G$12</f>
        <v/>
      </c>
      <c r="O69" s="34">
        <f>IF('IN_SALES'!$F$11=1,'ENG_SCEN'!$O$28*'ENG_SCEN'!$O$29/1000000*'IN_SALES'!$F$12,'IN_SALES'!$F$10*POWER(1+'IN_SALES'!$F$13,'IN_MACRO'!$O$23)*(1+'IN_SALES'!$F$14*('ENG_SCEN'!$O$29/'ENG_SCEN'!$D$29-1)))*'ENG_SCEN'!$G$12</f>
        <v/>
      </c>
      <c r="P69" s="34">
        <f>IF('IN_SALES'!$F$11=1,'ENG_SCEN'!$P$28*'ENG_SCEN'!$P$29/1000000*'IN_SALES'!$F$12,'IN_SALES'!$F$10*POWER(1+'IN_SALES'!$F$13,'IN_MACRO'!$P$23)*(1+'IN_SALES'!$F$14*('ENG_SCEN'!$P$29/'ENG_SCEN'!$D$29-1)))*'ENG_SCEN'!$G$12</f>
        <v/>
      </c>
    </row>
    <row r="70">
      <c r="A70" s="15" t="inlineStr">
        <is>
          <t>قیمت فروش محصول 4</t>
        </is>
      </c>
      <c r="B70" s="16" t="inlineStr"/>
      <c r="C70" s="17" t="inlineStr">
        <is>
          <t>میلیون ریال/تن</t>
        </is>
      </c>
      <c r="D70" s="34">
        <f>IF('IN_SALES'!$G$11=1,'ENG_SCEN'!$D$28*'ENG_SCEN'!$D$29/1000000*'IN_SALES'!$G$12,'IN_SALES'!$G$10*POWER(1+'IN_SALES'!$G$13,'IN_MACRO'!$D$23)*(1+'IN_SALES'!$G$14*('ENG_SCEN'!$D$29/'ENG_SCEN'!$D$29-1)))*'ENG_SCEN'!$G$12</f>
        <v/>
      </c>
      <c r="E70" s="34">
        <f>IF('IN_SALES'!$G$11=1,'ENG_SCEN'!$E$28*'ENG_SCEN'!$E$29/1000000*'IN_SALES'!$G$12,'IN_SALES'!$G$10*POWER(1+'IN_SALES'!$G$13,'IN_MACRO'!$E$23)*(1+'IN_SALES'!$G$14*('ENG_SCEN'!$E$29/'ENG_SCEN'!$D$29-1)))*'ENG_SCEN'!$G$12</f>
        <v/>
      </c>
      <c r="F70" s="34">
        <f>IF('IN_SALES'!$G$11=1,'ENG_SCEN'!$F$28*'ENG_SCEN'!$F$29/1000000*'IN_SALES'!$G$12,'IN_SALES'!$G$10*POWER(1+'IN_SALES'!$G$13,'IN_MACRO'!$F$23)*(1+'IN_SALES'!$G$14*('ENG_SCEN'!$F$29/'ENG_SCEN'!$D$29-1)))*'ENG_SCEN'!$G$12</f>
        <v/>
      </c>
      <c r="G70" s="34">
        <f>IF('IN_SALES'!$G$11=1,'ENG_SCEN'!$G$28*'ENG_SCEN'!$G$29/1000000*'IN_SALES'!$G$12,'IN_SALES'!$G$10*POWER(1+'IN_SALES'!$G$13,'IN_MACRO'!$G$23)*(1+'IN_SALES'!$G$14*('ENG_SCEN'!$G$29/'ENG_SCEN'!$D$29-1)))*'ENG_SCEN'!$G$12</f>
        <v/>
      </c>
      <c r="H70" s="34">
        <f>IF('IN_SALES'!$G$11=1,'ENG_SCEN'!$H$28*'ENG_SCEN'!$H$29/1000000*'IN_SALES'!$G$12,'IN_SALES'!$G$10*POWER(1+'IN_SALES'!$G$13,'IN_MACRO'!$H$23)*(1+'IN_SALES'!$G$14*('ENG_SCEN'!$H$29/'ENG_SCEN'!$D$29-1)))*'ENG_SCEN'!$G$12</f>
        <v/>
      </c>
      <c r="I70" s="34">
        <f>IF('IN_SALES'!$G$11=1,'ENG_SCEN'!$I$28*'ENG_SCEN'!$I$29/1000000*'IN_SALES'!$G$12,'IN_SALES'!$G$10*POWER(1+'IN_SALES'!$G$13,'IN_MACRO'!$I$23)*(1+'IN_SALES'!$G$14*('ENG_SCEN'!$I$29/'ENG_SCEN'!$D$29-1)))*'ENG_SCEN'!$G$12</f>
        <v/>
      </c>
      <c r="J70" s="34">
        <f>IF('IN_SALES'!$G$11=1,'ENG_SCEN'!$J$28*'ENG_SCEN'!$J$29/1000000*'IN_SALES'!$G$12,'IN_SALES'!$G$10*POWER(1+'IN_SALES'!$G$13,'IN_MACRO'!$J$23)*(1+'IN_SALES'!$G$14*('ENG_SCEN'!$J$29/'ENG_SCEN'!$D$29-1)))*'ENG_SCEN'!$G$12</f>
        <v/>
      </c>
      <c r="K70" s="34">
        <f>IF('IN_SALES'!$G$11=1,'ENG_SCEN'!$K$28*'ENG_SCEN'!$K$29/1000000*'IN_SALES'!$G$12,'IN_SALES'!$G$10*POWER(1+'IN_SALES'!$G$13,'IN_MACRO'!$K$23)*(1+'IN_SALES'!$G$14*('ENG_SCEN'!$K$29/'ENG_SCEN'!$D$29-1)))*'ENG_SCEN'!$G$12</f>
        <v/>
      </c>
      <c r="L70" s="34">
        <f>IF('IN_SALES'!$G$11=1,'ENG_SCEN'!$L$28*'ENG_SCEN'!$L$29/1000000*'IN_SALES'!$G$12,'IN_SALES'!$G$10*POWER(1+'IN_SALES'!$G$13,'IN_MACRO'!$L$23)*(1+'IN_SALES'!$G$14*('ENG_SCEN'!$L$29/'ENG_SCEN'!$D$29-1)))*'ENG_SCEN'!$G$12</f>
        <v/>
      </c>
      <c r="M70" s="34">
        <f>IF('IN_SALES'!$G$11=1,'ENG_SCEN'!$M$28*'ENG_SCEN'!$M$29/1000000*'IN_SALES'!$G$12,'IN_SALES'!$G$10*POWER(1+'IN_SALES'!$G$13,'IN_MACRO'!$M$23)*(1+'IN_SALES'!$G$14*('ENG_SCEN'!$M$29/'ENG_SCEN'!$D$29-1)))*'ENG_SCEN'!$G$12</f>
        <v/>
      </c>
      <c r="N70" s="34">
        <f>IF('IN_SALES'!$G$11=1,'ENG_SCEN'!$N$28*'ENG_SCEN'!$N$29/1000000*'IN_SALES'!$G$12,'IN_SALES'!$G$10*POWER(1+'IN_SALES'!$G$13,'IN_MACRO'!$N$23)*(1+'IN_SALES'!$G$14*('ENG_SCEN'!$N$29/'ENG_SCEN'!$D$29-1)))*'ENG_SCEN'!$G$12</f>
        <v/>
      </c>
      <c r="O70" s="34">
        <f>IF('IN_SALES'!$G$11=1,'ENG_SCEN'!$O$28*'ENG_SCEN'!$O$29/1000000*'IN_SALES'!$G$12,'IN_SALES'!$G$10*POWER(1+'IN_SALES'!$G$13,'IN_MACRO'!$O$23)*(1+'IN_SALES'!$G$14*('ENG_SCEN'!$O$29/'ENG_SCEN'!$D$29-1)))*'ENG_SCEN'!$G$12</f>
        <v/>
      </c>
      <c r="P70" s="34">
        <f>IF('IN_SALES'!$G$11=1,'ENG_SCEN'!$P$28*'ENG_SCEN'!$P$29/1000000*'IN_SALES'!$G$12,'IN_SALES'!$G$10*POWER(1+'IN_SALES'!$G$13,'IN_MACRO'!$P$23)*(1+'IN_SALES'!$G$14*('ENG_SCEN'!$P$29/'ENG_SCEN'!$D$29-1)))*'ENG_SCEN'!$G$12</f>
        <v/>
      </c>
    </row>
    <row r="71">
      <c r="A71" s="15" t="inlineStr">
        <is>
          <t>مقدار فروش محصول 1</t>
        </is>
      </c>
      <c r="B71" s="16" t="inlineStr">
        <is>
          <t>OPS.vol</t>
        </is>
      </c>
      <c r="C71" s="17" t="inlineStr">
        <is>
          <t>تن</t>
        </is>
      </c>
      <c r="D71" s="33">
        <f>'ENG_OPS'!$D$39*'IN_SALES'!$D$16</f>
        <v/>
      </c>
      <c r="E71" s="33">
        <f>'ENG_OPS'!$E$39*'IN_SALES'!$D$16</f>
        <v/>
      </c>
      <c r="F71" s="33">
        <f>'ENG_OPS'!$F$39*'IN_SALES'!$D$16</f>
        <v/>
      </c>
      <c r="G71" s="33">
        <f>'ENG_OPS'!$G$39*'IN_SALES'!$D$16</f>
        <v/>
      </c>
      <c r="H71" s="33">
        <f>'ENG_OPS'!$H$39*'IN_SALES'!$D$16</f>
        <v/>
      </c>
      <c r="I71" s="33">
        <f>'ENG_OPS'!$I$39*'IN_SALES'!$D$16</f>
        <v/>
      </c>
      <c r="J71" s="33">
        <f>'ENG_OPS'!$J$39*'IN_SALES'!$D$16</f>
        <v/>
      </c>
      <c r="K71" s="33">
        <f>'ENG_OPS'!$K$39*'IN_SALES'!$D$16</f>
        <v/>
      </c>
      <c r="L71" s="33">
        <f>'ENG_OPS'!$L$39*'IN_SALES'!$D$16</f>
        <v/>
      </c>
      <c r="M71" s="33">
        <f>'ENG_OPS'!$M$39*'IN_SALES'!$D$16</f>
        <v/>
      </c>
      <c r="N71" s="33">
        <f>'ENG_OPS'!$N$39*'IN_SALES'!$D$16</f>
        <v/>
      </c>
      <c r="O71" s="33">
        <f>'ENG_OPS'!$O$39*'IN_SALES'!$D$16</f>
        <v/>
      </c>
      <c r="P71" s="33">
        <f>'ENG_OPS'!$P$39*'IN_SALES'!$D$16</f>
        <v/>
      </c>
    </row>
    <row r="72">
      <c r="A72" s="15" t="inlineStr">
        <is>
          <t>مقدار فروش محصول 2</t>
        </is>
      </c>
      <c r="B72" s="16" t="inlineStr"/>
      <c r="C72" s="17" t="inlineStr">
        <is>
          <t>تن</t>
        </is>
      </c>
      <c r="D72" s="33">
        <f>'ENG_OPS'!$D$40*'IN_SALES'!$E$16</f>
        <v/>
      </c>
      <c r="E72" s="33">
        <f>'ENG_OPS'!$E$40*'IN_SALES'!$E$16</f>
        <v/>
      </c>
      <c r="F72" s="33">
        <f>'ENG_OPS'!$F$40*'IN_SALES'!$E$16</f>
        <v/>
      </c>
      <c r="G72" s="33">
        <f>'ENG_OPS'!$G$40*'IN_SALES'!$E$16</f>
        <v/>
      </c>
      <c r="H72" s="33">
        <f>'ENG_OPS'!$H$40*'IN_SALES'!$E$16</f>
        <v/>
      </c>
      <c r="I72" s="33">
        <f>'ENG_OPS'!$I$40*'IN_SALES'!$E$16</f>
        <v/>
      </c>
      <c r="J72" s="33">
        <f>'ENG_OPS'!$J$40*'IN_SALES'!$E$16</f>
        <v/>
      </c>
      <c r="K72" s="33">
        <f>'ENG_OPS'!$K$40*'IN_SALES'!$E$16</f>
        <v/>
      </c>
      <c r="L72" s="33">
        <f>'ENG_OPS'!$L$40*'IN_SALES'!$E$16</f>
        <v/>
      </c>
      <c r="M72" s="33">
        <f>'ENG_OPS'!$M$40*'IN_SALES'!$E$16</f>
        <v/>
      </c>
      <c r="N72" s="33">
        <f>'ENG_OPS'!$N$40*'IN_SALES'!$E$16</f>
        <v/>
      </c>
      <c r="O72" s="33">
        <f>'ENG_OPS'!$O$40*'IN_SALES'!$E$16</f>
        <v/>
      </c>
      <c r="P72" s="33">
        <f>'ENG_OPS'!$P$40*'IN_SALES'!$E$16</f>
        <v/>
      </c>
    </row>
    <row r="73">
      <c r="A73" s="15" t="inlineStr">
        <is>
          <t>مقدار فروش محصول 3</t>
        </is>
      </c>
      <c r="B73" s="16" t="inlineStr"/>
      <c r="C73" s="17" t="inlineStr">
        <is>
          <t>تن</t>
        </is>
      </c>
      <c r="D73" s="33">
        <f>'ENG_OPS'!$D$41*'IN_SALES'!$F$16</f>
        <v/>
      </c>
      <c r="E73" s="33">
        <f>'ENG_OPS'!$E$41*'IN_SALES'!$F$16</f>
        <v/>
      </c>
      <c r="F73" s="33">
        <f>'ENG_OPS'!$F$41*'IN_SALES'!$F$16</f>
        <v/>
      </c>
      <c r="G73" s="33">
        <f>'ENG_OPS'!$G$41*'IN_SALES'!$F$16</f>
        <v/>
      </c>
      <c r="H73" s="33">
        <f>'ENG_OPS'!$H$41*'IN_SALES'!$F$16</f>
        <v/>
      </c>
      <c r="I73" s="33">
        <f>'ENG_OPS'!$I$41*'IN_SALES'!$F$16</f>
        <v/>
      </c>
      <c r="J73" s="33">
        <f>'ENG_OPS'!$J$41*'IN_SALES'!$F$16</f>
        <v/>
      </c>
      <c r="K73" s="33">
        <f>'ENG_OPS'!$K$41*'IN_SALES'!$F$16</f>
        <v/>
      </c>
      <c r="L73" s="33">
        <f>'ENG_OPS'!$L$41*'IN_SALES'!$F$16</f>
        <v/>
      </c>
      <c r="M73" s="33">
        <f>'ENG_OPS'!$M$41*'IN_SALES'!$F$16</f>
        <v/>
      </c>
      <c r="N73" s="33">
        <f>'ENG_OPS'!$N$41*'IN_SALES'!$F$16</f>
        <v/>
      </c>
      <c r="O73" s="33">
        <f>'ENG_OPS'!$O$41*'IN_SALES'!$F$16</f>
        <v/>
      </c>
      <c r="P73" s="33">
        <f>'ENG_OPS'!$P$41*'IN_SALES'!$F$16</f>
        <v/>
      </c>
    </row>
    <row r="74">
      <c r="A74" s="15" t="inlineStr">
        <is>
          <t>مقدار فروش محصول 4</t>
        </is>
      </c>
      <c r="B74" s="16" t="inlineStr"/>
      <c r="C74" s="17" t="inlineStr">
        <is>
          <t>تن</t>
        </is>
      </c>
      <c r="D74" s="33">
        <f>'ENG_OPS'!$D$42*'IN_SALES'!$G$16</f>
        <v/>
      </c>
      <c r="E74" s="33">
        <f>'ENG_OPS'!$E$42*'IN_SALES'!$G$16</f>
        <v/>
      </c>
      <c r="F74" s="33">
        <f>'ENG_OPS'!$F$42*'IN_SALES'!$G$16</f>
        <v/>
      </c>
      <c r="G74" s="33">
        <f>'ENG_OPS'!$G$42*'IN_SALES'!$G$16</f>
        <v/>
      </c>
      <c r="H74" s="33">
        <f>'ENG_OPS'!$H$42*'IN_SALES'!$G$16</f>
        <v/>
      </c>
      <c r="I74" s="33">
        <f>'ENG_OPS'!$I$42*'IN_SALES'!$G$16</f>
        <v/>
      </c>
      <c r="J74" s="33">
        <f>'ENG_OPS'!$J$42*'IN_SALES'!$G$16</f>
        <v/>
      </c>
      <c r="K74" s="33">
        <f>'ENG_OPS'!$K$42*'IN_SALES'!$G$16</f>
        <v/>
      </c>
      <c r="L74" s="33">
        <f>'ENG_OPS'!$L$42*'IN_SALES'!$G$16</f>
        <v/>
      </c>
      <c r="M74" s="33">
        <f>'ENG_OPS'!$M$42*'IN_SALES'!$G$16</f>
        <v/>
      </c>
      <c r="N74" s="33">
        <f>'ENG_OPS'!$N$42*'IN_SALES'!$G$16</f>
        <v/>
      </c>
      <c r="O74" s="33">
        <f>'ENG_OPS'!$O$42*'IN_SALES'!$G$16</f>
        <v/>
      </c>
      <c r="P74" s="33">
        <f>'ENG_OPS'!$P$42*'IN_SALES'!$G$16</f>
        <v/>
      </c>
    </row>
    <row r="75">
      <c r="A75" s="15" t="inlineStr">
        <is>
          <t>درآمد ناخالص محصول 1</t>
        </is>
      </c>
      <c r="B75" s="16" t="inlineStr">
        <is>
          <t>OPS.grev</t>
        </is>
      </c>
      <c r="C75" s="17" t="inlineStr">
        <is>
          <t>میلیون ریال</t>
        </is>
      </c>
      <c r="D75" s="33">
        <f>'ENG_OPS'!$D$71*'ENG_OPS'!$D$67</f>
        <v/>
      </c>
      <c r="E75" s="33">
        <f>'ENG_OPS'!$E$71*'ENG_OPS'!$E$67</f>
        <v/>
      </c>
      <c r="F75" s="33">
        <f>'ENG_OPS'!$F$71*'ENG_OPS'!$F$67</f>
        <v/>
      </c>
      <c r="G75" s="33">
        <f>'ENG_OPS'!$G$71*'ENG_OPS'!$G$67</f>
        <v/>
      </c>
      <c r="H75" s="33">
        <f>'ENG_OPS'!$H$71*'ENG_OPS'!$H$67</f>
        <v/>
      </c>
      <c r="I75" s="33">
        <f>'ENG_OPS'!$I$71*'ENG_OPS'!$I$67</f>
        <v/>
      </c>
      <c r="J75" s="33">
        <f>'ENG_OPS'!$J$71*'ENG_OPS'!$J$67</f>
        <v/>
      </c>
      <c r="K75" s="33">
        <f>'ENG_OPS'!$K$71*'ENG_OPS'!$K$67</f>
        <v/>
      </c>
      <c r="L75" s="33">
        <f>'ENG_OPS'!$L$71*'ENG_OPS'!$L$67</f>
        <v/>
      </c>
      <c r="M75" s="33">
        <f>'ENG_OPS'!$M$71*'ENG_OPS'!$M$67</f>
        <v/>
      </c>
      <c r="N75" s="33">
        <f>'ENG_OPS'!$N$71*'ENG_OPS'!$N$67</f>
        <v/>
      </c>
      <c r="O75" s="33">
        <f>'ENG_OPS'!$O$71*'ENG_OPS'!$O$67</f>
        <v/>
      </c>
      <c r="P75" s="33">
        <f>'ENG_OPS'!$P$71*'ENG_OPS'!$P$67</f>
        <v/>
      </c>
    </row>
    <row r="76">
      <c r="A76" s="15" t="inlineStr">
        <is>
          <t>درآمد ناخالص محصول 2</t>
        </is>
      </c>
      <c r="B76" s="16" t="inlineStr"/>
      <c r="C76" s="17" t="inlineStr">
        <is>
          <t>میلیون ریال</t>
        </is>
      </c>
      <c r="D76" s="33">
        <f>'ENG_OPS'!$D$72*'ENG_OPS'!$D$68</f>
        <v/>
      </c>
      <c r="E76" s="33">
        <f>'ENG_OPS'!$E$72*'ENG_OPS'!$E$68</f>
        <v/>
      </c>
      <c r="F76" s="33">
        <f>'ENG_OPS'!$F$72*'ENG_OPS'!$F$68</f>
        <v/>
      </c>
      <c r="G76" s="33">
        <f>'ENG_OPS'!$G$72*'ENG_OPS'!$G$68</f>
        <v/>
      </c>
      <c r="H76" s="33">
        <f>'ENG_OPS'!$H$72*'ENG_OPS'!$H$68</f>
        <v/>
      </c>
      <c r="I76" s="33">
        <f>'ENG_OPS'!$I$72*'ENG_OPS'!$I$68</f>
        <v/>
      </c>
      <c r="J76" s="33">
        <f>'ENG_OPS'!$J$72*'ENG_OPS'!$J$68</f>
        <v/>
      </c>
      <c r="K76" s="33">
        <f>'ENG_OPS'!$K$72*'ENG_OPS'!$K$68</f>
        <v/>
      </c>
      <c r="L76" s="33">
        <f>'ENG_OPS'!$L$72*'ENG_OPS'!$L$68</f>
        <v/>
      </c>
      <c r="M76" s="33">
        <f>'ENG_OPS'!$M$72*'ENG_OPS'!$M$68</f>
        <v/>
      </c>
      <c r="N76" s="33">
        <f>'ENG_OPS'!$N$72*'ENG_OPS'!$N$68</f>
        <v/>
      </c>
      <c r="O76" s="33">
        <f>'ENG_OPS'!$O$72*'ENG_OPS'!$O$68</f>
        <v/>
      </c>
      <c r="P76" s="33">
        <f>'ENG_OPS'!$P$72*'ENG_OPS'!$P$68</f>
        <v/>
      </c>
    </row>
    <row r="77">
      <c r="A77" s="15" t="inlineStr">
        <is>
          <t>درآمد ناخالص محصول 3</t>
        </is>
      </c>
      <c r="B77" s="16" t="inlineStr"/>
      <c r="C77" s="17" t="inlineStr">
        <is>
          <t>میلیون ریال</t>
        </is>
      </c>
      <c r="D77" s="33">
        <f>'ENG_OPS'!$D$73*'ENG_OPS'!$D$69</f>
        <v/>
      </c>
      <c r="E77" s="33">
        <f>'ENG_OPS'!$E$73*'ENG_OPS'!$E$69</f>
        <v/>
      </c>
      <c r="F77" s="33">
        <f>'ENG_OPS'!$F$73*'ENG_OPS'!$F$69</f>
        <v/>
      </c>
      <c r="G77" s="33">
        <f>'ENG_OPS'!$G$73*'ENG_OPS'!$G$69</f>
        <v/>
      </c>
      <c r="H77" s="33">
        <f>'ENG_OPS'!$H$73*'ENG_OPS'!$H$69</f>
        <v/>
      </c>
      <c r="I77" s="33">
        <f>'ENG_OPS'!$I$73*'ENG_OPS'!$I$69</f>
        <v/>
      </c>
      <c r="J77" s="33">
        <f>'ENG_OPS'!$J$73*'ENG_OPS'!$J$69</f>
        <v/>
      </c>
      <c r="K77" s="33">
        <f>'ENG_OPS'!$K$73*'ENG_OPS'!$K$69</f>
        <v/>
      </c>
      <c r="L77" s="33">
        <f>'ENG_OPS'!$L$73*'ENG_OPS'!$L$69</f>
        <v/>
      </c>
      <c r="M77" s="33">
        <f>'ENG_OPS'!$M$73*'ENG_OPS'!$M$69</f>
        <v/>
      </c>
      <c r="N77" s="33">
        <f>'ENG_OPS'!$N$73*'ENG_OPS'!$N$69</f>
        <v/>
      </c>
      <c r="O77" s="33">
        <f>'ENG_OPS'!$O$73*'ENG_OPS'!$O$69</f>
        <v/>
      </c>
      <c r="P77" s="33">
        <f>'ENG_OPS'!$P$73*'ENG_OPS'!$P$69</f>
        <v/>
      </c>
    </row>
    <row r="78">
      <c r="A78" s="15" t="inlineStr">
        <is>
          <t>درآمد ناخالص محصول 4</t>
        </is>
      </c>
      <c r="B78" s="16" t="inlineStr"/>
      <c r="C78" s="17" t="inlineStr">
        <is>
          <t>میلیون ریال</t>
        </is>
      </c>
      <c r="D78" s="33">
        <f>'ENG_OPS'!$D$74*'ENG_OPS'!$D$70</f>
        <v/>
      </c>
      <c r="E78" s="33">
        <f>'ENG_OPS'!$E$74*'ENG_OPS'!$E$70</f>
        <v/>
      </c>
      <c r="F78" s="33">
        <f>'ENG_OPS'!$F$74*'ENG_OPS'!$F$70</f>
        <v/>
      </c>
      <c r="G78" s="33">
        <f>'ENG_OPS'!$G$74*'ENG_OPS'!$G$70</f>
        <v/>
      </c>
      <c r="H78" s="33">
        <f>'ENG_OPS'!$H$74*'ENG_OPS'!$H$70</f>
        <v/>
      </c>
      <c r="I78" s="33">
        <f>'ENG_OPS'!$I$74*'ENG_OPS'!$I$70</f>
        <v/>
      </c>
      <c r="J78" s="33">
        <f>'ENG_OPS'!$J$74*'ENG_OPS'!$J$70</f>
        <v/>
      </c>
      <c r="K78" s="33">
        <f>'ENG_OPS'!$K$74*'ENG_OPS'!$K$70</f>
        <v/>
      </c>
      <c r="L78" s="33">
        <f>'ENG_OPS'!$L$74*'ENG_OPS'!$L$70</f>
        <v/>
      </c>
      <c r="M78" s="33">
        <f>'ENG_OPS'!$M$74*'ENG_OPS'!$M$70</f>
        <v/>
      </c>
      <c r="N78" s="33">
        <f>'ENG_OPS'!$N$74*'ENG_OPS'!$N$70</f>
        <v/>
      </c>
      <c r="O78" s="33">
        <f>'ENG_OPS'!$O$74*'ENG_OPS'!$O$70</f>
        <v/>
      </c>
      <c r="P78" s="33">
        <f>'ENG_OPS'!$P$74*'ENG_OPS'!$P$70</f>
        <v/>
      </c>
    </row>
    <row r="79">
      <c r="A79" s="15" t="inlineStr">
        <is>
          <t>جمع درآمد ناخالص</t>
        </is>
      </c>
      <c r="B79" s="16" t="inlineStr">
        <is>
          <t>OPS.grev_t</t>
        </is>
      </c>
      <c r="C79" s="17" t="inlineStr">
        <is>
          <t>میلیون ریال</t>
        </is>
      </c>
      <c r="D79" s="33">
        <f>'ENG_OPS'!$D$75+'ENG_OPS'!$D$76+'ENG_OPS'!$D$77+'ENG_OPS'!$D$78</f>
        <v/>
      </c>
      <c r="E79" s="33">
        <f>'ENG_OPS'!$E$75+'ENG_OPS'!$E$76+'ENG_OPS'!$E$77+'ENG_OPS'!$E$78</f>
        <v/>
      </c>
      <c r="F79" s="33">
        <f>'ENG_OPS'!$F$75+'ENG_OPS'!$F$76+'ENG_OPS'!$F$77+'ENG_OPS'!$F$78</f>
        <v/>
      </c>
      <c r="G79" s="33">
        <f>'ENG_OPS'!$G$75+'ENG_OPS'!$G$76+'ENG_OPS'!$G$77+'ENG_OPS'!$G$78</f>
        <v/>
      </c>
      <c r="H79" s="33">
        <f>'ENG_OPS'!$H$75+'ENG_OPS'!$H$76+'ENG_OPS'!$H$77+'ENG_OPS'!$H$78</f>
        <v/>
      </c>
      <c r="I79" s="33">
        <f>'ENG_OPS'!$I$75+'ENG_OPS'!$I$76+'ENG_OPS'!$I$77+'ENG_OPS'!$I$78</f>
        <v/>
      </c>
      <c r="J79" s="33">
        <f>'ENG_OPS'!$J$75+'ENG_OPS'!$J$76+'ENG_OPS'!$J$77+'ENG_OPS'!$J$78</f>
        <v/>
      </c>
      <c r="K79" s="33">
        <f>'ENG_OPS'!$K$75+'ENG_OPS'!$K$76+'ENG_OPS'!$K$77+'ENG_OPS'!$K$78</f>
        <v/>
      </c>
      <c r="L79" s="33">
        <f>'ENG_OPS'!$L$75+'ENG_OPS'!$L$76+'ENG_OPS'!$L$77+'ENG_OPS'!$L$78</f>
        <v/>
      </c>
      <c r="M79" s="33">
        <f>'ENG_OPS'!$M$75+'ENG_OPS'!$M$76+'ENG_OPS'!$M$77+'ENG_OPS'!$M$78</f>
        <v/>
      </c>
      <c r="N79" s="33">
        <f>'ENG_OPS'!$N$75+'ENG_OPS'!$N$76+'ENG_OPS'!$N$77+'ENG_OPS'!$N$78</f>
        <v/>
      </c>
      <c r="O79" s="33">
        <f>'ENG_OPS'!$O$75+'ENG_OPS'!$O$76+'ENG_OPS'!$O$77+'ENG_OPS'!$O$78</f>
        <v/>
      </c>
      <c r="P79" s="33">
        <f>'ENG_OPS'!$P$75+'ENG_OPS'!$P$76+'ENG_OPS'!$P$77+'ENG_OPS'!$P$78</f>
        <v/>
      </c>
    </row>
    <row r="80">
      <c r="A80" s="15" t="inlineStr">
        <is>
          <t>تخفیفات و برگشت از فروش</t>
        </is>
      </c>
      <c r="B80" s="16" t="inlineStr">
        <is>
          <t>OPS.disc</t>
        </is>
      </c>
      <c r="C80" s="17" t="inlineStr">
        <is>
          <t>میلیون ریال</t>
        </is>
      </c>
      <c r="D80" s="33">
        <f>('ENG_OPS'!$D$75*'IN_SALES'!$D$15)+('ENG_OPS'!$D$76*'IN_SALES'!$E$15)+('ENG_OPS'!$D$77*'IN_SALES'!$F$15)+('ENG_OPS'!$D$78*'IN_SALES'!$G$15)</f>
        <v/>
      </c>
      <c r="E80" s="33">
        <f>('ENG_OPS'!$E$75*'IN_SALES'!$D$15)+('ENG_OPS'!$E$76*'IN_SALES'!$E$15)+('ENG_OPS'!$E$77*'IN_SALES'!$F$15)+('ENG_OPS'!$E$78*'IN_SALES'!$G$15)</f>
        <v/>
      </c>
      <c r="F80" s="33">
        <f>('ENG_OPS'!$F$75*'IN_SALES'!$D$15)+('ENG_OPS'!$F$76*'IN_SALES'!$E$15)+('ENG_OPS'!$F$77*'IN_SALES'!$F$15)+('ENG_OPS'!$F$78*'IN_SALES'!$G$15)</f>
        <v/>
      </c>
      <c r="G80" s="33">
        <f>('ENG_OPS'!$G$75*'IN_SALES'!$D$15)+('ENG_OPS'!$G$76*'IN_SALES'!$E$15)+('ENG_OPS'!$G$77*'IN_SALES'!$F$15)+('ENG_OPS'!$G$78*'IN_SALES'!$G$15)</f>
        <v/>
      </c>
      <c r="H80" s="33">
        <f>('ENG_OPS'!$H$75*'IN_SALES'!$D$15)+('ENG_OPS'!$H$76*'IN_SALES'!$E$15)+('ENG_OPS'!$H$77*'IN_SALES'!$F$15)+('ENG_OPS'!$H$78*'IN_SALES'!$G$15)</f>
        <v/>
      </c>
      <c r="I80" s="33">
        <f>('ENG_OPS'!$I$75*'IN_SALES'!$D$15)+('ENG_OPS'!$I$76*'IN_SALES'!$E$15)+('ENG_OPS'!$I$77*'IN_SALES'!$F$15)+('ENG_OPS'!$I$78*'IN_SALES'!$G$15)</f>
        <v/>
      </c>
      <c r="J80" s="33">
        <f>('ENG_OPS'!$J$75*'IN_SALES'!$D$15)+('ENG_OPS'!$J$76*'IN_SALES'!$E$15)+('ENG_OPS'!$J$77*'IN_SALES'!$F$15)+('ENG_OPS'!$J$78*'IN_SALES'!$G$15)</f>
        <v/>
      </c>
      <c r="K80" s="33">
        <f>('ENG_OPS'!$K$75*'IN_SALES'!$D$15)+('ENG_OPS'!$K$76*'IN_SALES'!$E$15)+('ENG_OPS'!$K$77*'IN_SALES'!$F$15)+('ENG_OPS'!$K$78*'IN_SALES'!$G$15)</f>
        <v/>
      </c>
      <c r="L80" s="33">
        <f>('ENG_OPS'!$L$75*'IN_SALES'!$D$15)+('ENG_OPS'!$L$76*'IN_SALES'!$E$15)+('ENG_OPS'!$L$77*'IN_SALES'!$F$15)+('ENG_OPS'!$L$78*'IN_SALES'!$G$15)</f>
        <v/>
      </c>
      <c r="M80" s="33">
        <f>('ENG_OPS'!$M$75*'IN_SALES'!$D$15)+('ENG_OPS'!$M$76*'IN_SALES'!$E$15)+('ENG_OPS'!$M$77*'IN_SALES'!$F$15)+('ENG_OPS'!$M$78*'IN_SALES'!$G$15)</f>
        <v/>
      </c>
      <c r="N80" s="33">
        <f>('ENG_OPS'!$N$75*'IN_SALES'!$D$15)+('ENG_OPS'!$N$76*'IN_SALES'!$E$15)+('ENG_OPS'!$N$77*'IN_SALES'!$F$15)+('ENG_OPS'!$N$78*'IN_SALES'!$G$15)</f>
        <v/>
      </c>
      <c r="O80" s="33">
        <f>('ENG_OPS'!$O$75*'IN_SALES'!$D$15)+('ENG_OPS'!$O$76*'IN_SALES'!$E$15)+('ENG_OPS'!$O$77*'IN_SALES'!$F$15)+('ENG_OPS'!$O$78*'IN_SALES'!$G$15)</f>
        <v/>
      </c>
      <c r="P80" s="33">
        <f>('ENG_OPS'!$P$75*'IN_SALES'!$D$15)+('ENG_OPS'!$P$76*'IN_SALES'!$E$15)+('ENG_OPS'!$P$77*'IN_SALES'!$F$15)+('ENG_OPS'!$P$78*'IN_SALES'!$G$15)</f>
        <v/>
      </c>
    </row>
    <row r="81">
      <c r="A81" s="15" t="inlineStr">
        <is>
          <t>درآمد خالص</t>
        </is>
      </c>
      <c r="B81" s="16" t="inlineStr">
        <is>
          <t>OPS.rev</t>
        </is>
      </c>
      <c r="C81" s="17" t="inlineStr">
        <is>
          <t>میلیون ریال</t>
        </is>
      </c>
      <c r="D81" s="33">
        <f>'ENG_OPS'!$D$79-'ENG_OPS'!$D$80</f>
        <v/>
      </c>
      <c r="E81" s="33">
        <f>'ENG_OPS'!$E$79-'ENG_OPS'!$E$80</f>
        <v/>
      </c>
      <c r="F81" s="33">
        <f>'ENG_OPS'!$F$79-'ENG_OPS'!$F$80</f>
        <v/>
      </c>
      <c r="G81" s="33">
        <f>'ENG_OPS'!$G$79-'ENG_OPS'!$G$80</f>
        <v/>
      </c>
      <c r="H81" s="33">
        <f>'ENG_OPS'!$H$79-'ENG_OPS'!$H$80</f>
        <v/>
      </c>
      <c r="I81" s="33">
        <f>'ENG_OPS'!$I$79-'ENG_OPS'!$I$80</f>
        <v/>
      </c>
      <c r="J81" s="33">
        <f>'ENG_OPS'!$J$79-'ENG_OPS'!$J$80</f>
        <v/>
      </c>
      <c r="K81" s="33">
        <f>'ENG_OPS'!$K$79-'ENG_OPS'!$K$80</f>
        <v/>
      </c>
      <c r="L81" s="33">
        <f>'ENG_OPS'!$L$79-'ENG_OPS'!$L$80</f>
        <v/>
      </c>
      <c r="M81" s="33">
        <f>'ENG_OPS'!$M$79-'ENG_OPS'!$M$80</f>
        <v/>
      </c>
      <c r="N81" s="33">
        <f>'ENG_OPS'!$N$79-'ENG_OPS'!$N$80</f>
        <v/>
      </c>
      <c r="O81" s="33">
        <f>'ENG_OPS'!$O$79-'ENG_OPS'!$O$80</f>
        <v/>
      </c>
      <c r="P81" s="33">
        <f>'ENG_OPS'!$P$79-'ENG_OPS'!$P$80</f>
        <v/>
      </c>
    </row>
    <row r="82">
      <c r="A82" s="15" t="inlineStr">
        <is>
          <t>جمع تن فروخته‌شده</t>
        </is>
      </c>
      <c r="B82" s="16" t="inlineStr">
        <is>
          <t>OPS.sold_tons</t>
        </is>
      </c>
      <c r="C82" s="17" t="inlineStr">
        <is>
          <t>تن</t>
        </is>
      </c>
      <c r="D82" s="33">
        <f>'ENG_OPS'!$D$71+'ENG_OPS'!$D$72+'ENG_OPS'!$D$73+'ENG_OPS'!$D$74</f>
        <v/>
      </c>
      <c r="E82" s="33">
        <f>'ENG_OPS'!$E$71+'ENG_OPS'!$E$72+'ENG_OPS'!$E$73+'ENG_OPS'!$E$74</f>
        <v/>
      </c>
      <c r="F82" s="33">
        <f>'ENG_OPS'!$F$71+'ENG_OPS'!$F$72+'ENG_OPS'!$F$73+'ENG_OPS'!$F$74</f>
        <v/>
      </c>
      <c r="G82" s="33">
        <f>'ENG_OPS'!$G$71+'ENG_OPS'!$G$72+'ENG_OPS'!$G$73+'ENG_OPS'!$G$74</f>
        <v/>
      </c>
      <c r="H82" s="33">
        <f>'ENG_OPS'!$H$71+'ENG_OPS'!$H$72+'ENG_OPS'!$H$73+'ENG_OPS'!$H$74</f>
        <v/>
      </c>
      <c r="I82" s="33">
        <f>'ENG_OPS'!$I$71+'ENG_OPS'!$I$72+'ENG_OPS'!$I$73+'ENG_OPS'!$I$74</f>
        <v/>
      </c>
      <c r="J82" s="33">
        <f>'ENG_OPS'!$J$71+'ENG_OPS'!$J$72+'ENG_OPS'!$J$73+'ENG_OPS'!$J$74</f>
        <v/>
      </c>
      <c r="K82" s="33">
        <f>'ENG_OPS'!$K$71+'ENG_OPS'!$K$72+'ENG_OPS'!$K$73+'ENG_OPS'!$K$74</f>
        <v/>
      </c>
      <c r="L82" s="33">
        <f>'ENG_OPS'!$L$71+'ENG_OPS'!$L$72+'ENG_OPS'!$L$73+'ENG_OPS'!$L$74</f>
        <v/>
      </c>
      <c r="M82" s="33">
        <f>'ENG_OPS'!$M$71+'ENG_OPS'!$M$72+'ENG_OPS'!$M$73+'ENG_OPS'!$M$74</f>
        <v/>
      </c>
      <c r="N82" s="33">
        <f>'ENG_OPS'!$N$71+'ENG_OPS'!$N$72+'ENG_OPS'!$N$73+'ENG_OPS'!$N$74</f>
        <v/>
      </c>
      <c r="O82" s="33">
        <f>'ENG_OPS'!$O$71+'ENG_OPS'!$O$72+'ENG_OPS'!$O$73+'ENG_OPS'!$O$74</f>
        <v/>
      </c>
      <c r="P82" s="33">
        <f>'ENG_OPS'!$P$71+'ENG_OPS'!$P$72+'ENG_OPS'!$P$73+'ENG_OPS'!$P$74</f>
        <v/>
      </c>
    </row>
    <row r="83">
      <c r="A83" s="15" t="inlineStr">
        <is>
          <t>درآمد خالص هر تن محصول</t>
        </is>
      </c>
      <c r="B83" s="16" t="inlineStr">
        <is>
          <t>OPS.rev_per_ton</t>
        </is>
      </c>
      <c r="C83" s="17" t="inlineStr">
        <is>
          <t>میلیون ریال/تن</t>
        </is>
      </c>
      <c r="D83" s="34">
        <f>IFERROR('ENG_OPS'!$D$81/'ENG_OPS'!$D$82,0)</f>
        <v/>
      </c>
      <c r="E83" s="34">
        <f>IFERROR('ENG_OPS'!$E$81/'ENG_OPS'!$E$82,0)</f>
        <v/>
      </c>
      <c r="F83" s="34">
        <f>IFERROR('ENG_OPS'!$F$81/'ENG_OPS'!$F$82,0)</f>
        <v/>
      </c>
      <c r="G83" s="34">
        <f>IFERROR('ENG_OPS'!$G$81/'ENG_OPS'!$G$82,0)</f>
        <v/>
      </c>
      <c r="H83" s="34">
        <f>IFERROR('ENG_OPS'!$H$81/'ENG_OPS'!$H$82,0)</f>
        <v/>
      </c>
      <c r="I83" s="34">
        <f>IFERROR('ENG_OPS'!$I$81/'ENG_OPS'!$I$82,0)</f>
        <v/>
      </c>
      <c r="J83" s="34">
        <f>IFERROR('ENG_OPS'!$J$81/'ENG_OPS'!$J$82,0)</f>
        <v/>
      </c>
      <c r="K83" s="34">
        <f>IFERROR('ENG_OPS'!$K$81/'ENG_OPS'!$K$82,0)</f>
        <v/>
      </c>
      <c r="L83" s="34">
        <f>IFERROR('ENG_OPS'!$L$81/'ENG_OPS'!$L$82,0)</f>
        <v/>
      </c>
      <c r="M83" s="34">
        <f>IFERROR('ENG_OPS'!$M$81/'ENG_OPS'!$M$82,0)</f>
        <v/>
      </c>
      <c r="N83" s="34">
        <f>IFERROR('ENG_OPS'!$N$81/'ENG_OPS'!$N$82,0)</f>
        <v/>
      </c>
      <c r="O83" s="34">
        <f>IFERROR('ENG_OPS'!$O$81/'ENG_OPS'!$O$82,0)</f>
        <v/>
      </c>
      <c r="P83" s="34">
        <f>IFERROR('ENG_OPS'!$P$81/'ENG_OPS'!$P$82,0)</f>
        <v/>
      </c>
    </row>
    <row r="84">
      <c r="A84" s="15" t="inlineStr">
        <is>
          <t>سهم ارزی درآمد (وزنی)</t>
        </is>
      </c>
      <c r="B84" s="16" t="inlineStr">
        <is>
          <t>OPS.fxsh_rev</t>
        </is>
      </c>
      <c r="C84" s="17" t="inlineStr">
        <is>
          <t>درصد</t>
        </is>
      </c>
      <c r="D84" s="32">
        <f>IFERROR((('ENG_OPS'!$D$75*'IN_SALES'!$D$14)+('ENG_OPS'!$D$76*'IN_SALES'!$E$14)+('ENG_OPS'!$D$77*'IN_SALES'!$F$14)+('ENG_OPS'!$D$78*'IN_SALES'!$G$14))/('ENG_OPS'!$D$79),0)</f>
        <v/>
      </c>
      <c r="E84" s="32">
        <f>IFERROR((('ENG_OPS'!$E$75*'IN_SALES'!$D$14)+('ENG_OPS'!$E$76*'IN_SALES'!$E$14)+('ENG_OPS'!$E$77*'IN_SALES'!$F$14)+('ENG_OPS'!$E$78*'IN_SALES'!$G$14))/('ENG_OPS'!$E$79),0)</f>
        <v/>
      </c>
      <c r="F84" s="32">
        <f>IFERROR((('ENG_OPS'!$F$75*'IN_SALES'!$D$14)+('ENG_OPS'!$F$76*'IN_SALES'!$E$14)+('ENG_OPS'!$F$77*'IN_SALES'!$F$14)+('ENG_OPS'!$F$78*'IN_SALES'!$G$14))/('ENG_OPS'!$F$79),0)</f>
        <v/>
      </c>
      <c r="G84" s="32">
        <f>IFERROR((('ENG_OPS'!$G$75*'IN_SALES'!$D$14)+('ENG_OPS'!$G$76*'IN_SALES'!$E$14)+('ENG_OPS'!$G$77*'IN_SALES'!$F$14)+('ENG_OPS'!$G$78*'IN_SALES'!$G$14))/('ENG_OPS'!$G$79),0)</f>
        <v/>
      </c>
      <c r="H84" s="32">
        <f>IFERROR((('ENG_OPS'!$H$75*'IN_SALES'!$D$14)+('ENG_OPS'!$H$76*'IN_SALES'!$E$14)+('ENG_OPS'!$H$77*'IN_SALES'!$F$14)+('ENG_OPS'!$H$78*'IN_SALES'!$G$14))/('ENG_OPS'!$H$79),0)</f>
        <v/>
      </c>
      <c r="I84" s="32">
        <f>IFERROR((('ENG_OPS'!$I$75*'IN_SALES'!$D$14)+('ENG_OPS'!$I$76*'IN_SALES'!$E$14)+('ENG_OPS'!$I$77*'IN_SALES'!$F$14)+('ENG_OPS'!$I$78*'IN_SALES'!$G$14))/('ENG_OPS'!$I$79),0)</f>
        <v/>
      </c>
      <c r="J84" s="32">
        <f>IFERROR((('ENG_OPS'!$J$75*'IN_SALES'!$D$14)+('ENG_OPS'!$J$76*'IN_SALES'!$E$14)+('ENG_OPS'!$J$77*'IN_SALES'!$F$14)+('ENG_OPS'!$J$78*'IN_SALES'!$G$14))/('ENG_OPS'!$J$79),0)</f>
        <v/>
      </c>
      <c r="K84" s="32">
        <f>IFERROR((('ENG_OPS'!$K$75*'IN_SALES'!$D$14)+('ENG_OPS'!$K$76*'IN_SALES'!$E$14)+('ENG_OPS'!$K$77*'IN_SALES'!$F$14)+('ENG_OPS'!$K$78*'IN_SALES'!$G$14))/('ENG_OPS'!$K$79),0)</f>
        <v/>
      </c>
      <c r="L84" s="32">
        <f>IFERROR((('ENG_OPS'!$L$75*'IN_SALES'!$D$14)+('ENG_OPS'!$L$76*'IN_SALES'!$E$14)+('ENG_OPS'!$L$77*'IN_SALES'!$F$14)+('ENG_OPS'!$L$78*'IN_SALES'!$G$14))/('ENG_OPS'!$L$79),0)</f>
        <v/>
      </c>
      <c r="M84" s="32">
        <f>IFERROR((('ENG_OPS'!$M$75*'IN_SALES'!$D$14)+('ENG_OPS'!$M$76*'IN_SALES'!$E$14)+('ENG_OPS'!$M$77*'IN_SALES'!$F$14)+('ENG_OPS'!$M$78*'IN_SALES'!$G$14))/('ENG_OPS'!$M$79),0)</f>
        <v/>
      </c>
      <c r="N84" s="32">
        <f>IFERROR((('ENG_OPS'!$N$75*'IN_SALES'!$D$14)+('ENG_OPS'!$N$76*'IN_SALES'!$E$14)+('ENG_OPS'!$N$77*'IN_SALES'!$F$14)+('ENG_OPS'!$N$78*'IN_SALES'!$G$14))/('ENG_OPS'!$N$79),0)</f>
        <v/>
      </c>
      <c r="O84" s="32">
        <f>IFERROR((('ENG_OPS'!$O$75*'IN_SALES'!$D$14)+('ENG_OPS'!$O$76*'IN_SALES'!$E$14)+('ENG_OPS'!$O$77*'IN_SALES'!$F$14)+('ENG_OPS'!$O$78*'IN_SALES'!$G$14))/('ENG_OPS'!$O$79),0)</f>
        <v/>
      </c>
      <c r="P84" s="32">
        <f>IFERROR((('ENG_OPS'!$P$75*'IN_SALES'!$D$14)+('ENG_OPS'!$P$76*'IN_SALES'!$E$14)+('ENG_OPS'!$P$77*'IN_SALES'!$F$14)+('ENG_OPS'!$P$78*'IN_SALES'!$G$14))/('ENG_OPS'!$P$79),0)</f>
        <v/>
      </c>
    </row>
  </sheetData>
  <pageMargins left="0.75" right="0.75" top="1" bottom="1" header="0.5" footer="0.5"/>
</worksheet>
</file>

<file path=xl/worksheets/sheet11.xml><?xml version="1.0" encoding="utf-8"?>
<worksheet xmlns="http://schemas.openxmlformats.org/spreadsheetml/2006/main">
  <sheetPr>
    <tabColor rgb="00A6A6A6"/>
    <outlinePr summaryBelow="1" summaryRight="1"/>
    <pageSetUpPr/>
  </sheetPr>
  <dimension ref="A1:Q85"/>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چرخهٔ عمر دارایی‌ها و CAPEX</t>
        </is>
      </c>
      <c r="B1" s="2" t="inlineStr">
        <is>
          <t>موتور محاسبات</t>
        </is>
      </c>
    </row>
    <row r="2">
      <c r="A2" s="3" t="inlineStr">
        <is>
          <t>برنامه تزریق سرمایه‌گذاری، جایگزینی تجهیزات، استهلاک و ارزش دفتری دارایی‌ها.</t>
        </is>
      </c>
    </row>
    <row r="3"/>
    <row r="4"/>
    <row r="5"/>
    <row r="6"/>
    <row r="7">
      <c r="A7" s="11" t="inlineStr">
        <is>
          <t>دوره (t)</t>
        </is>
      </c>
      <c r="D7" s="12" t="n">
        <v>0</v>
      </c>
      <c r="E7" s="12" t="n">
        <v>1</v>
      </c>
      <c r="F7" s="12" t="n">
        <v>2</v>
      </c>
      <c r="G7" s="12" t="n">
        <v>3</v>
      </c>
      <c r="H7" s="12" t="n">
        <v>4</v>
      </c>
      <c r="I7" s="12" t="n">
        <v>5</v>
      </c>
      <c r="J7" s="12" t="n">
        <v>6</v>
      </c>
      <c r="K7" s="12" t="n">
        <v>7</v>
      </c>
      <c r="L7" s="12" t="n">
        <v>8</v>
      </c>
      <c r="M7" s="12" t="n">
        <v>9</v>
      </c>
      <c r="N7" s="12" t="n">
        <v>10</v>
      </c>
      <c r="O7" s="12" t="n">
        <v>11</v>
      </c>
      <c r="P7" s="12" t="n">
        <v>12</v>
      </c>
    </row>
    <row r="8">
      <c r="A8" s="13" t="inlineStr">
        <is>
          <t>سال تقویمی</t>
        </is>
      </c>
      <c r="D8" s="14" t="n">
        <v>2026</v>
      </c>
      <c r="E8" s="14" t="n">
        <v>2027</v>
      </c>
      <c r="F8" s="14" t="n">
        <v>2028</v>
      </c>
      <c r="G8" s="14" t="n">
        <v>2029</v>
      </c>
      <c r="H8" s="14" t="n">
        <v>2030</v>
      </c>
      <c r="I8" s="14" t="n">
        <v>2031</v>
      </c>
      <c r="J8" s="14" t="n">
        <v>2032</v>
      </c>
      <c r="K8" s="14" t="n">
        <v>2033</v>
      </c>
      <c r="L8" s="14" t="n">
        <v>2034</v>
      </c>
      <c r="M8" s="14" t="n">
        <v>2035</v>
      </c>
      <c r="N8" s="14" t="n">
        <v>2036</v>
      </c>
      <c r="O8" s="14" t="n">
        <v>2037</v>
      </c>
      <c r="P8" s="14" t="n">
        <v>2038</v>
      </c>
    </row>
    <row r="9">
      <c r="A9" s="4" t="inlineStr">
        <is>
          <t>الف) برنامه تزریق سرمایه‌گذاری ثابت</t>
        </is>
      </c>
      <c r="B9" s="5" t="n"/>
      <c r="C9" s="5" t="n"/>
      <c r="D9" s="5" t="n"/>
      <c r="E9" s="5" t="n"/>
      <c r="F9" s="5" t="n"/>
      <c r="G9" s="5" t="n"/>
      <c r="H9" s="5" t="n"/>
      <c r="I9" s="5" t="n"/>
      <c r="J9" s="5" t="n"/>
      <c r="K9" s="5" t="n"/>
      <c r="L9" s="5" t="n"/>
      <c r="M9" s="5" t="n"/>
      <c r="N9" s="5" t="n"/>
      <c r="O9" s="5" t="n"/>
      <c r="P9" s="5" t="n"/>
      <c r="Q9" s="5" t="n"/>
    </row>
    <row r="10">
      <c r="A10" s="15" t="inlineStr">
        <is>
          <t>سرمایه‌گذاری زمین</t>
        </is>
      </c>
      <c r="B10" s="16" t="inlineStr">
        <is>
          <t>CAPEX.cap.0</t>
        </is>
      </c>
      <c r="C10" s="17" t="inlineStr">
        <is>
          <t>میلیون ریال</t>
        </is>
      </c>
      <c r="D10" s="33">
        <f>'IN_FIN'!$D$9*((1-'IN_FIN'!$E$9)*'ENG_SCEN'!$D$32+'IN_FIN'!$E$9*'ENG_SCEN'!$D$36)*(IF('IN_MACRO'!$D$23=0,'IN_FIN'!$J$9,IF('IN_MACRO'!$D$23=1,'IN_FIN'!$K$9,IF('IN_MACRO'!$D$23=2,'IN_FIN'!$L$9,0))))*'ENG_SCEN'!$G$16</f>
        <v/>
      </c>
      <c r="E10" s="33">
        <f>'IN_FIN'!$D$9*((1-'IN_FIN'!$E$9)*'ENG_SCEN'!$E$32+'IN_FIN'!$E$9*'ENG_SCEN'!$E$36)*(IF('IN_MACRO'!$E$23=0,'IN_FIN'!$J$9,IF('IN_MACRO'!$E$23=1,'IN_FIN'!$K$9,IF('IN_MACRO'!$E$23=2,'IN_FIN'!$L$9,0))))*'ENG_SCEN'!$G$16</f>
        <v/>
      </c>
      <c r="F10" s="33">
        <f>'IN_FIN'!$D$9*((1-'IN_FIN'!$E$9)*'ENG_SCEN'!$F$32+'IN_FIN'!$E$9*'ENG_SCEN'!$F$36)*(IF('IN_MACRO'!$F$23=0,'IN_FIN'!$J$9,IF('IN_MACRO'!$F$23=1,'IN_FIN'!$K$9,IF('IN_MACRO'!$F$23=2,'IN_FIN'!$L$9,0))))*'ENG_SCEN'!$G$16</f>
        <v/>
      </c>
      <c r="G10" s="33">
        <f>'IN_FIN'!$D$9*((1-'IN_FIN'!$E$9)*'ENG_SCEN'!$G$32+'IN_FIN'!$E$9*'ENG_SCEN'!$G$36)*(IF('IN_MACRO'!$G$23=0,'IN_FIN'!$J$9,IF('IN_MACRO'!$G$23=1,'IN_FIN'!$K$9,IF('IN_MACRO'!$G$23=2,'IN_FIN'!$L$9,0))))*'ENG_SCEN'!$G$16</f>
        <v/>
      </c>
      <c r="H10" s="33">
        <f>'IN_FIN'!$D$9*((1-'IN_FIN'!$E$9)*'ENG_SCEN'!$H$32+'IN_FIN'!$E$9*'ENG_SCEN'!$H$36)*(IF('IN_MACRO'!$H$23=0,'IN_FIN'!$J$9,IF('IN_MACRO'!$H$23=1,'IN_FIN'!$K$9,IF('IN_MACRO'!$H$23=2,'IN_FIN'!$L$9,0))))*'ENG_SCEN'!$G$16</f>
        <v/>
      </c>
      <c r="I10" s="33">
        <f>'IN_FIN'!$D$9*((1-'IN_FIN'!$E$9)*'ENG_SCEN'!$I$32+'IN_FIN'!$E$9*'ENG_SCEN'!$I$36)*(IF('IN_MACRO'!$I$23=0,'IN_FIN'!$J$9,IF('IN_MACRO'!$I$23=1,'IN_FIN'!$K$9,IF('IN_MACRO'!$I$23=2,'IN_FIN'!$L$9,0))))*'ENG_SCEN'!$G$16</f>
        <v/>
      </c>
      <c r="J10" s="33">
        <f>'IN_FIN'!$D$9*((1-'IN_FIN'!$E$9)*'ENG_SCEN'!$J$32+'IN_FIN'!$E$9*'ENG_SCEN'!$J$36)*(IF('IN_MACRO'!$J$23=0,'IN_FIN'!$J$9,IF('IN_MACRO'!$J$23=1,'IN_FIN'!$K$9,IF('IN_MACRO'!$J$23=2,'IN_FIN'!$L$9,0))))*'ENG_SCEN'!$G$16</f>
        <v/>
      </c>
      <c r="K10" s="33">
        <f>'IN_FIN'!$D$9*((1-'IN_FIN'!$E$9)*'ENG_SCEN'!$K$32+'IN_FIN'!$E$9*'ENG_SCEN'!$K$36)*(IF('IN_MACRO'!$K$23=0,'IN_FIN'!$J$9,IF('IN_MACRO'!$K$23=1,'IN_FIN'!$K$9,IF('IN_MACRO'!$K$23=2,'IN_FIN'!$L$9,0))))*'ENG_SCEN'!$G$16</f>
        <v/>
      </c>
      <c r="L10" s="33">
        <f>'IN_FIN'!$D$9*((1-'IN_FIN'!$E$9)*'ENG_SCEN'!$L$32+'IN_FIN'!$E$9*'ENG_SCEN'!$L$36)*(IF('IN_MACRO'!$L$23=0,'IN_FIN'!$J$9,IF('IN_MACRO'!$L$23=1,'IN_FIN'!$K$9,IF('IN_MACRO'!$L$23=2,'IN_FIN'!$L$9,0))))*'ENG_SCEN'!$G$16</f>
        <v/>
      </c>
      <c r="M10" s="33">
        <f>'IN_FIN'!$D$9*((1-'IN_FIN'!$E$9)*'ENG_SCEN'!$M$32+'IN_FIN'!$E$9*'ENG_SCEN'!$M$36)*(IF('IN_MACRO'!$M$23=0,'IN_FIN'!$J$9,IF('IN_MACRO'!$M$23=1,'IN_FIN'!$K$9,IF('IN_MACRO'!$M$23=2,'IN_FIN'!$L$9,0))))*'ENG_SCEN'!$G$16</f>
        <v/>
      </c>
      <c r="N10" s="33">
        <f>'IN_FIN'!$D$9*((1-'IN_FIN'!$E$9)*'ENG_SCEN'!$N$32+'IN_FIN'!$E$9*'ENG_SCEN'!$N$36)*(IF('IN_MACRO'!$N$23=0,'IN_FIN'!$J$9,IF('IN_MACRO'!$N$23=1,'IN_FIN'!$K$9,IF('IN_MACRO'!$N$23=2,'IN_FIN'!$L$9,0))))*'ENG_SCEN'!$G$16</f>
        <v/>
      </c>
      <c r="O10" s="33">
        <f>'IN_FIN'!$D$9*((1-'IN_FIN'!$E$9)*'ENG_SCEN'!$O$32+'IN_FIN'!$E$9*'ENG_SCEN'!$O$36)*(IF('IN_MACRO'!$O$23=0,'IN_FIN'!$J$9,IF('IN_MACRO'!$O$23=1,'IN_FIN'!$K$9,IF('IN_MACRO'!$O$23=2,'IN_FIN'!$L$9,0))))*'ENG_SCEN'!$G$16</f>
        <v/>
      </c>
      <c r="P10" s="33">
        <f>'IN_FIN'!$D$9*((1-'IN_FIN'!$E$9)*'ENG_SCEN'!$P$32+'IN_FIN'!$E$9*'ENG_SCEN'!$P$36)*(IF('IN_MACRO'!$P$23=0,'IN_FIN'!$J$9,IF('IN_MACRO'!$P$23=1,'IN_FIN'!$K$9,IF('IN_MACRO'!$P$23=2,'IN_FIN'!$L$9,0))))*'ENG_SCEN'!$G$16</f>
        <v/>
      </c>
    </row>
    <row r="11">
      <c r="A11" s="15" t="inlineStr">
        <is>
          <t>سرمایه‌گذاری محوطه‌سازی و ساختمان</t>
        </is>
      </c>
      <c r="B11" s="16" t="inlineStr">
        <is>
          <t>CAPEX.cap.1</t>
        </is>
      </c>
      <c r="C11" s="17" t="inlineStr">
        <is>
          <t>میلیون ریال</t>
        </is>
      </c>
      <c r="D11" s="33">
        <f>'IN_FIN'!$D$10*((1-'IN_FIN'!$E$10)*'ENG_SCEN'!$D$32+'IN_FIN'!$E$10*'ENG_SCEN'!$D$36)*(IF('IN_MACRO'!$D$23=0,'IN_FIN'!$J$10,IF('IN_MACRO'!$D$23=1,'IN_FIN'!$K$10,IF('IN_MACRO'!$D$23=2,'IN_FIN'!$L$10,0))))*'ENG_SCEN'!$G$16</f>
        <v/>
      </c>
      <c r="E11" s="33">
        <f>'IN_FIN'!$D$10*((1-'IN_FIN'!$E$10)*'ENG_SCEN'!$E$32+'IN_FIN'!$E$10*'ENG_SCEN'!$E$36)*(IF('IN_MACRO'!$E$23=0,'IN_FIN'!$J$10,IF('IN_MACRO'!$E$23=1,'IN_FIN'!$K$10,IF('IN_MACRO'!$E$23=2,'IN_FIN'!$L$10,0))))*'ENG_SCEN'!$G$16</f>
        <v/>
      </c>
      <c r="F11" s="33">
        <f>'IN_FIN'!$D$10*((1-'IN_FIN'!$E$10)*'ENG_SCEN'!$F$32+'IN_FIN'!$E$10*'ENG_SCEN'!$F$36)*(IF('IN_MACRO'!$F$23=0,'IN_FIN'!$J$10,IF('IN_MACRO'!$F$23=1,'IN_FIN'!$K$10,IF('IN_MACRO'!$F$23=2,'IN_FIN'!$L$10,0))))*'ENG_SCEN'!$G$16</f>
        <v/>
      </c>
      <c r="G11" s="33">
        <f>'IN_FIN'!$D$10*((1-'IN_FIN'!$E$10)*'ENG_SCEN'!$G$32+'IN_FIN'!$E$10*'ENG_SCEN'!$G$36)*(IF('IN_MACRO'!$G$23=0,'IN_FIN'!$J$10,IF('IN_MACRO'!$G$23=1,'IN_FIN'!$K$10,IF('IN_MACRO'!$G$23=2,'IN_FIN'!$L$10,0))))*'ENG_SCEN'!$G$16</f>
        <v/>
      </c>
      <c r="H11" s="33">
        <f>'IN_FIN'!$D$10*((1-'IN_FIN'!$E$10)*'ENG_SCEN'!$H$32+'IN_FIN'!$E$10*'ENG_SCEN'!$H$36)*(IF('IN_MACRO'!$H$23=0,'IN_FIN'!$J$10,IF('IN_MACRO'!$H$23=1,'IN_FIN'!$K$10,IF('IN_MACRO'!$H$23=2,'IN_FIN'!$L$10,0))))*'ENG_SCEN'!$G$16</f>
        <v/>
      </c>
      <c r="I11" s="33">
        <f>'IN_FIN'!$D$10*((1-'IN_FIN'!$E$10)*'ENG_SCEN'!$I$32+'IN_FIN'!$E$10*'ENG_SCEN'!$I$36)*(IF('IN_MACRO'!$I$23=0,'IN_FIN'!$J$10,IF('IN_MACRO'!$I$23=1,'IN_FIN'!$K$10,IF('IN_MACRO'!$I$23=2,'IN_FIN'!$L$10,0))))*'ENG_SCEN'!$G$16</f>
        <v/>
      </c>
      <c r="J11" s="33">
        <f>'IN_FIN'!$D$10*((1-'IN_FIN'!$E$10)*'ENG_SCEN'!$J$32+'IN_FIN'!$E$10*'ENG_SCEN'!$J$36)*(IF('IN_MACRO'!$J$23=0,'IN_FIN'!$J$10,IF('IN_MACRO'!$J$23=1,'IN_FIN'!$K$10,IF('IN_MACRO'!$J$23=2,'IN_FIN'!$L$10,0))))*'ENG_SCEN'!$G$16</f>
        <v/>
      </c>
      <c r="K11" s="33">
        <f>'IN_FIN'!$D$10*((1-'IN_FIN'!$E$10)*'ENG_SCEN'!$K$32+'IN_FIN'!$E$10*'ENG_SCEN'!$K$36)*(IF('IN_MACRO'!$K$23=0,'IN_FIN'!$J$10,IF('IN_MACRO'!$K$23=1,'IN_FIN'!$K$10,IF('IN_MACRO'!$K$23=2,'IN_FIN'!$L$10,0))))*'ENG_SCEN'!$G$16</f>
        <v/>
      </c>
      <c r="L11" s="33">
        <f>'IN_FIN'!$D$10*((1-'IN_FIN'!$E$10)*'ENG_SCEN'!$L$32+'IN_FIN'!$E$10*'ENG_SCEN'!$L$36)*(IF('IN_MACRO'!$L$23=0,'IN_FIN'!$J$10,IF('IN_MACRO'!$L$23=1,'IN_FIN'!$K$10,IF('IN_MACRO'!$L$23=2,'IN_FIN'!$L$10,0))))*'ENG_SCEN'!$G$16</f>
        <v/>
      </c>
      <c r="M11" s="33">
        <f>'IN_FIN'!$D$10*((1-'IN_FIN'!$E$10)*'ENG_SCEN'!$M$32+'IN_FIN'!$E$10*'ENG_SCEN'!$M$36)*(IF('IN_MACRO'!$M$23=0,'IN_FIN'!$J$10,IF('IN_MACRO'!$M$23=1,'IN_FIN'!$K$10,IF('IN_MACRO'!$M$23=2,'IN_FIN'!$L$10,0))))*'ENG_SCEN'!$G$16</f>
        <v/>
      </c>
      <c r="N11" s="33">
        <f>'IN_FIN'!$D$10*((1-'IN_FIN'!$E$10)*'ENG_SCEN'!$N$32+'IN_FIN'!$E$10*'ENG_SCEN'!$N$36)*(IF('IN_MACRO'!$N$23=0,'IN_FIN'!$J$10,IF('IN_MACRO'!$N$23=1,'IN_FIN'!$K$10,IF('IN_MACRO'!$N$23=2,'IN_FIN'!$L$10,0))))*'ENG_SCEN'!$G$16</f>
        <v/>
      </c>
      <c r="O11" s="33">
        <f>'IN_FIN'!$D$10*((1-'IN_FIN'!$E$10)*'ENG_SCEN'!$O$32+'IN_FIN'!$E$10*'ENG_SCEN'!$O$36)*(IF('IN_MACRO'!$O$23=0,'IN_FIN'!$J$10,IF('IN_MACRO'!$O$23=1,'IN_FIN'!$K$10,IF('IN_MACRO'!$O$23=2,'IN_FIN'!$L$10,0))))*'ENG_SCEN'!$G$16</f>
        <v/>
      </c>
      <c r="P11" s="33">
        <f>'IN_FIN'!$D$10*((1-'IN_FIN'!$E$10)*'ENG_SCEN'!$P$32+'IN_FIN'!$E$10*'ENG_SCEN'!$P$36)*(IF('IN_MACRO'!$P$23=0,'IN_FIN'!$J$10,IF('IN_MACRO'!$P$23=1,'IN_FIN'!$K$10,IF('IN_MACRO'!$P$23=2,'IN_FIN'!$L$10,0))))*'ENG_SCEN'!$G$16</f>
        <v/>
      </c>
    </row>
    <row r="12">
      <c r="A12" s="15" t="inlineStr">
        <is>
          <t>سرمایه‌گذاری ماشین‌آلات وارداتی</t>
        </is>
      </c>
      <c r="B12" s="16" t="inlineStr">
        <is>
          <t>CAPEX.cap.2</t>
        </is>
      </c>
      <c r="C12" s="17" t="inlineStr">
        <is>
          <t>میلیون ریال</t>
        </is>
      </c>
      <c r="D12" s="33">
        <f>'IN_FIN'!$D$11*((1-'IN_FIN'!$E$11)*'ENG_SCEN'!$D$32+'IN_FIN'!$E$11*'ENG_SCEN'!$D$36)*(IF('IN_MACRO'!$D$23=0,'IN_FIN'!$J$11,IF('IN_MACRO'!$D$23=1,'IN_FIN'!$K$11,IF('IN_MACRO'!$D$23=2,'IN_FIN'!$L$11,0))))*'ENG_SCEN'!$G$16</f>
        <v/>
      </c>
      <c r="E12" s="33">
        <f>'IN_FIN'!$D$11*((1-'IN_FIN'!$E$11)*'ENG_SCEN'!$E$32+'IN_FIN'!$E$11*'ENG_SCEN'!$E$36)*(IF('IN_MACRO'!$E$23=0,'IN_FIN'!$J$11,IF('IN_MACRO'!$E$23=1,'IN_FIN'!$K$11,IF('IN_MACRO'!$E$23=2,'IN_FIN'!$L$11,0))))*'ENG_SCEN'!$G$16</f>
        <v/>
      </c>
      <c r="F12" s="33">
        <f>'IN_FIN'!$D$11*((1-'IN_FIN'!$E$11)*'ENG_SCEN'!$F$32+'IN_FIN'!$E$11*'ENG_SCEN'!$F$36)*(IF('IN_MACRO'!$F$23=0,'IN_FIN'!$J$11,IF('IN_MACRO'!$F$23=1,'IN_FIN'!$K$11,IF('IN_MACRO'!$F$23=2,'IN_FIN'!$L$11,0))))*'ENG_SCEN'!$G$16</f>
        <v/>
      </c>
      <c r="G12" s="33">
        <f>'IN_FIN'!$D$11*((1-'IN_FIN'!$E$11)*'ENG_SCEN'!$G$32+'IN_FIN'!$E$11*'ENG_SCEN'!$G$36)*(IF('IN_MACRO'!$G$23=0,'IN_FIN'!$J$11,IF('IN_MACRO'!$G$23=1,'IN_FIN'!$K$11,IF('IN_MACRO'!$G$23=2,'IN_FIN'!$L$11,0))))*'ENG_SCEN'!$G$16</f>
        <v/>
      </c>
      <c r="H12" s="33">
        <f>'IN_FIN'!$D$11*((1-'IN_FIN'!$E$11)*'ENG_SCEN'!$H$32+'IN_FIN'!$E$11*'ENG_SCEN'!$H$36)*(IF('IN_MACRO'!$H$23=0,'IN_FIN'!$J$11,IF('IN_MACRO'!$H$23=1,'IN_FIN'!$K$11,IF('IN_MACRO'!$H$23=2,'IN_FIN'!$L$11,0))))*'ENG_SCEN'!$G$16</f>
        <v/>
      </c>
      <c r="I12" s="33">
        <f>'IN_FIN'!$D$11*((1-'IN_FIN'!$E$11)*'ENG_SCEN'!$I$32+'IN_FIN'!$E$11*'ENG_SCEN'!$I$36)*(IF('IN_MACRO'!$I$23=0,'IN_FIN'!$J$11,IF('IN_MACRO'!$I$23=1,'IN_FIN'!$K$11,IF('IN_MACRO'!$I$23=2,'IN_FIN'!$L$11,0))))*'ENG_SCEN'!$G$16</f>
        <v/>
      </c>
      <c r="J12" s="33">
        <f>'IN_FIN'!$D$11*((1-'IN_FIN'!$E$11)*'ENG_SCEN'!$J$32+'IN_FIN'!$E$11*'ENG_SCEN'!$J$36)*(IF('IN_MACRO'!$J$23=0,'IN_FIN'!$J$11,IF('IN_MACRO'!$J$23=1,'IN_FIN'!$K$11,IF('IN_MACRO'!$J$23=2,'IN_FIN'!$L$11,0))))*'ENG_SCEN'!$G$16</f>
        <v/>
      </c>
      <c r="K12" s="33">
        <f>'IN_FIN'!$D$11*((1-'IN_FIN'!$E$11)*'ENG_SCEN'!$K$32+'IN_FIN'!$E$11*'ENG_SCEN'!$K$36)*(IF('IN_MACRO'!$K$23=0,'IN_FIN'!$J$11,IF('IN_MACRO'!$K$23=1,'IN_FIN'!$K$11,IF('IN_MACRO'!$K$23=2,'IN_FIN'!$L$11,0))))*'ENG_SCEN'!$G$16</f>
        <v/>
      </c>
      <c r="L12" s="33">
        <f>'IN_FIN'!$D$11*((1-'IN_FIN'!$E$11)*'ENG_SCEN'!$L$32+'IN_FIN'!$E$11*'ENG_SCEN'!$L$36)*(IF('IN_MACRO'!$L$23=0,'IN_FIN'!$J$11,IF('IN_MACRO'!$L$23=1,'IN_FIN'!$K$11,IF('IN_MACRO'!$L$23=2,'IN_FIN'!$L$11,0))))*'ENG_SCEN'!$G$16</f>
        <v/>
      </c>
      <c r="M12" s="33">
        <f>'IN_FIN'!$D$11*((1-'IN_FIN'!$E$11)*'ENG_SCEN'!$M$32+'IN_FIN'!$E$11*'ENG_SCEN'!$M$36)*(IF('IN_MACRO'!$M$23=0,'IN_FIN'!$J$11,IF('IN_MACRO'!$M$23=1,'IN_FIN'!$K$11,IF('IN_MACRO'!$M$23=2,'IN_FIN'!$L$11,0))))*'ENG_SCEN'!$G$16</f>
        <v/>
      </c>
      <c r="N12" s="33">
        <f>'IN_FIN'!$D$11*((1-'IN_FIN'!$E$11)*'ENG_SCEN'!$N$32+'IN_FIN'!$E$11*'ENG_SCEN'!$N$36)*(IF('IN_MACRO'!$N$23=0,'IN_FIN'!$J$11,IF('IN_MACRO'!$N$23=1,'IN_FIN'!$K$11,IF('IN_MACRO'!$N$23=2,'IN_FIN'!$L$11,0))))*'ENG_SCEN'!$G$16</f>
        <v/>
      </c>
      <c r="O12" s="33">
        <f>'IN_FIN'!$D$11*((1-'IN_FIN'!$E$11)*'ENG_SCEN'!$O$32+'IN_FIN'!$E$11*'ENG_SCEN'!$O$36)*(IF('IN_MACRO'!$O$23=0,'IN_FIN'!$J$11,IF('IN_MACRO'!$O$23=1,'IN_FIN'!$K$11,IF('IN_MACRO'!$O$23=2,'IN_FIN'!$L$11,0))))*'ENG_SCEN'!$G$16</f>
        <v/>
      </c>
      <c r="P12" s="33">
        <f>'IN_FIN'!$D$11*((1-'IN_FIN'!$E$11)*'ENG_SCEN'!$P$32+'IN_FIN'!$E$11*'ENG_SCEN'!$P$36)*(IF('IN_MACRO'!$P$23=0,'IN_FIN'!$J$11,IF('IN_MACRO'!$P$23=1,'IN_FIN'!$K$11,IF('IN_MACRO'!$P$23=2,'IN_FIN'!$L$11,0))))*'ENG_SCEN'!$G$16</f>
        <v/>
      </c>
    </row>
    <row r="13">
      <c r="A13" s="15" t="inlineStr">
        <is>
          <t>سرمایه‌گذاری ماشین‌آلات داخلی</t>
        </is>
      </c>
      <c r="B13" s="16" t="inlineStr">
        <is>
          <t>CAPEX.cap.3</t>
        </is>
      </c>
      <c r="C13" s="17" t="inlineStr">
        <is>
          <t>میلیون ریال</t>
        </is>
      </c>
      <c r="D13" s="33">
        <f>'IN_FIN'!$D$12*((1-'IN_FIN'!$E$12)*'ENG_SCEN'!$D$32+'IN_FIN'!$E$12*'ENG_SCEN'!$D$36)*(IF('IN_MACRO'!$D$23=0,'IN_FIN'!$J$12,IF('IN_MACRO'!$D$23=1,'IN_FIN'!$K$12,IF('IN_MACRO'!$D$23=2,'IN_FIN'!$L$12,0))))*'ENG_SCEN'!$G$16</f>
        <v/>
      </c>
      <c r="E13" s="33">
        <f>'IN_FIN'!$D$12*((1-'IN_FIN'!$E$12)*'ENG_SCEN'!$E$32+'IN_FIN'!$E$12*'ENG_SCEN'!$E$36)*(IF('IN_MACRO'!$E$23=0,'IN_FIN'!$J$12,IF('IN_MACRO'!$E$23=1,'IN_FIN'!$K$12,IF('IN_MACRO'!$E$23=2,'IN_FIN'!$L$12,0))))*'ENG_SCEN'!$G$16</f>
        <v/>
      </c>
      <c r="F13" s="33">
        <f>'IN_FIN'!$D$12*((1-'IN_FIN'!$E$12)*'ENG_SCEN'!$F$32+'IN_FIN'!$E$12*'ENG_SCEN'!$F$36)*(IF('IN_MACRO'!$F$23=0,'IN_FIN'!$J$12,IF('IN_MACRO'!$F$23=1,'IN_FIN'!$K$12,IF('IN_MACRO'!$F$23=2,'IN_FIN'!$L$12,0))))*'ENG_SCEN'!$G$16</f>
        <v/>
      </c>
      <c r="G13" s="33">
        <f>'IN_FIN'!$D$12*((1-'IN_FIN'!$E$12)*'ENG_SCEN'!$G$32+'IN_FIN'!$E$12*'ENG_SCEN'!$G$36)*(IF('IN_MACRO'!$G$23=0,'IN_FIN'!$J$12,IF('IN_MACRO'!$G$23=1,'IN_FIN'!$K$12,IF('IN_MACRO'!$G$23=2,'IN_FIN'!$L$12,0))))*'ENG_SCEN'!$G$16</f>
        <v/>
      </c>
      <c r="H13" s="33">
        <f>'IN_FIN'!$D$12*((1-'IN_FIN'!$E$12)*'ENG_SCEN'!$H$32+'IN_FIN'!$E$12*'ENG_SCEN'!$H$36)*(IF('IN_MACRO'!$H$23=0,'IN_FIN'!$J$12,IF('IN_MACRO'!$H$23=1,'IN_FIN'!$K$12,IF('IN_MACRO'!$H$23=2,'IN_FIN'!$L$12,0))))*'ENG_SCEN'!$G$16</f>
        <v/>
      </c>
      <c r="I13" s="33">
        <f>'IN_FIN'!$D$12*((1-'IN_FIN'!$E$12)*'ENG_SCEN'!$I$32+'IN_FIN'!$E$12*'ENG_SCEN'!$I$36)*(IF('IN_MACRO'!$I$23=0,'IN_FIN'!$J$12,IF('IN_MACRO'!$I$23=1,'IN_FIN'!$K$12,IF('IN_MACRO'!$I$23=2,'IN_FIN'!$L$12,0))))*'ENG_SCEN'!$G$16</f>
        <v/>
      </c>
      <c r="J13" s="33">
        <f>'IN_FIN'!$D$12*((1-'IN_FIN'!$E$12)*'ENG_SCEN'!$J$32+'IN_FIN'!$E$12*'ENG_SCEN'!$J$36)*(IF('IN_MACRO'!$J$23=0,'IN_FIN'!$J$12,IF('IN_MACRO'!$J$23=1,'IN_FIN'!$K$12,IF('IN_MACRO'!$J$23=2,'IN_FIN'!$L$12,0))))*'ENG_SCEN'!$G$16</f>
        <v/>
      </c>
      <c r="K13" s="33">
        <f>'IN_FIN'!$D$12*((1-'IN_FIN'!$E$12)*'ENG_SCEN'!$K$32+'IN_FIN'!$E$12*'ENG_SCEN'!$K$36)*(IF('IN_MACRO'!$K$23=0,'IN_FIN'!$J$12,IF('IN_MACRO'!$K$23=1,'IN_FIN'!$K$12,IF('IN_MACRO'!$K$23=2,'IN_FIN'!$L$12,0))))*'ENG_SCEN'!$G$16</f>
        <v/>
      </c>
      <c r="L13" s="33">
        <f>'IN_FIN'!$D$12*((1-'IN_FIN'!$E$12)*'ENG_SCEN'!$L$32+'IN_FIN'!$E$12*'ENG_SCEN'!$L$36)*(IF('IN_MACRO'!$L$23=0,'IN_FIN'!$J$12,IF('IN_MACRO'!$L$23=1,'IN_FIN'!$K$12,IF('IN_MACRO'!$L$23=2,'IN_FIN'!$L$12,0))))*'ENG_SCEN'!$G$16</f>
        <v/>
      </c>
      <c r="M13" s="33">
        <f>'IN_FIN'!$D$12*((1-'IN_FIN'!$E$12)*'ENG_SCEN'!$M$32+'IN_FIN'!$E$12*'ENG_SCEN'!$M$36)*(IF('IN_MACRO'!$M$23=0,'IN_FIN'!$J$12,IF('IN_MACRO'!$M$23=1,'IN_FIN'!$K$12,IF('IN_MACRO'!$M$23=2,'IN_FIN'!$L$12,0))))*'ENG_SCEN'!$G$16</f>
        <v/>
      </c>
      <c r="N13" s="33">
        <f>'IN_FIN'!$D$12*((1-'IN_FIN'!$E$12)*'ENG_SCEN'!$N$32+'IN_FIN'!$E$12*'ENG_SCEN'!$N$36)*(IF('IN_MACRO'!$N$23=0,'IN_FIN'!$J$12,IF('IN_MACRO'!$N$23=1,'IN_FIN'!$K$12,IF('IN_MACRO'!$N$23=2,'IN_FIN'!$L$12,0))))*'ENG_SCEN'!$G$16</f>
        <v/>
      </c>
      <c r="O13" s="33">
        <f>'IN_FIN'!$D$12*((1-'IN_FIN'!$E$12)*'ENG_SCEN'!$O$32+'IN_FIN'!$E$12*'ENG_SCEN'!$O$36)*(IF('IN_MACRO'!$O$23=0,'IN_FIN'!$J$12,IF('IN_MACRO'!$O$23=1,'IN_FIN'!$K$12,IF('IN_MACRO'!$O$23=2,'IN_FIN'!$L$12,0))))*'ENG_SCEN'!$G$16</f>
        <v/>
      </c>
      <c r="P13" s="33">
        <f>'IN_FIN'!$D$12*((1-'IN_FIN'!$E$12)*'ENG_SCEN'!$P$32+'IN_FIN'!$E$12*'ENG_SCEN'!$P$36)*(IF('IN_MACRO'!$P$23=0,'IN_FIN'!$J$12,IF('IN_MACRO'!$P$23=1,'IN_FIN'!$K$12,IF('IN_MACRO'!$P$23=2,'IN_FIN'!$L$12,0))))*'ENG_SCEN'!$G$16</f>
        <v/>
      </c>
    </row>
    <row r="14">
      <c r="A14" s="15" t="inlineStr">
        <is>
          <t>سرمایه‌گذاری تأسیسات و تجهیزات جانبی</t>
        </is>
      </c>
      <c r="B14" s="16" t="inlineStr">
        <is>
          <t>CAPEX.cap.4</t>
        </is>
      </c>
      <c r="C14" s="17" t="inlineStr">
        <is>
          <t>میلیون ریال</t>
        </is>
      </c>
      <c r="D14" s="33">
        <f>'IN_FIN'!$D$13*((1-'IN_FIN'!$E$13)*'ENG_SCEN'!$D$32+'IN_FIN'!$E$13*'ENG_SCEN'!$D$36)*(IF('IN_MACRO'!$D$23=0,'IN_FIN'!$J$13,IF('IN_MACRO'!$D$23=1,'IN_FIN'!$K$13,IF('IN_MACRO'!$D$23=2,'IN_FIN'!$L$13,0))))*'ENG_SCEN'!$G$16</f>
        <v/>
      </c>
      <c r="E14" s="33">
        <f>'IN_FIN'!$D$13*((1-'IN_FIN'!$E$13)*'ENG_SCEN'!$E$32+'IN_FIN'!$E$13*'ENG_SCEN'!$E$36)*(IF('IN_MACRO'!$E$23=0,'IN_FIN'!$J$13,IF('IN_MACRO'!$E$23=1,'IN_FIN'!$K$13,IF('IN_MACRO'!$E$23=2,'IN_FIN'!$L$13,0))))*'ENG_SCEN'!$G$16</f>
        <v/>
      </c>
      <c r="F14" s="33">
        <f>'IN_FIN'!$D$13*((1-'IN_FIN'!$E$13)*'ENG_SCEN'!$F$32+'IN_FIN'!$E$13*'ENG_SCEN'!$F$36)*(IF('IN_MACRO'!$F$23=0,'IN_FIN'!$J$13,IF('IN_MACRO'!$F$23=1,'IN_FIN'!$K$13,IF('IN_MACRO'!$F$23=2,'IN_FIN'!$L$13,0))))*'ENG_SCEN'!$G$16</f>
        <v/>
      </c>
      <c r="G14" s="33">
        <f>'IN_FIN'!$D$13*((1-'IN_FIN'!$E$13)*'ENG_SCEN'!$G$32+'IN_FIN'!$E$13*'ENG_SCEN'!$G$36)*(IF('IN_MACRO'!$G$23=0,'IN_FIN'!$J$13,IF('IN_MACRO'!$G$23=1,'IN_FIN'!$K$13,IF('IN_MACRO'!$G$23=2,'IN_FIN'!$L$13,0))))*'ENG_SCEN'!$G$16</f>
        <v/>
      </c>
      <c r="H14" s="33">
        <f>'IN_FIN'!$D$13*((1-'IN_FIN'!$E$13)*'ENG_SCEN'!$H$32+'IN_FIN'!$E$13*'ENG_SCEN'!$H$36)*(IF('IN_MACRO'!$H$23=0,'IN_FIN'!$J$13,IF('IN_MACRO'!$H$23=1,'IN_FIN'!$K$13,IF('IN_MACRO'!$H$23=2,'IN_FIN'!$L$13,0))))*'ENG_SCEN'!$G$16</f>
        <v/>
      </c>
      <c r="I14" s="33">
        <f>'IN_FIN'!$D$13*((1-'IN_FIN'!$E$13)*'ENG_SCEN'!$I$32+'IN_FIN'!$E$13*'ENG_SCEN'!$I$36)*(IF('IN_MACRO'!$I$23=0,'IN_FIN'!$J$13,IF('IN_MACRO'!$I$23=1,'IN_FIN'!$K$13,IF('IN_MACRO'!$I$23=2,'IN_FIN'!$L$13,0))))*'ENG_SCEN'!$G$16</f>
        <v/>
      </c>
      <c r="J14" s="33">
        <f>'IN_FIN'!$D$13*((1-'IN_FIN'!$E$13)*'ENG_SCEN'!$J$32+'IN_FIN'!$E$13*'ENG_SCEN'!$J$36)*(IF('IN_MACRO'!$J$23=0,'IN_FIN'!$J$13,IF('IN_MACRO'!$J$23=1,'IN_FIN'!$K$13,IF('IN_MACRO'!$J$23=2,'IN_FIN'!$L$13,0))))*'ENG_SCEN'!$G$16</f>
        <v/>
      </c>
      <c r="K14" s="33">
        <f>'IN_FIN'!$D$13*((1-'IN_FIN'!$E$13)*'ENG_SCEN'!$K$32+'IN_FIN'!$E$13*'ENG_SCEN'!$K$36)*(IF('IN_MACRO'!$K$23=0,'IN_FIN'!$J$13,IF('IN_MACRO'!$K$23=1,'IN_FIN'!$K$13,IF('IN_MACRO'!$K$23=2,'IN_FIN'!$L$13,0))))*'ENG_SCEN'!$G$16</f>
        <v/>
      </c>
      <c r="L14" s="33">
        <f>'IN_FIN'!$D$13*((1-'IN_FIN'!$E$13)*'ENG_SCEN'!$L$32+'IN_FIN'!$E$13*'ENG_SCEN'!$L$36)*(IF('IN_MACRO'!$L$23=0,'IN_FIN'!$J$13,IF('IN_MACRO'!$L$23=1,'IN_FIN'!$K$13,IF('IN_MACRO'!$L$23=2,'IN_FIN'!$L$13,0))))*'ENG_SCEN'!$G$16</f>
        <v/>
      </c>
      <c r="M14" s="33">
        <f>'IN_FIN'!$D$13*((1-'IN_FIN'!$E$13)*'ENG_SCEN'!$M$32+'IN_FIN'!$E$13*'ENG_SCEN'!$M$36)*(IF('IN_MACRO'!$M$23=0,'IN_FIN'!$J$13,IF('IN_MACRO'!$M$23=1,'IN_FIN'!$K$13,IF('IN_MACRO'!$M$23=2,'IN_FIN'!$L$13,0))))*'ENG_SCEN'!$G$16</f>
        <v/>
      </c>
      <c r="N14" s="33">
        <f>'IN_FIN'!$D$13*((1-'IN_FIN'!$E$13)*'ENG_SCEN'!$N$32+'IN_FIN'!$E$13*'ENG_SCEN'!$N$36)*(IF('IN_MACRO'!$N$23=0,'IN_FIN'!$J$13,IF('IN_MACRO'!$N$23=1,'IN_FIN'!$K$13,IF('IN_MACRO'!$N$23=2,'IN_FIN'!$L$13,0))))*'ENG_SCEN'!$G$16</f>
        <v/>
      </c>
      <c r="O14" s="33">
        <f>'IN_FIN'!$D$13*((1-'IN_FIN'!$E$13)*'ENG_SCEN'!$O$32+'IN_FIN'!$E$13*'ENG_SCEN'!$O$36)*(IF('IN_MACRO'!$O$23=0,'IN_FIN'!$J$13,IF('IN_MACRO'!$O$23=1,'IN_FIN'!$K$13,IF('IN_MACRO'!$O$23=2,'IN_FIN'!$L$13,0))))*'ENG_SCEN'!$G$16</f>
        <v/>
      </c>
      <c r="P14" s="33">
        <f>'IN_FIN'!$D$13*((1-'IN_FIN'!$E$13)*'ENG_SCEN'!$P$32+'IN_FIN'!$E$13*'ENG_SCEN'!$P$36)*(IF('IN_MACRO'!$P$23=0,'IN_FIN'!$J$13,IF('IN_MACRO'!$P$23=1,'IN_FIN'!$K$13,IF('IN_MACRO'!$P$23=2,'IN_FIN'!$L$13,0))))*'ENG_SCEN'!$G$16</f>
        <v/>
      </c>
    </row>
    <row r="15">
      <c r="A15" s="15" t="inlineStr">
        <is>
          <t>سرمایه‌گذاری تصفیه‌خانه و تجهیزات زیست‌محیطی</t>
        </is>
      </c>
      <c r="B15" s="16" t="inlineStr">
        <is>
          <t>CAPEX.cap.5</t>
        </is>
      </c>
      <c r="C15" s="17" t="inlineStr">
        <is>
          <t>میلیون ریال</t>
        </is>
      </c>
      <c r="D15" s="33">
        <f>'IN_FIN'!$D$14*((1-'IN_FIN'!$E$14)*'ENG_SCEN'!$D$32+'IN_FIN'!$E$14*'ENG_SCEN'!$D$36)*(IF('IN_MACRO'!$D$23=0,'IN_FIN'!$J$14,IF('IN_MACRO'!$D$23=1,'IN_FIN'!$K$14,IF('IN_MACRO'!$D$23=2,'IN_FIN'!$L$14,0))))*'ENG_SCEN'!$G$16</f>
        <v/>
      </c>
      <c r="E15" s="33">
        <f>'IN_FIN'!$D$14*((1-'IN_FIN'!$E$14)*'ENG_SCEN'!$E$32+'IN_FIN'!$E$14*'ENG_SCEN'!$E$36)*(IF('IN_MACRO'!$E$23=0,'IN_FIN'!$J$14,IF('IN_MACRO'!$E$23=1,'IN_FIN'!$K$14,IF('IN_MACRO'!$E$23=2,'IN_FIN'!$L$14,0))))*'ENG_SCEN'!$G$16</f>
        <v/>
      </c>
      <c r="F15" s="33">
        <f>'IN_FIN'!$D$14*((1-'IN_FIN'!$E$14)*'ENG_SCEN'!$F$32+'IN_FIN'!$E$14*'ENG_SCEN'!$F$36)*(IF('IN_MACRO'!$F$23=0,'IN_FIN'!$J$14,IF('IN_MACRO'!$F$23=1,'IN_FIN'!$K$14,IF('IN_MACRO'!$F$23=2,'IN_FIN'!$L$14,0))))*'ENG_SCEN'!$G$16</f>
        <v/>
      </c>
      <c r="G15" s="33">
        <f>'IN_FIN'!$D$14*((1-'IN_FIN'!$E$14)*'ENG_SCEN'!$G$32+'IN_FIN'!$E$14*'ENG_SCEN'!$G$36)*(IF('IN_MACRO'!$G$23=0,'IN_FIN'!$J$14,IF('IN_MACRO'!$G$23=1,'IN_FIN'!$K$14,IF('IN_MACRO'!$G$23=2,'IN_FIN'!$L$14,0))))*'ENG_SCEN'!$G$16</f>
        <v/>
      </c>
      <c r="H15" s="33">
        <f>'IN_FIN'!$D$14*((1-'IN_FIN'!$E$14)*'ENG_SCEN'!$H$32+'IN_FIN'!$E$14*'ENG_SCEN'!$H$36)*(IF('IN_MACRO'!$H$23=0,'IN_FIN'!$J$14,IF('IN_MACRO'!$H$23=1,'IN_FIN'!$K$14,IF('IN_MACRO'!$H$23=2,'IN_FIN'!$L$14,0))))*'ENG_SCEN'!$G$16</f>
        <v/>
      </c>
      <c r="I15" s="33">
        <f>'IN_FIN'!$D$14*((1-'IN_FIN'!$E$14)*'ENG_SCEN'!$I$32+'IN_FIN'!$E$14*'ENG_SCEN'!$I$36)*(IF('IN_MACRO'!$I$23=0,'IN_FIN'!$J$14,IF('IN_MACRO'!$I$23=1,'IN_FIN'!$K$14,IF('IN_MACRO'!$I$23=2,'IN_FIN'!$L$14,0))))*'ENG_SCEN'!$G$16</f>
        <v/>
      </c>
      <c r="J15" s="33">
        <f>'IN_FIN'!$D$14*((1-'IN_FIN'!$E$14)*'ENG_SCEN'!$J$32+'IN_FIN'!$E$14*'ENG_SCEN'!$J$36)*(IF('IN_MACRO'!$J$23=0,'IN_FIN'!$J$14,IF('IN_MACRO'!$J$23=1,'IN_FIN'!$K$14,IF('IN_MACRO'!$J$23=2,'IN_FIN'!$L$14,0))))*'ENG_SCEN'!$G$16</f>
        <v/>
      </c>
      <c r="K15" s="33">
        <f>'IN_FIN'!$D$14*((1-'IN_FIN'!$E$14)*'ENG_SCEN'!$K$32+'IN_FIN'!$E$14*'ENG_SCEN'!$K$36)*(IF('IN_MACRO'!$K$23=0,'IN_FIN'!$J$14,IF('IN_MACRO'!$K$23=1,'IN_FIN'!$K$14,IF('IN_MACRO'!$K$23=2,'IN_FIN'!$L$14,0))))*'ENG_SCEN'!$G$16</f>
        <v/>
      </c>
      <c r="L15" s="33">
        <f>'IN_FIN'!$D$14*((1-'IN_FIN'!$E$14)*'ENG_SCEN'!$L$32+'IN_FIN'!$E$14*'ENG_SCEN'!$L$36)*(IF('IN_MACRO'!$L$23=0,'IN_FIN'!$J$14,IF('IN_MACRO'!$L$23=1,'IN_FIN'!$K$14,IF('IN_MACRO'!$L$23=2,'IN_FIN'!$L$14,0))))*'ENG_SCEN'!$G$16</f>
        <v/>
      </c>
      <c r="M15" s="33">
        <f>'IN_FIN'!$D$14*((1-'IN_FIN'!$E$14)*'ENG_SCEN'!$M$32+'IN_FIN'!$E$14*'ENG_SCEN'!$M$36)*(IF('IN_MACRO'!$M$23=0,'IN_FIN'!$J$14,IF('IN_MACRO'!$M$23=1,'IN_FIN'!$K$14,IF('IN_MACRO'!$M$23=2,'IN_FIN'!$L$14,0))))*'ENG_SCEN'!$G$16</f>
        <v/>
      </c>
      <c r="N15" s="33">
        <f>'IN_FIN'!$D$14*((1-'IN_FIN'!$E$14)*'ENG_SCEN'!$N$32+'IN_FIN'!$E$14*'ENG_SCEN'!$N$36)*(IF('IN_MACRO'!$N$23=0,'IN_FIN'!$J$14,IF('IN_MACRO'!$N$23=1,'IN_FIN'!$K$14,IF('IN_MACRO'!$N$23=2,'IN_FIN'!$L$14,0))))*'ENG_SCEN'!$G$16</f>
        <v/>
      </c>
      <c r="O15" s="33">
        <f>'IN_FIN'!$D$14*((1-'IN_FIN'!$E$14)*'ENG_SCEN'!$O$32+'IN_FIN'!$E$14*'ENG_SCEN'!$O$36)*(IF('IN_MACRO'!$O$23=0,'IN_FIN'!$J$14,IF('IN_MACRO'!$O$23=1,'IN_FIN'!$K$14,IF('IN_MACRO'!$O$23=2,'IN_FIN'!$L$14,0))))*'ENG_SCEN'!$G$16</f>
        <v/>
      </c>
      <c r="P15" s="33">
        <f>'IN_FIN'!$D$14*((1-'IN_FIN'!$E$14)*'ENG_SCEN'!$P$32+'IN_FIN'!$E$14*'ENG_SCEN'!$P$36)*(IF('IN_MACRO'!$P$23=0,'IN_FIN'!$J$14,IF('IN_MACRO'!$P$23=1,'IN_FIN'!$K$14,IF('IN_MACRO'!$P$23=2,'IN_FIN'!$L$14,0))))*'ENG_SCEN'!$G$16</f>
        <v/>
      </c>
    </row>
    <row r="16">
      <c r="A16" s="15" t="inlineStr">
        <is>
          <t>سرمایه‌گذاری تجهیزات حمل‌ونقل داخلی</t>
        </is>
      </c>
      <c r="B16" s="16" t="inlineStr">
        <is>
          <t>CAPEX.cap.6</t>
        </is>
      </c>
      <c r="C16" s="17" t="inlineStr">
        <is>
          <t>میلیون ریال</t>
        </is>
      </c>
      <c r="D16" s="33">
        <f>'IN_FIN'!$D$15*((1-'IN_FIN'!$E$15)*'ENG_SCEN'!$D$32+'IN_FIN'!$E$15*'ENG_SCEN'!$D$36)*(IF('IN_MACRO'!$D$23=0,'IN_FIN'!$J$15,IF('IN_MACRO'!$D$23=1,'IN_FIN'!$K$15,IF('IN_MACRO'!$D$23=2,'IN_FIN'!$L$15,0))))*'ENG_SCEN'!$G$16</f>
        <v/>
      </c>
      <c r="E16" s="33">
        <f>'IN_FIN'!$D$15*((1-'IN_FIN'!$E$15)*'ENG_SCEN'!$E$32+'IN_FIN'!$E$15*'ENG_SCEN'!$E$36)*(IF('IN_MACRO'!$E$23=0,'IN_FIN'!$J$15,IF('IN_MACRO'!$E$23=1,'IN_FIN'!$K$15,IF('IN_MACRO'!$E$23=2,'IN_FIN'!$L$15,0))))*'ENG_SCEN'!$G$16</f>
        <v/>
      </c>
      <c r="F16" s="33">
        <f>'IN_FIN'!$D$15*((1-'IN_FIN'!$E$15)*'ENG_SCEN'!$F$32+'IN_FIN'!$E$15*'ENG_SCEN'!$F$36)*(IF('IN_MACRO'!$F$23=0,'IN_FIN'!$J$15,IF('IN_MACRO'!$F$23=1,'IN_FIN'!$K$15,IF('IN_MACRO'!$F$23=2,'IN_FIN'!$L$15,0))))*'ENG_SCEN'!$G$16</f>
        <v/>
      </c>
      <c r="G16" s="33">
        <f>'IN_FIN'!$D$15*((1-'IN_FIN'!$E$15)*'ENG_SCEN'!$G$32+'IN_FIN'!$E$15*'ENG_SCEN'!$G$36)*(IF('IN_MACRO'!$G$23=0,'IN_FIN'!$J$15,IF('IN_MACRO'!$G$23=1,'IN_FIN'!$K$15,IF('IN_MACRO'!$G$23=2,'IN_FIN'!$L$15,0))))*'ENG_SCEN'!$G$16</f>
        <v/>
      </c>
      <c r="H16" s="33">
        <f>'IN_FIN'!$D$15*((1-'IN_FIN'!$E$15)*'ENG_SCEN'!$H$32+'IN_FIN'!$E$15*'ENG_SCEN'!$H$36)*(IF('IN_MACRO'!$H$23=0,'IN_FIN'!$J$15,IF('IN_MACRO'!$H$23=1,'IN_FIN'!$K$15,IF('IN_MACRO'!$H$23=2,'IN_FIN'!$L$15,0))))*'ENG_SCEN'!$G$16</f>
        <v/>
      </c>
      <c r="I16" s="33">
        <f>'IN_FIN'!$D$15*((1-'IN_FIN'!$E$15)*'ENG_SCEN'!$I$32+'IN_FIN'!$E$15*'ENG_SCEN'!$I$36)*(IF('IN_MACRO'!$I$23=0,'IN_FIN'!$J$15,IF('IN_MACRO'!$I$23=1,'IN_FIN'!$K$15,IF('IN_MACRO'!$I$23=2,'IN_FIN'!$L$15,0))))*'ENG_SCEN'!$G$16</f>
        <v/>
      </c>
      <c r="J16" s="33">
        <f>'IN_FIN'!$D$15*((1-'IN_FIN'!$E$15)*'ENG_SCEN'!$J$32+'IN_FIN'!$E$15*'ENG_SCEN'!$J$36)*(IF('IN_MACRO'!$J$23=0,'IN_FIN'!$J$15,IF('IN_MACRO'!$J$23=1,'IN_FIN'!$K$15,IF('IN_MACRO'!$J$23=2,'IN_FIN'!$L$15,0))))*'ENG_SCEN'!$G$16</f>
        <v/>
      </c>
      <c r="K16" s="33">
        <f>'IN_FIN'!$D$15*((1-'IN_FIN'!$E$15)*'ENG_SCEN'!$K$32+'IN_FIN'!$E$15*'ENG_SCEN'!$K$36)*(IF('IN_MACRO'!$K$23=0,'IN_FIN'!$J$15,IF('IN_MACRO'!$K$23=1,'IN_FIN'!$K$15,IF('IN_MACRO'!$K$23=2,'IN_FIN'!$L$15,0))))*'ENG_SCEN'!$G$16</f>
        <v/>
      </c>
      <c r="L16" s="33">
        <f>'IN_FIN'!$D$15*((1-'IN_FIN'!$E$15)*'ENG_SCEN'!$L$32+'IN_FIN'!$E$15*'ENG_SCEN'!$L$36)*(IF('IN_MACRO'!$L$23=0,'IN_FIN'!$J$15,IF('IN_MACRO'!$L$23=1,'IN_FIN'!$K$15,IF('IN_MACRO'!$L$23=2,'IN_FIN'!$L$15,0))))*'ENG_SCEN'!$G$16</f>
        <v/>
      </c>
      <c r="M16" s="33">
        <f>'IN_FIN'!$D$15*((1-'IN_FIN'!$E$15)*'ENG_SCEN'!$M$32+'IN_FIN'!$E$15*'ENG_SCEN'!$M$36)*(IF('IN_MACRO'!$M$23=0,'IN_FIN'!$J$15,IF('IN_MACRO'!$M$23=1,'IN_FIN'!$K$15,IF('IN_MACRO'!$M$23=2,'IN_FIN'!$L$15,0))))*'ENG_SCEN'!$G$16</f>
        <v/>
      </c>
      <c r="N16" s="33">
        <f>'IN_FIN'!$D$15*((1-'IN_FIN'!$E$15)*'ENG_SCEN'!$N$32+'IN_FIN'!$E$15*'ENG_SCEN'!$N$36)*(IF('IN_MACRO'!$N$23=0,'IN_FIN'!$J$15,IF('IN_MACRO'!$N$23=1,'IN_FIN'!$K$15,IF('IN_MACRO'!$N$23=2,'IN_FIN'!$L$15,0))))*'ENG_SCEN'!$G$16</f>
        <v/>
      </c>
      <c r="O16" s="33">
        <f>'IN_FIN'!$D$15*((1-'IN_FIN'!$E$15)*'ENG_SCEN'!$O$32+'IN_FIN'!$E$15*'ENG_SCEN'!$O$36)*(IF('IN_MACRO'!$O$23=0,'IN_FIN'!$J$15,IF('IN_MACRO'!$O$23=1,'IN_FIN'!$K$15,IF('IN_MACRO'!$O$23=2,'IN_FIN'!$L$15,0))))*'ENG_SCEN'!$G$16</f>
        <v/>
      </c>
      <c r="P16" s="33">
        <f>'IN_FIN'!$D$15*((1-'IN_FIN'!$E$15)*'ENG_SCEN'!$P$32+'IN_FIN'!$E$15*'ENG_SCEN'!$P$36)*(IF('IN_MACRO'!$P$23=0,'IN_FIN'!$J$15,IF('IN_MACRO'!$P$23=1,'IN_FIN'!$K$15,IF('IN_MACRO'!$P$23=2,'IN_FIN'!$L$15,0))))*'ENG_SCEN'!$G$16</f>
        <v/>
      </c>
    </row>
    <row r="17">
      <c r="A17" s="15" t="inlineStr">
        <is>
          <t>سرمایه‌گذاری آزمایشگاه و ابزار دقیق</t>
        </is>
      </c>
      <c r="B17" s="16" t="inlineStr">
        <is>
          <t>CAPEX.cap.7</t>
        </is>
      </c>
      <c r="C17" s="17" t="inlineStr">
        <is>
          <t>میلیون ریال</t>
        </is>
      </c>
      <c r="D17" s="33">
        <f>'IN_FIN'!$D$16*((1-'IN_FIN'!$E$16)*'ENG_SCEN'!$D$32+'IN_FIN'!$E$16*'ENG_SCEN'!$D$36)*(IF('IN_MACRO'!$D$23=0,'IN_FIN'!$J$16,IF('IN_MACRO'!$D$23=1,'IN_FIN'!$K$16,IF('IN_MACRO'!$D$23=2,'IN_FIN'!$L$16,0))))*'ENG_SCEN'!$G$16</f>
        <v/>
      </c>
      <c r="E17" s="33">
        <f>'IN_FIN'!$D$16*((1-'IN_FIN'!$E$16)*'ENG_SCEN'!$E$32+'IN_FIN'!$E$16*'ENG_SCEN'!$E$36)*(IF('IN_MACRO'!$E$23=0,'IN_FIN'!$J$16,IF('IN_MACRO'!$E$23=1,'IN_FIN'!$K$16,IF('IN_MACRO'!$E$23=2,'IN_FIN'!$L$16,0))))*'ENG_SCEN'!$G$16</f>
        <v/>
      </c>
      <c r="F17" s="33">
        <f>'IN_FIN'!$D$16*((1-'IN_FIN'!$E$16)*'ENG_SCEN'!$F$32+'IN_FIN'!$E$16*'ENG_SCEN'!$F$36)*(IF('IN_MACRO'!$F$23=0,'IN_FIN'!$J$16,IF('IN_MACRO'!$F$23=1,'IN_FIN'!$K$16,IF('IN_MACRO'!$F$23=2,'IN_FIN'!$L$16,0))))*'ENG_SCEN'!$G$16</f>
        <v/>
      </c>
      <c r="G17" s="33">
        <f>'IN_FIN'!$D$16*((1-'IN_FIN'!$E$16)*'ENG_SCEN'!$G$32+'IN_FIN'!$E$16*'ENG_SCEN'!$G$36)*(IF('IN_MACRO'!$G$23=0,'IN_FIN'!$J$16,IF('IN_MACRO'!$G$23=1,'IN_FIN'!$K$16,IF('IN_MACRO'!$G$23=2,'IN_FIN'!$L$16,0))))*'ENG_SCEN'!$G$16</f>
        <v/>
      </c>
      <c r="H17" s="33">
        <f>'IN_FIN'!$D$16*((1-'IN_FIN'!$E$16)*'ENG_SCEN'!$H$32+'IN_FIN'!$E$16*'ENG_SCEN'!$H$36)*(IF('IN_MACRO'!$H$23=0,'IN_FIN'!$J$16,IF('IN_MACRO'!$H$23=1,'IN_FIN'!$K$16,IF('IN_MACRO'!$H$23=2,'IN_FIN'!$L$16,0))))*'ENG_SCEN'!$G$16</f>
        <v/>
      </c>
      <c r="I17" s="33">
        <f>'IN_FIN'!$D$16*((1-'IN_FIN'!$E$16)*'ENG_SCEN'!$I$32+'IN_FIN'!$E$16*'ENG_SCEN'!$I$36)*(IF('IN_MACRO'!$I$23=0,'IN_FIN'!$J$16,IF('IN_MACRO'!$I$23=1,'IN_FIN'!$K$16,IF('IN_MACRO'!$I$23=2,'IN_FIN'!$L$16,0))))*'ENG_SCEN'!$G$16</f>
        <v/>
      </c>
      <c r="J17" s="33">
        <f>'IN_FIN'!$D$16*((1-'IN_FIN'!$E$16)*'ENG_SCEN'!$J$32+'IN_FIN'!$E$16*'ENG_SCEN'!$J$36)*(IF('IN_MACRO'!$J$23=0,'IN_FIN'!$J$16,IF('IN_MACRO'!$J$23=1,'IN_FIN'!$K$16,IF('IN_MACRO'!$J$23=2,'IN_FIN'!$L$16,0))))*'ENG_SCEN'!$G$16</f>
        <v/>
      </c>
      <c r="K17" s="33">
        <f>'IN_FIN'!$D$16*((1-'IN_FIN'!$E$16)*'ENG_SCEN'!$K$32+'IN_FIN'!$E$16*'ENG_SCEN'!$K$36)*(IF('IN_MACRO'!$K$23=0,'IN_FIN'!$J$16,IF('IN_MACRO'!$K$23=1,'IN_FIN'!$K$16,IF('IN_MACRO'!$K$23=2,'IN_FIN'!$L$16,0))))*'ENG_SCEN'!$G$16</f>
        <v/>
      </c>
      <c r="L17" s="33">
        <f>'IN_FIN'!$D$16*((1-'IN_FIN'!$E$16)*'ENG_SCEN'!$L$32+'IN_FIN'!$E$16*'ENG_SCEN'!$L$36)*(IF('IN_MACRO'!$L$23=0,'IN_FIN'!$J$16,IF('IN_MACRO'!$L$23=1,'IN_FIN'!$K$16,IF('IN_MACRO'!$L$23=2,'IN_FIN'!$L$16,0))))*'ENG_SCEN'!$G$16</f>
        <v/>
      </c>
      <c r="M17" s="33">
        <f>'IN_FIN'!$D$16*((1-'IN_FIN'!$E$16)*'ENG_SCEN'!$M$32+'IN_FIN'!$E$16*'ENG_SCEN'!$M$36)*(IF('IN_MACRO'!$M$23=0,'IN_FIN'!$J$16,IF('IN_MACRO'!$M$23=1,'IN_FIN'!$K$16,IF('IN_MACRO'!$M$23=2,'IN_FIN'!$L$16,0))))*'ENG_SCEN'!$G$16</f>
        <v/>
      </c>
      <c r="N17" s="33">
        <f>'IN_FIN'!$D$16*((1-'IN_FIN'!$E$16)*'ENG_SCEN'!$N$32+'IN_FIN'!$E$16*'ENG_SCEN'!$N$36)*(IF('IN_MACRO'!$N$23=0,'IN_FIN'!$J$16,IF('IN_MACRO'!$N$23=1,'IN_FIN'!$K$16,IF('IN_MACRO'!$N$23=2,'IN_FIN'!$L$16,0))))*'ENG_SCEN'!$G$16</f>
        <v/>
      </c>
      <c r="O17" s="33">
        <f>'IN_FIN'!$D$16*((1-'IN_FIN'!$E$16)*'ENG_SCEN'!$O$32+'IN_FIN'!$E$16*'ENG_SCEN'!$O$36)*(IF('IN_MACRO'!$O$23=0,'IN_FIN'!$J$16,IF('IN_MACRO'!$O$23=1,'IN_FIN'!$K$16,IF('IN_MACRO'!$O$23=2,'IN_FIN'!$L$16,0))))*'ENG_SCEN'!$G$16</f>
        <v/>
      </c>
      <c r="P17" s="33">
        <f>'IN_FIN'!$D$16*((1-'IN_FIN'!$E$16)*'ENG_SCEN'!$P$32+'IN_FIN'!$E$16*'ENG_SCEN'!$P$36)*(IF('IN_MACRO'!$P$23=0,'IN_FIN'!$J$16,IF('IN_MACRO'!$P$23=1,'IN_FIN'!$K$16,IF('IN_MACRO'!$P$23=2,'IN_FIN'!$L$16,0))))*'ENG_SCEN'!$G$16</f>
        <v/>
      </c>
    </row>
    <row r="18">
      <c r="A18" s="15" t="inlineStr">
        <is>
          <t>سرمایه‌گذاری مهندسی، نصب و راه‌اندازی</t>
        </is>
      </c>
      <c r="B18" s="16" t="inlineStr">
        <is>
          <t>CAPEX.cap.8</t>
        </is>
      </c>
      <c r="C18" s="17" t="inlineStr">
        <is>
          <t>میلیون ریال</t>
        </is>
      </c>
      <c r="D18" s="33">
        <f>'IN_FIN'!$D$17*((1-'IN_FIN'!$E$17)*'ENG_SCEN'!$D$32+'IN_FIN'!$E$17*'ENG_SCEN'!$D$36)*(IF('IN_MACRO'!$D$23=0,'IN_FIN'!$J$17,IF('IN_MACRO'!$D$23=1,'IN_FIN'!$K$17,IF('IN_MACRO'!$D$23=2,'IN_FIN'!$L$17,0))))*'ENG_SCEN'!$G$16</f>
        <v/>
      </c>
      <c r="E18" s="33">
        <f>'IN_FIN'!$D$17*((1-'IN_FIN'!$E$17)*'ENG_SCEN'!$E$32+'IN_FIN'!$E$17*'ENG_SCEN'!$E$36)*(IF('IN_MACRO'!$E$23=0,'IN_FIN'!$J$17,IF('IN_MACRO'!$E$23=1,'IN_FIN'!$K$17,IF('IN_MACRO'!$E$23=2,'IN_FIN'!$L$17,0))))*'ENG_SCEN'!$G$16</f>
        <v/>
      </c>
      <c r="F18" s="33">
        <f>'IN_FIN'!$D$17*((1-'IN_FIN'!$E$17)*'ENG_SCEN'!$F$32+'IN_FIN'!$E$17*'ENG_SCEN'!$F$36)*(IF('IN_MACRO'!$F$23=0,'IN_FIN'!$J$17,IF('IN_MACRO'!$F$23=1,'IN_FIN'!$K$17,IF('IN_MACRO'!$F$23=2,'IN_FIN'!$L$17,0))))*'ENG_SCEN'!$G$16</f>
        <v/>
      </c>
      <c r="G18" s="33">
        <f>'IN_FIN'!$D$17*((1-'IN_FIN'!$E$17)*'ENG_SCEN'!$G$32+'IN_FIN'!$E$17*'ENG_SCEN'!$G$36)*(IF('IN_MACRO'!$G$23=0,'IN_FIN'!$J$17,IF('IN_MACRO'!$G$23=1,'IN_FIN'!$K$17,IF('IN_MACRO'!$G$23=2,'IN_FIN'!$L$17,0))))*'ENG_SCEN'!$G$16</f>
        <v/>
      </c>
      <c r="H18" s="33">
        <f>'IN_FIN'!$D$17*((1-'IN_FIN'!$E$17)*'ENG_SCEN'!$H$32+'IN_FIN'!$E$17*'ENG_SCEN'!$H$36)*(IF('IN_MACRO'!$H$23=0,'IN_FIN'!$J$17,IF('IN_MACRO'!$H$23=1,'IN_FIN'!$K$17,IF('IN_MACRO'!$H$23=2,'IN_FIN'!$L$17,0))))*'ENG_SCEN'!$G$16</f>
        <v/>
      </c>
      <c r="I18" s="33">
        <f>'IN_FIN'!$D$17*((1-'IN_FIN'!$E$17)*'ENG_SCEN'!$I$32+'IN_FIN'!$E$17*'ENG_SCEN'!$I$36)*(IF('IN_MACRO'!$I$23=0,'IN_FIN'!$J$17,IF('IN_MACRO'!$I$23=1,'IN_FIN'!$K$17,IF('IN_MACRO'!$I$23=2,'IN_FIN'!$L$17,0))))*'ENG_SCEN'!$G$16</f>
        <v/>
      </c>
      <c r="J18" s="33">
        <f>'IN_FIN'!$D$17*((1-'IN_FIN'!$E$17)*'ENG_SCEN'!$J$32+'IN_FIN'!$E$17*'ENG_SCEN'!$J$36)*(IF('IN_MACRO'!$J$23=0,'IN_FIN'!$J$17,IF('IN_MACRO'!$J$23=1,'IN_FIN'!$K$17,IF('IN_MACRO'!$J$23=2,'IN_FIN'!$L$17,0))))*'ENG_SCEN'!$G$16</f>
        <v/>
      </c>
      <c r="K18" s="33">
        <f>'IN_FIN'!$D$17*((1-'IN_FIN'!$E$17)*'ENG_SCEN'!$K$32+'IN_FIN'!$E$17*'ENG_SCEN'!$K$36)*(IF('IN_MACRO'!$K$23=0,'IN_FIN'!$J$17,IF('IN_MACRO'!$K$23=1,'IN_FIN'!$K$17,IF('IN_MACRO'!$K$23=2,'IN_FIN'!$L$17,0))))*'ENG_SCEN'!$G$16</f>
        <v/>
      </c>
      <c r="L18" s="33">
        <f>'IN_FIN'!$D$17*((1-'IN_FIN'!$E$17)*'ENG_SCEN'!$L$32+'IN_FIN'!$E$17*'ENG_SCEN'!$L$36)*(IF('IN_MACRO'!$L$23=0,'IN_FIN'!$J$17,IF('IN_MACRO'!$L$23=1,'IN_FIN'!$K$17,IF('IN_MACRO'!$L$23=2,'IN_FIN'!$L$17,0))))*'ENG_SCEN'!$G$16</f>
        <v/>
      </c>
      <c r="M18" s="33">
        <f>'IN_FIN'!$D$17*((1-'IN_FIN'!$E$17)*'ENG_SCEN'!$M$32+'IN_FIN'!$E$17*'ENG_SCEN'!$M$36)*(IF('IN_MACRO'!$M$23=0,'IN_FIN'!$J$17,IF('IN_MACRO'!$M$23=1,'IN_FIN'!$K$17,IF('IN_MACRO'!$M$23=2,'IN_FIN'!$L$17,0))))*'ENG_SCEN'!$G$16</f>
        <v/>
      </c>
      <c r="N18" s="33">
        <f>'IN_FIN'!$D$17*((1-'IN_FIN'!$E$17)*'ENG_SCEN'!$N$32+'IN_FIN'!$E$17*'ENG_SCEN'!$N$36)*(IF('IN_MACRO'!$N$23=0,'IN_FIN'!$J$17,IF('IN_MACRO'!$N$23=1,'IN_FIN'!$K$17,IF('IN_MACRO'!$N$23=2,'IN_FIN'!$L$17,0))))*'ENG_SCEN'!$G$16</f>
        <v/>
      </c>
      <c r="O18" s="33">
        <f>'IN_FIN'!$D$17*((1-'IN_FIN'!$E$17)*'ENG_SCEN'!$O$32+'IN_FIN'!$E$17*'ENG_SCEN'!$O$36)*(IF('IN_MACRO'!$O$23=0,'IN_FIN'!$J$17,IF('IN_MACRO'!$O$23=1,'IN_FIN'!$K$17,IF('IN_MACRO'!$O$23=2,'IN_FIN'!$L$17,0))))*'ENG_SCEN'!$G$16</f>
        <v/>
      </c>
      <c r="P18" s="33">
        <f>'IN_FIN'!$D$17*((1-'IN_FIN'!$E$17)*'ENG_SCEN'!$P$32+'IN_FIN'!$E$17*'ENG_SCEN'!$P$36)*(IF('IN_MACRO'!$P$23=0,'IN_FIN'!$J$17,IF('IN_MACRO'!$P$23=1,'IN_FIN'!$K$17,IF('IN_MACRO'!$P$23=2,'IN_FIN'!$L$17,0))))*'ENG_SCEN'!$G$16</f>
        <v/>
      </c>
    </row>
    <row r="19">
      <c r="A19" s="15" t="inlineStr">
        <is>
          <t>سرمایه‌گذاری هزینه‌های پیش از بهره‌برداری</t>
        </is>
      </c>
      <c r="B19" s="16" t="inlineStr">
        <is>
          <t>CAPEX.cap.9</t>
        </is>
      </c>
      <c r="C19" s="17" t="inlineStr">
        <is>
          <t>میلیون ریال</t>
        </is>
      </c>
      <c r="D19" s="33">
        <f>'IN_FIN'!$D$18*((1-'IN_FIN'!$E$18)*'ENG_SCEN'!$D$32+'IN_FIN'!$E$18*'ENG_SCEN'!$D$36)*(IF('IN_MACRO'!$D$23=0,'IN_FIN'!$J$18,IF('IN_MACRO'!$D$23=1,'IN_FIN'!$K$18,IF('IN_MACRO'!$D$23=2,'IN_FIN'!$L$18,0))))*'ENG_SCEN'!$G$16</f>
        <v/>
      </c>
      <c r="E19" s="33">
        <f>'IN_FIN'!$D$18*((1-'IN_FIN'!$E$18)*'ENG_SCEN'!$E$32+'IN_FIN'!$E$18*'ENG_SCEN'!$E$36)*(IF('IN_MACRO'!$E$23=0,'IN_FIN'!$J$18,IF('IN_MACRO'!$E$23=1,'IN_FIN'!$K$18,IF('IN_MACRO'!$E$23=2,'IN_FIN'!$L$18,0))))*'ENG_SCEN'!$G$16</f>
        <v/>
      </c>
      <c r="F19" s="33">
        <f>'IN_FIN'!$D$18*((1-'IN_FIN'!$E$18)*'ENG_SCEN'!$F$32+'IN_FIN'!$E$18*'ENG_SCEN'!$F$36)*(IF('IN_MACRO'!$F$23=0,'IN_FIN'!$J$18,IF('IN_MACRO'!$F$23=1,'IN_FIN'!$K$18,IF('IN_MACRO'!$F$23=2,'IN_FIN'!$L$18,0))))*'ENG_SCEN'!$G$16</f>
        <v/>
      </c>
      <c r="G19" s="33">
        <f>'IN_FIN'!$D$18*((1-'IN_FIN'!$E$18)*'ENG_SCEN'!$G$32+'IN_FIN'!$E$18*'ENG_SCEN'!$G$36)*(IF('IN_MACRO'!$G$23=0,'IN_FIN'!$J$18,IF('IN_MACRO'!$G$23=1,'IN_FIN'!$K$18,IF('IN_MACRO'!$G$23=2,'IN_FIN'!$L$18,0))))*'ENG_SCEN'!$G$16</f>
        <v/>
      </c>
      <c r="H19" s="33">
        <f>'IN_FIN'!$D$18*((1-'IN_FIN'!$E$18)*'ENG_SCEN'!$H$32+'IN_FIN'!$E$18*'ENG_SCEN'!$H$36)*(IF('IN_MACRO'!$H$23=0,'IN_FIN'!$J$18,IF('IN_MACRO'!$H$23=1,'IN_FIN'!$K$18,IF('IN_MACRO'!$H$23=2,'IN_FIN'!$L$18,0))))*'ENG_SCEN'!$G$16</f>
        <v/>
      </c>
      <c r="I19" s="33">
        <f>'IN_FIN'!$D$18*((1-'IN_FIN'!$E$18)*'ENG_SCEN'!$I$32+'IN_FIN'!$E$18*'ENG_SCEN'!$I$36)*(IF('IN_MACRO'!$I$23=0,'IN_FIN'!$J$18,IF('IN_MACRO'!$I$23=1,'IN_FIN'!$K$18,IF('IN_MACRO'!$I$23=2,'IN_FIN'!$L$18,0))))*'ENG_SCEN'!$G$16</f>
        <v/>
      </c>
      <c r="J19" s="33">
        <f>'IN_FIN'!$D$18*((1-'IN_FIN'!$E$18)*'ENG_SCEN'!$J$32+'IN_FIN'!$E$18*'ENG_SCEN'!$J$36)*(IF('IN_MACRO'!$J$23=0,'IN_FIN'!$J$18,IF('IN_MACRO'!$J$23=1,'IN_FIN'!$K$18,IF('IN_MACRO'!$J$23=2,'IN_FIN'!$L$18,0))))*'ENG_SCEN'!$G$16</f>
        <v/>
      </c>
      <c r="K19" s="33">
        <f>'IN_FIN'!$D$18*((1-'IN_FIN'!$E$18)*'ENG_SCEN'!$K$32+'IN_FIN'!$E$18*'ENG_SCEN'!$K$36)*(IF('IN_MACRO'!$K$23=0,'IN_FIN'!$J$18,IF('IN_MACRO'!$K$23=1,'IN_FIN'!$K$18,IF('IN_MACRO'!$K$23=2,'IN_FIN'!$L$18,0))))*'ENG_SCEN'!$G$16</f>
        <v/>
      </c>
      <c r="L19" s="33">
        <f>'IN_FIN'!$D$18*((1-'IN_FIN'!$E$18)*'ENG_SCEN'!$L$32+'IN_FIN'!$E$18*'ENG_SCEN'!$L$36)*(IF('IN_MACRO'!$L$23=0,'IN_FIN'!$J$18,IF('IN_MACRO'!$L$23=1,'IN_FIN'!$K$18,IF('IN_MACRO'!$L$23=2,'IN_FIN'!$L$18,0))))*'ENG_SCEN'!$G$16</f>
        <v/>
      </c>
      <c r="M19" s="33">
        <f>'IN_FIN'!$D$18*((1-'IN_FIN'!$E$18)*'ENG_SCEN'!$M$32+'IN_FIN'!$E$18*'ENG_SCEN'!$M$36)*(IF('IN_MACRO'!$M$23=0,'IN_FIN'!$J$18,IF('IN_MACRO'!$M$23=1,'IN_FIN'!$K$18,IF('IN_MACRO'!$M$23=2,'IN_FIN'!$L$18,0))))*'ENG_SCEN'!$G$16</f>
        <v/>
      </c>
      <c r="N19" s="33">
        <f>'IN_FIN'!$D$18*((1-'IN_FIN'!$E$18)*'ENG_SCEN'!$N$32+'IN_FIN'!$E$18*'ENG_SCEN'!$N$36)*(IF('IN_MACRO'!$N$23=0,'IN_FIN'!$J$18,IF('IN_MACRO'!$N$23=1,'IN_FIN'!$K$18,IF('IN_MACRO'!$N$23=2,'IN_FIN'!$L$18,0))))*'ENG_SCEN'!$G$16</f>
        <v/>
      </c>
      <c r="O19" s="33">
        <f>'IN_FIN'!$D$18*((1-'IN_FIN'!$E$18)*'ENG_SCEN'!$O$32+'IN_FIN'!$E$18*'ENG_SCEN'!$O$36)*(IF('IN_MACRO'!$O$23=0,'IN_FIN'!$J$18,IF('IN_MACRO'!$O$23=1,'IN_FIN'!$K$18,IF('IN_MACRO'!$O$23=2,'IN_FIN'!$L$18,0))))*'ENG_SCEN'!$G$16</f>
        <v/>
      </c>
      <c r="P19" s="33">
        <f>'IN_FIN'!$D$18*((1-'IN_FIN'!$E$18)*'ENG_SCEN'!$P$32+'IN_FIN'!$E$18*'ENG_SCEN'!$P$36)*(IF('IN_MACRO'!$P$23=0,'IN_FIN'!$J$18,IF('IN_MACRO'!$P$23=1,'IN_FIN'!$K$18,IF('IN_MACRO'!$P$23=2,'IN_FIN'!$L$18,0))))*'ENG_SCEN'!$G$16</f>
        <v/>
      </c>
    </row>
    <row r="20">
      <c r="A20" s="15" t="inlineStr">
        <is>
          <t>سرمایه‌گذاری ذخیره احتیاطی فیزیکی</t>
        </is>
      </c>
      <c r="B20" s="16" t="inlineStr">
        <is>
          <t>CAPEX.cap.10</t>
        </is>
      </c>
      <c r="C20" s="17" t="inlineStr">
        <is>
          <t>میلیون ریال</t>
        </is>
      </c>
      <c r="D20" s="33">
        <f>'IN_FIN'!$D$19*((1-'IN_FIN'!$E$19)*'ENG_SCEN'!$D$32+'IN_FIN'!$E$19*'ENG_SCEN'!$D$36)*(IF('IN_MACRO'!$D$23=0,'IN_FIN'!$J$19,IF('IN_MACRO'!$D$23=1,'IN_FIN'!$K$19,IF('IN_MACRO'!$D$23=2,'IN_FIN'!$L$19,0))))*'ENG_SCEN'!$G$16</f>
        <v/>
      </c>
      <c r="E20" s="33">
        <f>'IN_FIN'!$D$19*((1-'IN_FIN'!$E$19)*'ENG_SCEN'!$E$32+'IN_FIN'!$E$19*'ENG_SCEN'!$E$36)*(IF('IN_MACRO'!$E$23=0,'IN_FIN'!$J$19,IF('IN_MACRO'!$E$23=1,'IN_FIN'!$K$19,IF('IN_MACRO'!$E$23=2,'IN_FIN'!$L$19,0))))*'ENG_SCEN'!$G$16</f>
        <v/>
      </c>
      <c r="F20" s="33">
        <f>'IN_FIN'!$D$19*((1-'IN_FIN'!$E$19)*'ENG_SCEN'!$F$32+'IN_FIN'!$E$19*'ENG_SCEN'!$F$36)*(IF('IN_MACRO'!$F$23=0,'IN_FIN'!$J$19,IF('IN_MACRO'!$F$23=1,'IN_FIN'!$K$19,IF('IN_MACRO'!$F$23=2,'IN_FIN'!$L$19,0))))*'ENG_SCEN'!$G$16</f>
        <v/>
      </c>
      <c r="G20" s="33">
        <f>'IN_FIN'!$D$19*((1-'IN_FIN'!$E$19)*'ENG_SCEN'!$G$32+'IN_FIN'!$E$19*'ENG_SCEN'!$G$36)*(IF('IN_MACRO'!$G$23=0,'IN_FIN'!$J$19,IF('IN_MACRO'!$G$23=1,'IN_FIN'!$K$19,IF('IN_MACRO'!$G$23=2,'IN_FIN'!$L$19,0))))*'ENG_SCEN'!$G$16</f>
        <v/>
      </c>
      <c r="H20" s="33">
        <f>'IN_FIN'!$D$19*((1-'IN_FIN'!$E$19)*'ENG_SCEN'!$H$32+'IN_FIN'!$E$19*'ENG_SCEN'!$H$36)*(IF('IN_MACRO'!$H$23=0,'IN_FIN'!$J$19,IF('IN_MACRO'!$H$23=1,'IN_FIN'!$K$19,IF('IN_MACRO'!$H$23=2,'IN_FIN'!$L$19,0))))*'ENG_SCEN'!$G$16</f>
        <v/>
      </c>
      <c r="I20" s="33">
        <f>'IN_FIN'!$D$19*((1-'IN_FIN'!$E$19)*'ENG_SCEN'!$I$32+'IN_FIN'!$E$19*'ENG_SCEN'!$I$36)*(IF('IN_MACRO'!$I$23=0,'IN_FIN'!$J$19,IF('IN_MACRO'!$I$23=1,'IN_FIN'!$K$19,IF('IN_MACRO'!$I$23=2,'IN_FIN'!$L$19,0))))*'ENG_SCEN'!$G$16</f>
        <v/>
      </c>
      <c r="J20" s="33">
        <f>'IN_FIN'!$D$19*((1-'IN_FIN'!$E$19)*'ENG_SCEN'!$J$32+'IN_FIN'!$E$19*'ENG_SCEN'!$J$36)*(IF('IN_MACRO'!$J$23=0,'IN_FIN'!$J$19,IF('IN_MACRO'!$J$23=1,'IN_FIN'!$K$19,IF('IN_MACRO'!$J$23=2,'IN_FIN'!$L$19,0))))*'ENG_SCEN'!$G$16</f>
        <v/>
      </c>
      <c r="K20" s="33">
        <f>'IN_FIN'!$D$19*((1-'IN_FIN'!$E$19)*'ENG_SCEN'!$K$32+'IN_FIN'!$E$19*'ENG_SCEN'!$K$36)*(IF('IN_MACRO'!$K$23=0,'IN_FIN'!$J$19,IF('IN_MACRO'!$K$23=1,'IN_FIN'!$K$19,IF('IN_MACRO'!$K$23=2,'IN_FIN'!$L$19,0))))*'ENG_SCEN'!$G$16</f>
        <v/>
      </c>
      <c r="L20" s="33">
        <f>'IN_FIN'!$D$19*((1-'IN_FIN'!$E$19)*'ENG_SCEN'!$L$32+'IN_FIN'!$E$19*'ENG_SCEN'!$L$36)*(IF('IN_MACRO'!$L$23=0,'IN_FIN'!$J$19,IF('IN_MACRO'!$L$23=1,'IN_FIN'!$K$19,IF('IN_MACRO'!$L$23=2,'IN_FIN'!$L$19,0))))*'ENG_SCEN'!$G$16</f>
        <v/>
      </c>
      <c r="M20" s="33">
        <f>'IN_FIN'!$D$19*((1-'IN_FIN'!$E$19)*'ENG_SCEN'!$M$32+'IN_FIN'!$E$19*'ENG_SCEN'!$M$36)*(IF('IN_MACRO'!$M$23=0,'IN_FIN'!$J$19,IF('IN_MACRO'!$M$23=1,'IN_FIN'!$K$19,IF('IN_MACRO'!$M$23=2,'IN_FIN'!$L$19,0))))*'ENG_SCEN'!$G$16</f>
        <v/>
      </c>
      <c r="N20" s="33">
        <f>'IN_FIN'!$D$19*((1-'IN_FIN'!$E$19)*'ENG_SCEN'!$N$32+'IN_FIN'!$E$19*'ENG_SCEN'!$N$36)*(IF('IN_MACRO'!$N$23=0,'IN_FIN'!$J$19,IF('IN_MACRO'!$N$23=1,'IN_FIN'!$K$19,IF('IN_MACRO'!$N$23=2,'IN_FIN'!$L$19,0))))*'ENG_SCEN'!$G$16</f>
        <v/>
      </c>
      <c r="O20" s="33">
        <f>'IN_FIN'!$D$19*((1-'IN_FIN'!$E$19)*'ENG_SCEN'!$O$32+'IN_FIN'!$E$19*'ENG_SCEN'!$O$36)*(IF('IN_MACRO'!$O$23=0,'IN_FIN'!$J$19,IF('IN_MACRO'!$O$23=1,'IN_FIN'!$K$19,IF('IN_MACRO'!$O$23=2,'IN_FIN'!$L$19,0))))*'ENG_SCEN'!$G$16</f>
        <v/>
      </c>
      <c r="P20" s="33">
        <f>'IN_FIN'!$D$19*((1-'IN_FIN'!$E$19)*'ENG_SCEN'!$P$32+'IN_FIN'!$E$19*'ENG_SCEN'!$P$36)*(IF('IN_MACRO'!$P$23=0,'IN_FIN'!$J$19,IF('IN_MACRO'!$P$23=1,'IN_FIN'!$K$19,IF('IN_MACRO'!$P$23=2,'IN_FIN'!$L$19,0))))*'ENG_SCEN'!$G$16</f>
        <v/>
      </c>
    </row>
    <row r="21">
      <c r="A21" s="8" t="inlineStr">
        <is>
          <t>جمع سرمایه‌گذاری ثابت</t>
        </is>
      </c>
      <c r="B21" s="16" t="inlineStr">
        <is>
          <t>CAPEX.cap_total</t>
        </is>
      </c>
      <c r="C21" s="17" t="inlineStr">
        <is>
          <t>میلیون ریال</t>
        </is>
      </c>
      <c r="D21" s="33">
        <f>'ENG_CAPEX'!$D$10+'ENG_CAPEX'!$D$11+'ENG_CAPEX'!$D$12+'ENG_CAPEX'!$D$13+'ENG_CAPEX'!$D$14+'ENG_CAPEX'!$D$15+'ENG_CAPEX'!$D$16+'ENG_CAPEX'!$D$17+'ENG_CAPEX'!$D$18+'ENG_CAPEX'!$D$19+'ENG_CAPEX'!$D$20</f>
        <v/>
      </c>
      <c r="E21" s="33">
        <f>'ENG_CAPEX'!$E$10+'ENG_CAPEX'!$E$11+'ENG_CAPEX'!$E$12+'ENG_CAPEX'!$E$13+'ENG_CAPEX'!$E$14+'ENG_CAPEX'!$E$15+'ENG_CAPEX'!$E$16+'ENG_CAPEX'!$E$17+'ENG_CAPEX'!$E$18+'ENG_CAPEX'!$E$19+'ENG_CAPEX'!$E$20</f>
        <v/>
      </c>
      <c r="F21" s="33">
        <f>'ENG_CAPEX'!$F$10+'ENG_CAPEX'!$F$11+'ENG_CAPEX'!$F$12+'ENG_CAPEX'!$F$13+'ENG_CAPEX'!$F$14+'ENG_CAPEX'!$F$15+'ENG_CAPEX'!$F$16+'ENG_CAPEX'!$F$17+'ENG_CAPEX'!$F$18+'ENG_CAPEX'!$F$19+'ENG_CAPEX'!$F$20</f>
        <v/>
      </c>
      <c r="G21" s="33">
        <f>'ENG_CAPEX'!$G$10+'ENG_CAPEX'!$G$11+'ENG_CAPEX'!$G$12+'ENG_CAPEX'!$G$13+'ENG_CAPEX'!$G$14+'ENG_CAPEX'!$G$15+'ENG_CAPEX'!$G$16+'ENG_CAPEX'!$G$17+'ENG_CAPEX'!$G$18+'ENG_CAPEX'!$G$19+'ENG_CAPEX'!$G$20</f>
        <v/>
      </c>
      <c r="H21" s="33">
        <f>'ENG_CAPEX'!$H$10+'ENG_CAPEX'!$H$11+'ENG_CAPEX'!$H$12+'ENG_CAPEX'!$H$13+'ENG_CAPEX'!$H$14+'ENG_CAPEX'!$H$15+'ENG_CAPEX'!$H$16+'ENG_CAPEX'!$H$17+'ENG_CAPEX'!$H$18+'ENG_CAPEX'!$H$19+'ENG_CAPEX'!$H$20</f>
        <v/>
      </c>
      <c r="I21" s="33">
        <f>'ENG_CAPEX'!$I$10+'ENG_CAPEX'!$I$11+'ENG_CAPEX'!$I$12+'ENG_CAPEX'!$I$13+'ENG_CAPEX'!$I$14+'ENG_CAPEX'!$I$15+'ENG_CAPEX'!$I$16+'ENG_CAPEX'!$I$17+'ENG_CAPEX'!$I$18+'ENG_CAPEX'!$I$19+'ENG_CAPEX'!$I$20</f>
        <v/>
      </c>
      <c r="J21" s="33">
        <f>'ENG_CAPEX'!$J$10+'ENG_CAPEX'!$J$11+'ENG_CAPEX'!$J$12+'ENG_CAPEX'!$J$13+'ENG_CAPEX'!$J$14+'ENG_CAPEX'!$J$15+'ENG_CAPEX'!$J$16+'ENG_CAPEX'!$J$17+'ENG_CAPEX'!$J$18+'ENG_CAPEX'!$J$19+'ENG_CAPEX'!$J$20</f>
        <v/>
      </c>
      <c r="K21" s="33">
        <f>'ENG_CAPEX'!$K$10+'ENG_CAPEX'!$K$11+'ENG_CAPEX'!$K$12+'ENG_CAPEX'!$K$13+'ENG_CAPEX'!$K$14+'ENG_CAPEX'!$K$15+'ENG_CAPEX'!$K$16+'ENG_CAPEX'!$K$17+'ENG_CAPEX'!$K$18+'ENG_CAPEX'!$K$19+'ENG_CAPEX'!$K$20</f>
        <v/>
      </c>
      <c r="L21" s="33">
        <f>'ENG_CAPEX'!$L$10+'ENG_CAPEX'!$L$11+'ENG_CAPEX'!$L$12+'ENG_CAPEX'!$L$13+'ENG_CAPEX'!$L$14+'ENG_CAPEX'!$L$15+'ENG_CAPEX'!$L$16+'ENG_CAPEX'!$L$17+'ENG_CAPEX'!$L$18+'ENG_CAPEX'!$L$19+'ENG_CAPEX'!$L$20</f>
        <v/>
      </c>
      <c r="M21" s="33">
        <f>'ENG_CAPEX'!$M$10+'ENG_CAPEX'!$M$11+'ENG_CAPEX'!$M$12+'ENG_CAPEX'!$M$13+'ENG_CAPEX'!$M$14+'ENG_CAPEX'!$M$15+'ENG_CAPEX'!$M$16+'ENG_CAPEX'!$M$17+'ENG_CAPEX'!$M$18+'ENG_CAPEX'!$M$19+'ENG_CAPEX'!$M$20</f>
        <v/>
      </c>
      <c r="N21" s="33">
        <f>'ENG_CAPEX'!$N$10+'ENG_CAPEX'!$N$11+'ENG_CAPEX'!$N$12+'ENG_CAPEX'!$N$13+'ENG_CAPEX'!$N$14+'ENG_CAPEX'!$N$15+'ENG_CAPEX'!$N$16+'ENG_CAPEX'!$N$17+'ENG_CAPEX'!$N$18+'ENG_CAPEX'!$N$19+'ENG_CAPEX'!$N$20</f>
        <v/>
      </c>
      <c r="O21" s="33">
        <f>'ENG_CAPEX'!$O$10+'ENG_CAPEX'!$O$11+'ENG_CAPEX'!$O$12+'ENG_CAPEX'!$O$13+'ENG_CAPEX'!$O$14+'ENG_CAPEX'!$O$15+'ENG_CAPEX'!$O$16+'ENG_CAPEX'!$O$17+'ENG_CAPEX'!$O$18+'ENG_CAPEX'!$O$19+'ENG_CAPEX'!$O$20</f>
        <v/>
      </c>
      <c r="P21" s="33">
        <f>'ENG_CAPEX'!$P$10+'ENG_CAPEX'!$P$11+'ENG_CAPEX'!$P$12+'ENG_CAPEX'!$P$13+'ENG_CAPEX'!$P$14+'ENG_CAPEX'!$P$15+'ENG_CAPEX'!$P$16+'ENG_CAPEX'!$P$17+'ENG_CAPEX'!$P$18+'ENG_CAPEX'!$P$19+'ENG_CAPEX'!$P$20</f>
        <v/>
      </c>
    </row>
    <row r="22">
      <c r="A22" s="15" t="inlineStr">
        <is>
          <t>مانده تجمعی تزریق سرمایه‌گذاری</t>
        </is>
      </c>
      <c r="B22" s="16" t="inlineStr">
        <is>
          <t>CAPEX.cap_cum</t>
        </is>
      </c>
      <c r="C22" s="17" t="inlineStr">
        <is>
          <t>میلیون ریال</t>
        </is>
      </c>
      <c r="D22" s="33">
        <f>'ENG_CAPEX'!$D$21</f>
        <v/>
      </c>
      <c r="E22" s="33">
        <f>'ENG_CAPEX'!$D$22+'ENG_CAPEX'!$E$21</f>
        <v/>
      </c>
      <c r="F22" s="33">
        <f>'ENG_CAPEX'!$E$22+'ENG_CAPEX'!$F$21</f>
        <v/>
      </c>
      <c r="G22" s="33">
        <f>'ENG_CAPEX'!$F$22+'ENG_CAPEX'!$G$21</f>
        <v/>
      </c>
      <c r="H22" s="33">
        <f>'ENG_CAPEX'!$G$22+'ENG_CAPEX'!$H$21</f>
        <v/>
      </c>
      <c r="I22" s="33">
        <f>'ENG_CAPEX'!$H$22+'ENG_CAPEX'!$I$21</f>
        <v/>
      </c>
      <c r="J22" s="33">
        <f>'ENG_CAPEX'!$I$22+'ENG_CAPEX'!$J$21</f>
        <v/>
      </c>
      <c r="K22" s="33">
        <f>'ENG_CAPEX'!$J$22+'ENG_CAPEX'!$K$21</f>
        <v/>
      </c>
      <c r="L22" s="33">
        <f>'ENG_CAPEX'!$K$22+'ENG_CAPEX'!$L$21</f>
        <v/>
      </c>
      <c r="M22" s="33">
        <f>'ENG_CAPEX'!$L$22+'ENG_CAPEX'!$M$21</f>
        <v/>
      </c>
      <c r="N22" s="33">
        <f>'ENG_CAPEX'!$M$22+'ENG_CAPEX'!$N$21</f>
        <v/>
      </c>
      <c r="O22" s="33">
        <f>'ENG_CAPEX'!$N$22+'ENG_CAPEX'!$O$21</f>
        <v/>
      </c>
      <c r="P22" s="33">
        <f>'ENG_CAPEX'!$O$22+'ENG_CAPEX'!$P$21</f>
        <v/>
      </c>
    </row>
    <row r="23">
      <c r="A23" s="15" t="inlineStr">
        <is>
          <t>سهم ارزیِ وزنیِ CAPEX</t>
        </is>
      </c>
      <c r="B23" s="16" t="inlineStr">
        <is>
          <t>CAPEX.fxsh</t>
        </is>
      </c>
      <c r="C23" s="17" t="inlineStr">
        <is>
          <t>درصد</t>
        </is>
      </c>
      <c r="D23" s="32">
        <f>IFERROR((('IN_FIN'!$D$9*'IN_FIN'!$E$9)+('IN_FIN'!$D$10*'IN_FIN'!$E$10)+('IN_FIN'!$D$11*'IN_FIN'!$E$11)+('IN_FIN'!$D$12*'IN_FIN'!$E$12)+('IN_FIN'!$D$13*'IN_FIN'!$E$13)+('IN_FIN'!$D$14*'IN_FIN'!$E$14)+('IN_FIN'!$D$15*'IN_FIN'!$E$15)+('IN_FIN'!$D$16*'IN_FIN'!$E$16)+('IN_FIN'!$D$17*'IN_FIN'!$E$17)+('IN_FIN'!$D$18*'IN_FIN'!$E$18)+('IN_FIN'!$D$19*'IN_FIN'!$E$19))/('IN_FIN'!$D$9+'IN_FIN'!$D$10+'IN_FIN'!$D$11+'IN_FIN'!$D$12+'IN_FIN'!$D$13+'IN_FIN'!$D$14+'IN_FIN'!$D$15+'IN_FIN'!$D$16+'IN_FIN'!$D$17+'IN_FIN'!$D$18+'IN_FIN'!$D$19),0)</f>
        <v/>
      </c>
      <c r="E23" s="32">
        <f>IFERROR((('IN_FIN'!$D$9*'IN_FIN'!$E$9)+('IN_FIN'!$D$10*'IN_FIN'!$E$10)+('IN_FIN'!$D$11*'IN_FIN'!$E$11)+('IN_FIN'!$D$12*'IN_FIN'!$E$12)+('IN_FIN'!$D$13*'IN_FIN'!$E$13)+('IN_FIN'!$D$14*'IN_FIN'!$E$14)+('IN_FIN'!$D$15*'IN_FIN'!$E$15)+('IN_FIN'!$D$16*'IN_FIN'!$E$16)+('IN_FIN'!$D$17*'IN_FIN'!$E$17)+('IN_FIN'!$D$18*'IN_FIN'!$E$18)+('IN_FIN'!$D$19*'IN_FIN'!$E$19))/('IN_FIN'!$D$9+'IN_FIN'!$D$10+'IN_FIN'!$D$11+'IN_FIN'!$D$12+'IN_FIN'!$D$13+'IN_FIN'!$D$14+'IN_FIN'!$D$15+'IN_FIN'!$D$16+'IN_FIN'!$D$17+'IN_FIN'!$D$18+'IN_FIN'!$D$19),0)</f>
        <v/>
      </c>
      <c r="F23" s="32">
        <f>IFERROR((('IN_FIN'!$D$9*'IN_FIN'!$E$9)+('IN_FIN'!$D$10*'IN_FIN'!$E$10)+('IN_FIN'!$D$11*'IN_FIN'!$E$11)+('IN_FIN'!$D$12*'IN_FIN'!$E$12)+('IN_FIN'!$D$13*'IN_FIN'!$E$13)+('IN_FIN'!$D$14*'IN_FIN'!$E$14)+('IN_FIN'!$D$15*'IN_FIN'!$E$15)+('IN_FIN'!$D$16*'IN_FIN'!$E$16)+('IN_FIN'!$D$17*'IN_FIN'!$E$17)+('IN_FIN'!$D$18*'IN_FIN'!$E$18)+('IN_FIN'!$D$19*'IN_FIN'!$E$19))/('IN_FIN'!$D$9+'IN_FIN'!$D$10+'IN_FIN'!$D$11+'IN_FIN'!$D$12+'IN_FIN'!$D$13+'IN_FIN'!$D$14+'IN_FIN'!$D$15+'IN_FIN'!$D$16+'IN_FIN'!$D$17+'IN_FIN'!$D$18+'IN_FIN'!$D$19),0)</f>
        <v/>
      </c>
      <c r="G23" s="32">
        <f>IFERROR((('IN_FIN'!$D$9*'IN_FIN'!$E$9)+('IN_FIN'!$D$10*'IN_FIN'!$E$10)+('IN_FIN'!$D$11*'IN_FIN'!$E$11)+('IN_FIN'!$D$12*'IN_FIN'!$E$12)+('IN_FIN'!$D$13*'IN_FIN'!$E$13)+('IN_FIN'!$D$14*'IN_FIN'!$E$14)+('IN_FIN'!$D$15*'IN_FIN'!$E$15)+('IN_FIN'!$D$16*'IN_FIN'!$E$16)+('IN_FIN'!$D$17*'IN_FIN'!$E$17)+('IN_FIN'!$D$18*'IN_FIN'!$E$18)+('IN_FIN'!$D$19*'IN_FIN'!$E$19))/('IN_FIN'!$D$9+'IN_FIN'!$D$10+'IN_FIN'!$D$11+'IN_FIN'!$D$12+'IN_FIN'!$D$13+'IN_FIN'!$D$14+'IN_FIN'!$D$15+'IN_FIN'!$D$16+'IN_FIN'!$D$17+'IN_FIN'!$D$18+'IN_FIN'!$D$19),0)</f>
        <v/>
      </c>
      <c r="H23" s="32">
        <f>IFERROR((('IN_FIN'!$D$9*'IN_FIN'!$E$9)+('IN_FIN'!$D$10*'IN_FIN'!$E$10)+('IN_FIN'!$D$11*'IN_FIN'!$E$11)+('IN_FIN'!$D$12*'IN_FIN'!$E$12)+('IN_FIN'!$D$13*'IN_FIN'!$E$13)+('IN_FIN'!$D$14*'IN_FIN'!$E$14)+('IN_FIN'!$D$15*'IN_FIN'!$E$15)+('IN_FIN'!$D$16*'IN_FIN'!$E$16)+('IN_FIN'!$D$17*'IN_FIN'!$E$17)+('IN_FIN'!$D$18*'IN_FIN'!$E$18)+('IN_FIN'!$D$19*'IN_FIN'!$E$19))/('IN_FIN'!$D$9+'IN_FIN'!$D$10+'IN_FIN'!$D$11+'IN_FIN'!$D$12+'IN_FIN'!$D$13+'IN_FIN'!$D$14+'IN_FIN'!$D$15+'IN_FIN'!$D$16+'IN_FIN'!$D$17+'IN_FIN'!$D$18+'IN_FIN'!$D$19),0)</f>
        <v/>
      </c>
      <c r="I23" s="32">
        <f>IFERROR((('IN_FIN'!$D$9*'IN_FIN'!$E$9)+('IN_FIN'!$D$10*'IN_FIN'!$E$10)+('IN_FIN'!$D$11*'IN_FIN'!$E$11)+('IN_FIN'!$D$12*'IN_FIN'!$E$12)+('IN_FIN'!$D$13*'IN_FIN'!$E$13)+('IN_FIN'!$D$14*'IN_FIN'!$E$14)+('IN_FIN'!$D$15*'IN_FIN'!$E$15)+('IN_FIN'!$D$16*'IN_FIN'!$E$16)+('IN_FIN'!$D$17*'IN_FIN'!$E$17)+('IN_FIN'!$D$18*'IN_FIN'!$E$18)+('IN_FIN'!$D$19*'IN_FIN'!$E$19))/('IN_FIN'!$D$9+'IN_FIN'!$D$10+'IN_FIN'!$D$11+'IN_FIN'!$D$12+'IN_FIN'!$D$13+'IN_FIN'!$D$14+'IN_FIN'!$D$15+'IN_FIN'!$D$16+'IN_FIN'!$D$17+'IN_FIN'!$D$18+'IN_FIN'!$D$19),0)</f>
        <v/>
      </c>
      <c r="J23" s="32">
        <f>IFERROR((('IN_FIN'!$D$9*'IN_FIN'!$E$9)+('IN_FIN'!$D$10*'IN_FIN'!$E$10)+('IN_FIN'!$D$11*'IN_FIN'!$E$11)+('IN_FIN'!$D$12*'IN_FIN'!$E$12)+('IN_FIN'!$D$13*'IN_FIN'!$E$13)+('IN_FIN'!$D$14*'IN_FIN'!$E$14)+('IN_FIN'!$D$15*'IN_FIN'!$E$15)+('IN_FIN'!$D$16*'IN_FIN'!$E$16)+('IN_FIN'!$D$17*'IN_FIN'!$E$17)+('IN_FIN'!$D$18*'IN_FIN'!$E$18)+('IN_FIN'!$D$19*'IN_FIN'!$E$19))/('IN_FIN'!$D$9+'IN_FIN'!$D$10+'IN_FIN'!$D$11+'IN_FIN'!$D$12+'IN_FIN'!$D$13+'IN_FIN'!$D$14+'IN_FIN'!$D$15+'IN_FIN'!$D$16+'IN_FIN'!$D$17+'IN_FIN'!$D$18+'IN_FIN'!$D$19),0)</f>
        <v/>
      </c>
      <c r="K23" s="32">
        <f>IFERROR((('IN_FIN'!$D$9*'IN_FIN'!$E$9)+('IN_FIN'!$D$10*'IN_FIN'!$E$10)+('IN_FIN'!$D$11*'IN_FIN'!$E$11)+('IN_FIN'!$D$12*'IN_FIN'!$E$12)+('IN_FIN'!$D$13*'IN_FIN'!$E$13)+('IN_FIN'!$D$14*'IN_FIN'!$E$14)+('IN_FIN'!$D$15*'IN_FIN'!$E$15)+('IN_FIN'!$D$16*'IN_FIN'!$E$16)+('IN_FIN'!$D$17*'IN_FIN'!$E$17)+('IN_FIN'!$D$18*'IN_FIN'!$E$18)+('IN_FIN'!$D$19*'IN_FIN'!$E$19))/('IN_FIN'!$D$9+'IN_FIN'!$D$10+'IN_FIN'!$D$11+'IN_FIN'!$D$12+'IN_FIN'!$D$13+'IN_FIN'!$D$14+'IN_FIN'!$D$15+'IN_FIN'!$D$16+'IN_FIN'!$D$17+'IN_FIN'!$D$18+'IN_FIN'!$D$19),0)</f>
        <v/>
      </c>
      <c r="L23" s="32">
        <f>IFERROR((('IN_FIN'!$D$9*'IN_FIN'!$E$9)+('IN_FIN'!$D$10*'IN_FIN'!$E$10)+('IN_FIN'!$D$11*'IN_FIN'!$E$11)+('IN_FIN'!$D$12*'IN_FIN'!$E$12)+('IN_FIN'!$D$13*'IN_FIN'!$E$13)+('IN_FIN'!$D$14*'IN_FIN'!$E$14)+('IN_FIN'!$D$15*'IN_FIN'!$E$15)+('IN_FIN'!$D$16*'IN_FIN'!$E$16)+('IN_FIN'!$D$17*'IN_FIN'!$E$17)+('IN_FIN'!$D$18*'IN_FIN'!$E$18)+('IN_FIN'!$D$19*'IN_FIN'!$E$19))/('IN_FIN'!$D$9+'IN_FIN'!$D$10+'IN_FIN'!$D$11+'IN_FIN'!$D$12+'IN_FIN'!$D$13+'IN_FIN'!$D$14+'IN_FIN'!$D$15+'IN_FIN'!$D$16+'IN_FIN'!$D$17+'IN_FIN'!$D$18+'IN_FIN'!$D$19),0)</f>
        <v/>
      </c>
      <c r="M23" s="32">
        <f>IFERROR((('IN_FIN'!$D$9*'IN_FIN'!$E$9)+('IN_FIN'!$D$10*'IN_FIN'!$E$10)+('IN_FIN'!$D$11*'IN_FIN'!$E$11)+('IN_FIN'!$D$12*'IN_FIN'!$E$12)+('IN_FIN'!$D$13*'IN_FIN'!$E$13)+('IN_FIN'!$D$14*'IN_FIN'!$E$14)+('IN_FIN'!$D$15*'IN_FIN'!$E$15)+('IN_FIN'!$D$16*'IN_FIN'!$E$16)+('IN_FIN'!$D$17*'IN_FIN'!$E$17)+('IN_FIN'!$D$18*'IN_FIN'!$E$18)+('IN_FIN'!$D$19*'IN_FIN'!$E$19))/('IN_FIN'!$D$9+'IN_FIN'!$D$10+'IN_FIN'!$D$11+'IN_FIN'!$D$12+'IN_FIN'!$D$13+'IN_FIN'!$D$14+'IN_FIN'!$D$15+'IN_FIN'!$D$16+'IN_FIN'!$D$17+'IN_FIN'!$D$18+'IN_FIN'!$D$19),0)</f>
        <v/>
      </c>
      <c r="N23" s="32">
        <f>IFERROR((('IN_FIN'!$D$9*'IN_FIN'!$E$9)+('IN_FIN'!$D$10*'IN_FIN'!$E$10)+('IN_FIN'!$D$11*'IN_FIN'!$E$11)+('IN_FIN'!$D$12*'IN_FIN'!$E$12)+('IN_FIN'!$D$13*'IN_FIN'!$E$13)+('IN_FIN'!$D$14*'IN_FIN'!$E$14)+('IN_FIN'!$D$15*'IN_FIN'!$E$15)+('IN_FIN'!$D$16*'IN_FIN'!$E$16)+('IN_FIN'!$D$17*'IN_FIN'!$E$17)+('IN_FIN'!$D$18*'IN_FIN'!$E$18)+('IN_FIN'!$D$19*'IN_FIN'!$E$19))/('IN_FIN'!$D$9+'IN_FIN'!$D$10+'IN_FIN'!$D$11+'IN_FIN'!$D$12+'IN_FIN'!$D$13+'IN_FIN'!$D$14+'IN_FIN'!$D$15+'IN_FIN'!$D$16+'IN_FIN'!$D$17+'IN_FIN'!$D$18+'IN_FIN'!$D$19),0)</f>
        <v/>
      </c>
      <c r="O23" s="32">
        <f>IFERROR((('IN_FIN'!$D$9*'IN_FIN'!$E$9)+('IN_FIN'!$D$10*'IN_FIN'!$E$10)+('IN_FIN'!$D$11*'IN_FIN'!$E$11)+('IN_FIN'!$D$12*'IN_FIN'!$E$12)+('IN_FIN'!$D$13*'IN_FIN'!$E$13)+('IN_FIN'!$D$14*'IN_FIN'!$E$14)+('IN_FIN'!$D$15*'IN_FIN'!$E$15)+('IN_FIN'!$D$16*'IN_FIN'!$E$16)+('IN_FIN'!$D$17*'IN_FIN'!$E$17)+('IN_FIN'!$D$18*'IN_FIN'!$E$18)+('IN_FIN'!$D$19*'IN_FIN'!$E$19))/('IN_FIN'!$D$9+'IN_FIN'!$D$10+'IN_FIN'!$D$11+'IN_FIN'!$D$12+'IN_FIN'!$D$13+'IN_FIN'!$D$14+'IN_FIN'!$D$15+'IN_FIN'!$D$16+'IN_FIN'!$D$17+'IN_FIN'!$D$18+'IN_FIN'!$D$19),0)</f>
        <v/>
      </c>
      <c r="P23" s="32">
        <f>IFERROR((('IN_FIN'!$D$9*'IN_FIN'!$E$9)+('IN_FIN'!$D$10*'IN_FIN'!$E$10)+('IN_FIN'!$D$11*'IN_FIN'!$E$11)+('IN_FIN'!$D$12*'IN_FIN'!$E$12)+('IN_FIN'!$D$13*'IN_FIN'!$E$13)+('IN_FIN'!$D$14*'IN_FIN'!$E$14)+('IN_FIN'!$D$15*'IN_FIN'!$E$15)+('IN_FIN'!$D$16*'IN_FIN'!$E$16)+('IN_FIN'!$D$17*'IN_FIN'!$E$17)+('IN_FIN'!$D$18*'IN_FIN'!$E$18)+('IN_FIN'!$D$19*'IN_FIN'!$E$19))/('IN_FIN'!$D$9+'IN_FIN'!$D$10+'IN_FIN'!$D$11+'IN_FIN'!$D$12+'IN_FIN'!$D$13+'IN_FIN'!$D$14+'IN_FIN'!$D$15+'IN_FIN'!$D$16+'IN_FIN'!$D$17+'IN_FIN'!$D$18+'IN_FIN'!$D$19),0)</f>
        <v/>
      </c>
    </row>
    <row r="24"/>
    <row r="25">
      <c r="A25" s="4" t="inlineStr">
        <is>
          <t>ب) سود سرمایه‌گذاری حین ساخت (IDC)</t>
        </is>
      </c>
      <c r="B25" s="5" t="n"/>
      <c r="C25" s="5" t="n"/>
      <c r="D25" s="5" t="n"/>
      <c r="E25" s="5" t="n"/>
      <c r="F25" s="5" t="n"/>
      <c r="G25" s="5" t="n"/>
      <c r="H25" s="5" t="n"/>
      <c r="I25" s="5" t="n"/>
      <c r="J25" s="5" t="n"/>
      <c r="K25" s="5" t="n"/>
      <c r="L25" s="5" t="n"/>
      <c r="M25" s="5" t="n"/>
      <c r="N25" s="5" t="n"/>
      <c r="O25" s="5" t="n"/>
      <c r="P25" s="5" t="n"/>
      <c r="Q25" s="5" t="n"/>
    </row>
    <row r="26">
      <c r="A26" s="15" t="inlineStr">
        <is>
          <t>مانده تسهیلات در ابتدای دوره (دوره ساخت)</t>
        </is>
      </c>
      <c r="B26" s="16" t="inlineStr">
        <is>
          <t>CAPEX.debt_open</t>
        </is>
      </c>
      <c r="C26" s="17" t="inlineStr">
        <is>
          <t>میلیون ریال</t>
        </is>
      </c>
      <c r="D26" s="33">
        <f>'IN_FIN'!$D$24*(0)</f>
        <v/>
      </c>
      <c r="E26" s="33">
        <f>'IN_FIN'!$D$24*('ENG_CAPEX'!$D$22+'ENG_CAPEX'!$D$28)</f>
        <v/>
      </c>
      <c r="F26" s="33">
        <f>'IN_FIN'!$D$24*('ENG_CAPEX'!$E$22+'ENG_CAPEX'!$E$28)</f>
        <v/>
      </c>
      <c r="G26" s="33">
        <f>'IN_FIN'!$D$24*('ENG_CAPEX'!$F$22+'ENG_CAPEX'!$F$28)</f>
        <v/>
      </c>
      <c r="H26" s="33">
        <f>'IN_FIN'!$D$24*('ENG_CAPEX'!$G$22+'ENG_CAPEX'!$G$28)</f>
        <v/>
      </c>
      <c r="I26" s="33">
        <f>'IN_FIN'!$D$24*('ENG_CAPEX'!$H$22+'ENG_CAPEX'!$H$28)</f>
        <v/>
      </c>
      <c r="J26" s="33">
        <f>'IN_FIN'!$D$24*('ENG_CAPEX'!$I$22+'ENG_CAPEX'!$I$28)</f>
        <v/>
      </c>
      <c r="K26" s="33">
        <f>'IN_FIN'!$D$24*('ENG_CAPEX'!$J$22+'ENG_CAPEX'!$J$28)</f>
        <v/>
      </c>
      <c r="L26" s="33">
        <f>'IN_FIN'!$D$24*('ENG_CAPEX'!$K$22+'ENG_CAPEX'!$K$28)</f>
        <v/>
      </c>
      <c r="M26" s="33">
        <f>'IN_FIN'!$D$24*('ENG_CAPEX'!$L$22+'ENG_CAPEX'!$L$28)</f>
        <v/>
      </c>
      <c r="N26" s="33">
        <f>'IN_FIN'!$D$24*('ENG_CAPEX'!$M$22+'ENG_CAPEX'!$M$28)</f>
        <v/>
      </c>
      <c r="O26" s="33">
        <f>'IN_FIN'!$D$24*('ENG_CAPEX'!$N$22+'ENG_CAPEX'!$N$28)</f>
        <v/>
      </c>
      <c r="P26" s="33">
        <f>'IN_FIN'!$D$24*('ENG_CAPEX'!$O$22+'ENG_CAPEX'!$O$28)</f>
        <v/>
      </c>
    </row>
    <row r="27">
      <c r="A27" s="15" t="inlineStr">
        <is>
          <t>IDC (سرمایه‌ای‌شده)</t>
        </is>
      </c>
      <c r="B27" s="16" t="inlineStr">
        <is>
          <t>CAPEX.idc</t>
        </is>
      </c>
      <c r="C27" s="17" t="inlineStr">
        <is>
          <t>میلیون ریال</t>
        </is>
      </c>
      <c r="D27" s="33">
        <f>IF('IN_MACRO'!$D$33=1,'IN_FIN'!$D$25*('ENG_CAPEX'!$D$26+'IN_FIN'!$D$24*'ENG_CAPEX'!$D$21/2),0)</f>
        <v/>
      </c>
      <c r="E27" s="33">
        <f>IF('IN_MACRO'!$E$33=1,'IN_FIN'!$D$25*('ENG_CAPEX'!$E$26+'IN_FIN'!$D$24*'ENG_CAPEX'!$E$21/2),0)</f>
        <v/>
      </c>
      <c r="F27" s="33">
        <f>IF('IN_MACRO'!$F$33=1,'IN_FIN'!$D$25*('ENG_CAPEX'!$F$26+'IN_FIN'!$D$24*'ENG_CAPEX'!$F$21/2),0)</f>
        <v/>
      </c>
      <c r="G27" s="33">
        <f>IF('IN_MACRO'!$G$33=1,'IN_FIN'!$D$25*('ENG_CAPEX'!$G$26+'IN_FIN'!$D$24*'ENG_CAPEX'!$G$21/2),0)</f>
        <v/>
      </c>
      <c r="H27" s="33">
        <f>IF('IN_MACRO'!$H$33=1,'IN_FIN'!$D$25*('ENG_CAPEX'!$H$26+'IN_FIN'!$D$24*'ENG_CAPEX'!$H$21/2),0)</f>
        <v/>
      </c>
      <c r="I27" s="33">
        <f>IF('IN_MACRO'!$I$33=1,'IN_FIN'!$D$25*('ENG_CAPEX'!$I$26+'IN_FIN'!$D$24*'ENG_CAPEX'!$I$21/2),0)</f>
        <v/>
      </c>
      <c r="J27" s="33">
        <f>IF('IN_MACRO'!$J$33=1,'IN_FIN'!$D$25*('ENG_CAPEX'!$J$26+'IN_FIN'!$D$24*'ENG_CAPEX'!$J$21/2),0)</f>
        <v/>
      </c>
      <c r="K27" s="33">
        <f>IF('IN_MACRO'!$K$33=1,'IN_FIN'!$D$25*('ENG_CAPEX'!$K$26+'IN_FIN'!$D$24*'ENG_CAPEX'!$K$21/2),0)</f>
        <v/>
      </c>
      <c r="L27" s="33">
        <f>IF('IN_MACRO'!$L$33=1,'IN_FIN'!$D$25*('ENG_CAPEX'!$L$26+'IN_FIN'!$D$24*'ENG_CAPEX'!$L$21/2),0)</f>
        <v/>
      </c>
      <c r="M27" s="33">
        <f>IF('IN_MACRO'!$M$33=1,'IN_FIN'!$D$25*('ENG_CAPEX'!$M$26+'IN_FIN'!$D$24*'ENG_CAPEX'!$M$21/2),0)</f>
        <v/>
      </c>
      <c r="N27" s="33">
        <f>IF('IN_MACRO'!$N$33=1,'IN_FIN'!$D$25*('ENG_CAPEX'!$N$26+'IN_FIN'!$D$24*'ENG_CAPEX'!$N$21/2),0)</f>
        <v/>
      </c>
      <c r="O27" s="33">
        <f>IF('IN_MACRO'!$O$33=1,'IN_FIN'!$D$25*('ENG_CAPEX'!$O$26+'IN_FIN'!$D$24*'ENG_CAPEX'!$O$21/2),0)</f>
        <v/>
      </c>
      <c r="P27" s="33">
        <f>IF('IN_MACRO'!$P$33=1,'IN_FIN'!$D$25*('ENG_CAPEX'!$P$26+'IN_FIN'!$D$24*'ENG_CAPEX'!$P$21/2),0)</f>
        <v/>
      </c>
    </row>
    <row r="28">
      <c r="A28" s="15" t="inlineStr">
        <is>
          <t>مانده تجمعی IDC</t>
        </is>
      </c>
      <c r="B28" s="16" t="inlineStr">
        <is>
          <t>CAPEX.idc_cum</t>
        </is>
      </c>
      <c r="C28" s="17" t="inlineStr">
        <is>
          <t>میلیون ریال</t>
        </is>
      </c>
      <c r="D28" s="33">
        <f>'ENG_CAPEX'!$D$27</f>
        <v/>
      </c>
      <c r="E28" s="33">
        <f>'ENG_CAPEX'!$D$28+'ENG_CAPEX'!$E$27</f>
        <v/>
      </c>
      <c r="F28" s="33">
        <f>'ENG_CAPEX'!$E$28+'ENG_CAPEX'!$F$27</f>
        <v/>
      </c>
      <c r="G28" s="33">
        <f>'ENG_CAPEX'!$F$28+'ENG_CAPEX'!$G$27</f>
        <v/>
      </c>
      <c r="H28" s="33">
        <f>'ENG_CAPEX'!$G$28+'ENG_CAPEX'!$H$27</f>
        <v/>
      </c>
      <c r="I28" s="33">
        <f>'ENG_CAPEX'!$H$28+'ENG_CAPEX'!$I$27</f>
        <v/>
      </c>
      <c r="J28" s="33">
        <f>'ENG_CAPEX'!$I$28+'ENG_CAPEX'!$J$27</f>
        <v/>
      </c>
      <c r="K28" s="33">
        <f>'ENG_CAPEX'!$J$28+'ENG_CAPEX'!$K$27</f>
        <v/>
      </c>
      <c r="L28" s="33">
        <f>'ENG_CAPEX'!$K$28+'ENG_CAPEX'!$L$27</f>
        <v/>
      </c>
      <c r="M28" s="33">
        <f>'ENG_CAPEX'!$L$28+'ENG_CAPEX'!$M$27</f>
        <v/>
      </c>
      <c r="N28" s="33">
        <f>'ENG_CAPEX'!$M$28+'ENG_CAPEX'!$N$27</f>
        <v/>
      </c>
      <c r="O28" s="33">
        <f>'ENG_CAPEX'!$N$28+'ENG_CAPEX'!$O$27</f>
        <v/>
      </c>
      <c r="P28" s="33">
        <f>'ENG_CAPEX'!$O$28+'ENG_CAPEX'!$P$27</f>
        <v/>
      </c>
    </row>
    <row r="29"/>
    <row r="30">
      <c r="A30" s="4" t="inlineStr">
        <is>
          <t>ج) جایگزینی دارایی‌ها</t>
        </is>
      </c>
      <c r="B30" s="5" t="n"/>
      <c r="C30" s="5" t="n"/>
      <c r="D30" s="5" t="n"/>
      <c r="E30" s="5" t="n"/>
      <c r="F30" s="5" t="n"/>
      <c r="G30" s="5" t="n"/>
      <c r="H30" s="5" t="n"/>
      <c r="I30" s="5" t="n"/>
      <c r="J30" s="5" t="n"/>
      <c r="K30" s="5" t="n"/>
      <c r="L30" s="5" t="n"/>
      <c r="M30" s="5" t="n"/>
      <c r="N30" s="5" t="n"/>
      <c r="O30" s="5" t="n"/>
      <c r="P30" s="5" t="n"/>
      <c r="Q30" s="5" t="n"/>
    </row>
    <row r="31">
      <c r="A31" s="15" t="inlineStr">
        <is>
          <t>جایگزینی زمین</t>
        </is>
      </c>
      <c r="B31" s="16" t="inlineStr">
        <is>
          <t>CAPEX.repl.0</t>
        </is>
      </c>
      <c r="C31" s="17" t="inlineStr">
        <is>
          <t>میلیون ریال</t>
        </is>
      </c>
      <c r="D31" s="33">
        <f>IF(OR('IN_FIN'!$F$9&lt;=0,'IN_FIN'!$G$9&lt;=0,'IN_MACRO'!$D$23=0),0,IF(AND(MOD('IN_MACRO'!$D$23,'IN_FIN'!$G$9)=0,'IN_MACRO'!$D$23&lt;='IN_MACRO'!$D$11),'IN_FIN'!$D$9*'IN_FIN'!$H$9*((1-'IN_FIN'!$E$9)*'ENG_SCEN'!$D$32+'IN_FIN'!$E$9*'ENG_SCEN'!$D$36)*'ENG_SCEN'!$G$16,0))</f>
        <v/>
      </c>
      <c r="E31" s="33">
        <f>IF(OR('IN_FIN'!$F$9&lt;=0,'IN_FIN'!$G$9&lt;=0,'IN_MACRO'!$E$23=0),0,IF(AND(MOD('IN_MACRO'!$E$23,'IN_FIN'!$G$9)=0,'IN_MACRO'!$E$23&lt;='IN_MACRO'!$D$11),'IN_FIN'!$D$9*'IN_FIN'!$H$9*((1-'IN_FIN'!$E$9)*'ENG_SCEN'!$E$32+'IN_FIN'!$E$9*'ENG_SCEN'!$E$36)*'ENG_SCEN'!$G$16,0))</f>
        <v/>
      </c>
      <c r="F31" s="33">
        <f>IF(OR('IN_FIN'!$F$9&lt;=0,'IN_FIN'!$G$9&lt;=0,'IN_MACRO'!$F$23=0),0,IF(AND(MOD('IN_MACRO'!$F$23,'IN_FIN'!$G$9)=0,'IN_MACRO'!$F$23&lt;='IN_MACRO'!$D$11),'IN_FIN'!$D$9*'IN_FIN'!$H$9*((1-'IN_FIN'!$E$9)*'ENG_SCEN'!$F$32+'IN_FIN'!$E$9*'ENG_SCEN'!$F$36)*'ENG_SCEN'!$G$16,0))</f>
        <v/>
      </c>
      <c r="G31" s="33">
        <f>IF(OR('IN_FIN'!$F$9&lt;=0,'IN_FIN'!$G$9&lt;=0,'IN_MACRO'!$G$23=0),0,IF(AND(MOD('IN_MACRO'!$G$23,'IN_FIN'!$G$9)=0,'IN_MACRO'!$G$23&lt;='IN_MACRO'!$D$11),'IN_FIN'!$D$9*'IN_FIN'!$H$9*((1-'IN_FIN'!$E$9)*'ENG_SCEN'!$G$32+'IN_FIN'!$E$9*'ENG_SCEN'!$G$36)*'ENG_SCEN'!$G$16,0))</f>
        <v/>
      </c>
      <c r="H31" s="33">
        <f>IF(OR('IN_FIN'!$F$9&lt;=0,'IN_FIN'!$G$9&lt;=0,'IN_MACRO'!$H$23=0),0,IF(AND(MOD('IN_MACRO'!$H$23,'IN_FIN'!$G$9)=0,'IN_MACRO'!$H$23&lt;='IN_MACRO'!$D$11),'IN_FIN'!$D$9*'IN_FIN'!$H$9*((1-'IN_FIN'!$E$9)*'ENG_SCEN'!$H$32+'IN_FIN'!$E$9*'ENG_SCEN'!$H$36)*'ENG_SCEN'!$G$16,0))</f>
        <v/>
      </c>
      <c r="I31" s="33">
        <f>IF(OR('IN_FIN'!$F$9&lt;=0,'IN_FIN'!$G$9&lt;=0,'IN_MACRO'!$I$23=0),0,IF(AND(MOD('IN_MACRO'!$I$23,'IN_FIN'!$G$9)=0,'IN_MACRO'!$I$23&lt;='IN_MACRO'!$D$11),'IN_FIN'!$D$9*'IN_FIN'!$H$9*((1-'IN_FIN'!$E$9)*'ENG_SCEN'!$I$32+'IN_FIN'!$E$9*'ENG_SCEN'!$I$36)*'ENG_SCEN'!$G$16,0))</f>
        <v/>
      </c>
      <c r="J31" s="33">
        <f>IF(OR('IN_FIN'!$F$9&lt;=0,'IN_FIN'!$G$9&lt;=0,'IN_MACRO'!$J$23=0),0,IF(AND(MOD('IN_MACRO'!$J$23,'IN_FIN'!$G$9)=0,'IN_MACRO'!$J$23&lt;='IN_MACRO'!$D$11),'IN_FIN'!$D$9*'IN_FIN'!$H$9*((1-'IN_FIN'!$E$9)*'ENG_SCEN'!$J$32+'IN_FIN'!$E$9*'ENG_SCEN'!$J$36)*'ENG_SCEN'!$G$16,0))</f>
        <v/>
      </c>
      <c r="K31" s="33">
        <f>IF(OR('IN_FIN'!$F$9&lt;=0,'IN_FIN'!$G$9&lt;=0,'IN_MACRO'!$K$23=0),0,IF(AND(MOD('IN_MACRO'!$K$23,'IN_FIN'!$G$9)=0,'IN_MACRO'!$K$23&lt;='IN_MACRO'!$D$11),'IN_FIN'!$D$9*'IN_FIN'!$H$9*((1-'IN_FIN'!$E$9)*'ENG_SCEN'!$K$32+'IN_FIN'!$E$9*'ENG_SCEN'!$K$36)*'ENG_SCEN'!$G$16,0))</f>
        <v/>
      </c>
      <c r="L31" s="33">
        <f>IF(OR('IN_FIN'!$F$9&lt;=0,'IN_FIN'!$G$9&lt;=0,'IN_MACRO'!$L$23=0),0,IF(AND(MOD('IN_MACRO'!$L$23,'IN_FIN'!$G$9)=0,'IN_MACRO'!$L$23&lt;='IN_MACRO'!$D$11),'IN_FIN'!$D$9*'IN_FIN'!$H$9*((1-'IN_FIN'!$E$9)*'ENG_SCEN'!$L$32+'IN_FIN'!$E$9*'ENG_SCEN'!$L$36)*'ENG_SCEN'!$G$16,0))</f>
        <v/>
      </c>
      <c r="M31" s="33">
        <f>IF(OR('IN_FIN'!$F$9&lt;=0,'IN_FIN'!$G$9&lt;=0,'IN_MACRO'!$M$23=0),0,IF(AND(MOD('IN_MACRO'!$M$23,'IN_FIN'!$G$9)=0,'IN_MACRO'!$M$23&lt;='IN_MACRO'!$D$11),'IN_FIN'!$D$9*'IN_FIN'!$H$9*((1-'IN_FIN'!$E$9)*'ENG_SCEN'!$M$32+'IN_FIN'!$E$9*'ENG_SCEN'!$M$36)*'ENG_SCEN'!$G$16,0))</f>
        <v/>
      </c>
      <c r="N31" s="33">
        <f>IF(OR('IN_FIN'!$F$9&lt;=0,'IN_FIN'!$G$9&lt;=0,'IN_MACRO'!$N$23=0),0,IF(AND(MOD('IN_MACRO'!$N$23,'IN_FIN'!$G$9)=0,'IN_MACRO'!$N$23&lt;='IN_MACRO'!$D$11),'IN_FIN'!$D$9*'IN_FIN'!$H$9*((1-'IN_FIN'!$E$9)*'ENG_SCEN'!$N$32+'IN_FIN'!$E$9*'ENG_SCEN'!$N$36)*'ENG_SCEN'!$G$16,0))</f>
        <v/>
      </c>
      <c r="O31" s="33">
        <f>IF(OR('IN_FIN'!$F$9&lt;=0,'IN_FIN'!$G$9&lt;=0,'IN_MACRO'!$O$23=0),0,IF(AND(MOD('IN_MACRO'!$O$23,'IN_FIN'!$G$9)=0,'IN_MACRO'!$O$23&lt;='IN_MACRO'!$D$11),'IN_FIN'!$D$9*'IN_FIN'!$H$9*((1-'IN_FIN'!$E$9)*'ENG_SCEN'!$O$32+'IN_FIN'!$E$9*'ENG_SCEN'!$O$36)*'ENG_SCEN'!$G$16,0))</f>
        <v/>
      </c>
      <c r="P31" s="33">
        <f>IF(OR('IN_FIN'!$F$9&lt;=0,'IN_FIN'!$G$9&lt;=0,'IN_MACRO'!$P$23=0),0,IF(AND(MOD('IN_MACRO'!$P$23,'IN_FIN'!$G$9)=0,'IN_MACRO'!$P$23&lt;='IN_MACRO'!$D$11),'IN_FIN'!$D$9*'IN_FIN'!$H$9*((1-'IN_FIN'!$E$9)*'ENG_SCEN'!$P$32+'IN_FIN'!$E$9*'ENG_SCEN'!$P$36)*'ENG_SCEN'!$G$16,0))</f>
        <v/>
      </c>
    </row>
    <row r="32">
      <c r="A32" s="15" t="inlineStr">
        <is>
          <t>جایگزینی محوطه‌سازی و ساختمان</t>
        </is>
      </c>
      <c r="B32" s="16" t="inlineStr">
        <is>
          <t>CAPEX.repl.1</t>
        </is>
      </c>
      <c r="C32" s="17" t="inlineStr">
        <is>
          <t>میلیون ریال</t>
        </is>
      </c>
      <c r="D32" s="33">
        <f>IF(OR('IN_FIN'!$F$10&lt;=0,'IN_FIN'!$G$10&lt;=0,'IN_MACRO'!$D$23=0),0,IF(AND(MOD('IN_MACRO'!$D$23,'IN_FIN'!$G$10)=0,'IN_MACRO'!$D$23&lt;='IN_MACRO'!$D$11),'IN_FIN'!$D$10*'IN_FIN'!$H$10*((1-'IN_FIN'!$E$10)*'ENG_SCEN'!$D$32+'IN_FIN'!$E$10*'ENG_SCEN'!$D$36)*'ENG_SCEN'!$G$16,0))</f>
        <v/>
      </c>
      <c r="E32" s="33">
        <f>IF(OR('IN_FIN'!$F$10&lt;=0,'IN_FIN'!$G$10&lt;=0,'IN_MACRO'!$E$23=0),0,IF(AND(MOD('IN_MACRO'!$E$23,'IN_FIN'!$G$10)=0,'IN_MACRO'!$E$23&lt;='IN_MACRO'!$D$11),'IN_FIN'!$D$10*'IN_FIN'!$H$10*((1-'IN_FIN'!$E$10)*'ENG_SCEN'!$E$32+'IN_FIN'!$E$10*'ENG_SCEN'!$E$36)*'ENG_SCEN'!$G$16,0))</f>
        <v/>
      </c>
      <c r="F32" s="33">
        <f>IF(OR('IN_FIN'!$F$10&lt;=0,'IN_FIN'!$G$10&lt;=0,'IN_MACRO'!$F$23=0),0,IF(AND(MOD('IN_MACRO'!$F$23,'IN_FIN'!$G$10)=0,'IN_MACRO'!$F$23&lt;='IN_MACRO'!$D$11),'IN_FIN'!$D$10*'IN_FIN'!$H$10*((1-'IN_FIN'!$E$10)*'ENG_SCEN'!$F$32+'IN_FIN'!$E$10*'ENG_SCEN'!$F$36)*'ENG_SCEN'!$G$16,0))</f>
        <v/>
      </c>
      <c r="G32" s="33">
        <f>IF(OR('IN_FIN'!$F$10&lt;=0,'IN_FIN'!$G$10&lt;=0,'IN_MACRO'!$G$23=0),0,IF(AND(MOD('IN_MACRO'!$G$23,'IN_FIN'!$G$10)=0,'IN_MACRO'!$G$23&lt;='IN_MACRO'!$D$11),'IN_FIN'!$D$10*'IN_FIN'!$H$10*((1-'IN_FIN'!$E$10)*'ENG_SCEN'!$G$32+'IN_FIN'!$E$10*'ENG_SCEN'!$G$36)*'ENG_SCEN'!$G$16,0))</f>
        <v/>
      </c>
      <c r="H32" s="33">
        <f>IF(OR('IN_FIN'!$F$10&lt;=0,'IN_FIN'!$G$10&lt;=0,'IN_MACRO'!$H$23=0),0,IF(AND(MOD('IN_MACRO'!$H$23,'IN_FIN'!$G$10)=0,'IN_MACRO'!$H$23&lt;='IN_MACRO'!$D$11),'IN_FIN'!$D$10*'IN_FIN'!$H$10*((1-'IN_FIN'!$E$10)*'ENG_SCEN'!$H$32+'IN_FIN'!$E$10*'ENG_SCEN'!$H$36)*'ENG_SCEN'!$G$16,0))</f>
        <v/>
      </c>
      <c r="I32" s="33">
        <f>IF(OR('IN_FIN'!$F$10&lt;=0,'IN_FIN'!$G$10&lt;=0,'IN_MACRO'!$I$23=0),0,IF(AND(MOD('IN_MACRO'!$I$23,'IN_FIN'!$G$10)=0,'IN_MACRO'!$I$23&lt;='IN_MACRO'!$D$11),'IN_FIN'!$D$10*'IN_FIN'!$H$10*((1-'IN_FIN'!$E$10)*'ENG_SCEN'!$I$32+'IN_FIN'!$E$10*'ENG_SCEN'!$I$36)*'ENG_SCEN'!$G$16,0))</f>
        <v/>
      </c>
      <c r="J32" s="33">
        <f>IF(OR('IN_FIN'!$F$10&lt;=0,'IN_FIN'!$G$10&lt;=0,'IN_MACRO'!$J$23=0),0,IF(AND(MOD('IN_MACRO'!$J$23,'IN_FIN'!$G$10)=0,'IN_MACRO'!$J$23&lt;='IN_MACRO'!$D$11),'IN_FIN'!$D$10*'IN_FIN'!$H$10*((1-'IN_FIN'!$E$10)*'ENG_SCEN'!$J$32+'IN_FIN'!$E$10*'ENG_SCEN'!$J$36)*'ENG_SCEN'!$G$16,0))</f>
        <v/>
      </c>
      <c r="K32" s="33">
        <f>IF(OR('IN_FIN'!$F$10&lt;=0,'IN_FIN'!$G$10&lt;=0,'IN_MACRO'!$K$23=0),0,IF(AND(MOD('IN_MACRO'!$K$23,'IN_FIN'!$G$10)=0,'IN_MACRO'!$K$23&lt;='IN_MACRO'!$D$11),'IN_FIN'!$D$10*'IN_FIN'!$H$10*((1-'IN_FIN'!$E$10)*'ENG_SCEN'!$K$32+'IN_FIN'!$E$10*'ENG_SCEN'!$K$36)*'ENG_SCEN'!$G$16,0))</f>
        <v/>
      </c>
      <c r="L32" s="33">
        <f>IF(OR('IN_FIN'!$F$10&lt;=0,'IN_FIN'!$G$10&lt;=0,'IN_MACRO'!$L$23=0),0,IF(AND(MOD('IN_MACRO'!$L$23,'IN_FIN'!$G$10)=0,'IN_MACRO'!$L$23&lt;='IN_MACRO'!$D$11),'IN_FIN'!$D$10*'IN_FIN'!$H$10*((1-'IN_FIN'!$E$10)*'ENG_SCEN'!$L$32+'IN_FIN'!$E$10*'ENG_SCEN'!$L$36)*'ENG_SCEN'!$G$16,0))</f>
        <v/>
      </c>
      <c r="M32" s="33">
        <f>IF(OR('IN_FIN'!$F$10&lt;=0,'IN_FIN'!$G$10&lt;=0,'IN_MACRO'!$M$23=0),0,IF(AND(MOD('IN_MACRO'!$M$23,'IN_FIN'!$G$10)=0,'IN_MACRO'!$M$23&lt;='IN_MACRO'!$D$11),'IN_FIN'!$D$10*'IN_FIN'!$H$10*((1-'IN_FIN'!$E$10)*'ENG_SCEN'!$M$32+'IN_FIN'!$E$10*'ENG_SCEN'!$M$36)*'ENG_SCEN'!$G$16,0))</f>
        <v/>
      </c>
      <c r="N32" s="33">
        <f>IF(OR('IN_FIN'!$F$10&lt;=0,'IN_FIN'!$G$10&lt;=0,'IN_MACRO'!$N$23=0),0,IF(AND(MOD('IN_MACRO'!$N$23,'IN_FIN'!$G$10)=0,'IN_MACRO'!$N$23&lt;='IN_MACRO'!$D$11),'IN_FIN'!$D$10*'IN_FIN'!$H$10*((1-'IN_FIN'!$E$10)*'ENG_SCEN'!$N$32+'IN_FIN'!$E$10*'ENG_SCEN'!$N$36)*'ENG_SCEN'!$G$16,0))</f>
        <v/>
      </c>
      <c r="O32" s="33">
        <f>IF(OR('IN_FIN'!$F$10&lt;=0,'IN_FIN'!$G$10&lt;=0,'IN_MACRO'!$O$23=0),0,IF(AND(MOD('IN_MACRO'!$O$23,'IN_FIN'!$G$10)=0,'IN_MACRO'!$O$23&lt;='IN_MACRO'!$D$11),'IN_FIN'!$D$10*'IN_FIN'!$H$10*((1-'IN_FIN'!$E$10)*'ENG_SCEN'!$O$32+'IN_FIN'!$E$10*'ENG_SCEN'!$O$36)*'ENG_SCEN'!$G$16,0))</f>
        <v/>
      </c>
      <c r="P32" s="33">
        <f>IF(OR('IN_FIN'!$F$10&lt;=0,'IN_FIN'!$G$10&lt;=0,'IN_MACRO'!$P$23=0),0,IF(AND(MOD('IN_MACRO'!$P$23,'IN_FIN'!$G$10)=0,'IN_MACRO'!$P$23&lt;='IN_MACRO'!$D$11),'IN_FIN'!$D$10*'IN_FIN'!$H$10*((1-'IN_FIN'!$E$10)*'ENG_SCEN'!$P$32+'IN_FIN'!$E$10*'ENG_SCEN'!$P$36)*'ENG_SCEN'!$G$16,0))</f>
        <v/>
      </c>
    </row>
    <row r="33">
      <c r="A33" s="15" t="inlineStr">
        <is>
          <t>جایگزینی ماشین‌آلات وارداتی</t>
        </is>
      </c>
      <c r="B33" s="16" t="inlineStr">
        <is>
          <t>CAPEX.repl.2</t>
        </is>
      </c>
      <c r="C33" s="17" t="inlineStr">
        <is>
          <t>میلیون ریال</t>
        </is>
      </c>
      <c r="D33" s="33">
        <f>IF(OR('IN_FIN'!$F$11&lt;=0,'IN_FIN'!$G$11&lt;=0,'IN_MACRO'!$D$23=0),0,IF(AND(MOD('IN_MACRO'!$D$23,'IN_FIN'!$G$11)=0,'IN_MACRO'!$D$23&lt;='IN_MACRO'!$D$11),'IN_FIN'!$D$11*'IN_FIN'!$H$11*((1-'IN_FIN'!$E$11)*'ENG_SCEN'!$D$32+'IN_FIN'!$E$11*'ENG_SCEN'!$D$36)*'ENG_SCEN'!$G$16,0))</f>
        <v/>
      </c>
      <c r="E33" s="33">
        <f>IF(OR('IN_FIN'!$F$11&lt;=0,'IN_FIN'!$G$11&lt;=0,'IN_MACRO'!$E$23=0),0,IF(AND(MOD('IN_MACRO'!$E$23,'IN_FIN'!$G$11)=0,'IN_MACRO'!$E$23&lt;='IN_MACRO'!$D$11),'IN_FIN'!$D$11*'IN_FIN'!$H$11*((1-'IN_FIN'!$E$11)*'ENG_SCEN'!$E$32+'IN_FIN'!$E$11*'ENG_SCEN'!$E$36)*'ENG_SCEN'!$G$16,0))</f>
        <v/>
      </c>
      <c r="F33" s="33">
        <f>IF(OR('IN_FIN'!$F$11&lt;=0,'IN_FIN'!$G$11&lt;=0,'IN_MACRO'!$F$23=0),0,IF(AND(MOD('IN_MACRO'!$F$23,'IN_FIN'!$G$11)=0,'IN_MACRO'!$F$23&lt;='IN_MACRO'!$D$11),'IN_FIN'!$D$11*'IN_FIN'!$H$11*((1-'IN_FIN'!$E$11)*'ENG_SCEN'!$F$32+'IN_FIN'!$E$11*'ENG_SCEN'!$F$36)*'ENG_SCEN'!$G$16,0))</f>
        <v/>
      </c>
      <c r="G33" s="33">
        <f>IF(OR('IN_FIN'!$F$11&lt;=0,'IN_FIN'!$G$11&lt;=0,'IN_MACRO'!$G$23=0),0,IF(AND(MOD('IN_MACRO'!$G$23,'IN_FIN'!$G$11)=0,'IN_MACRO'!$G$23&lt;='IN_MACRO'!$D$11),'IN_FIN'!$D$11*'IN_FIN'!$H$11*((1-'IN_FIN'!$E$11)*'ENG_SCEN'!$G$32+'IN_FIN'!$E$11*'ENG_SCEN'!$G$36)*'ENG_SCEN'!$G$16,0))</f>
        <v/>
      </c>
      <c r="H33" s="33">
        <f>IF(OR('IN_FIN'!$F$11&lt;=0,'IN_FIN'!$G$11&lt;=0,'IN_MACRO'!$H$23=0),0,IF(AND(MOD('IN_MACRO'!$H$23,'IN_FIN'!$G$11)=0,'IN_MACRO'!$H$23&lt;='IN_MACRO'!$D$11),'IN_FIN'!$D$11*'IN_FIN'!$H$11*((1-'IN_FIN'!$E$11)*'ENG_SCEN'!$H$32+'IN_FIN'!$E$11*'ENG_SCEN'!$H$36)*'ENG_SCEN'!$G$16,0))</f>
        <v/>
      </c>
      <c r="I33" s="33">
        <f>IF(OR('IN_FIN'!$F$11&lt;=0,'IN_FIN'!$G$11&lt;=0,'IN_MACRO'!$I$23=0),0,IF(AND(MOD('IN_MACRO'!$I$23,'IN_FIN'!$G$11)=0,'IN_MACRO'!$I$23&lt;='IN_MACRO'!$D$11),'IN_FIN'!$D$11*'IN_FIN'!$H$11*((1-'IN_FIN'!$E$11)*'ENG_SCEN'!$I$32+'IN_FIN'!$E$11*'ENG_SCEN'!$I$36)*'ENG_SCEN'!$G$16,0))</f>
        <v/>
      </c>
      <c r="J33" s="33">
        <f>IF(OR('IN_FIN'!$F$11&lt;=0,'IN_FIN'!$G$11&lt;=0,'IN_MACRO'!$J$23=0),0,IF(AND(MOD('IN_MACRO'!$J$23,'IN_FIN'!$G$11)=0,'IN_MACRO'!$J$23&lt;='IN_MACRO'!$D$11),'IN_FIN'!$D$11*'IN_FIN'!$H$11*((1-'IN_FIN'!$E$11)*'ENG_SCEN'!$J$32+'IN_FIN'!$E$11*'ENG_SCEN'!$J$36)*'ENG_SCEN'!$G$16,0))</f>
        <v/>
      </c>
      <c r="K33" s="33">
        <f>IF(OR('IN_FIN'!$F$11&lt;=0,'IN_FIN'!$G$11&lt;=0,'IN_MACRO'!$K$23=0),0,IF(AND(MOD('IN_MACRO'!$K$23,'IN_FIN'!$G$11)=0,'IN_MACRO'!$K$23&lt;='IN_MACRO'!$D$11),'IN_FIN'!$D$11*'IN_FIN'!$H$11*((1-'IN_FIN'!$E$11)*'ENG_SCEN'!$K$32+'IN_FIN'!$E$11*'ENG_SCEN'!$K$36)*'ENG_SCEN'!$G$16,0))</f>
        <v/>
      </c>
      <c r="L33" s="33">
        <f>IF(OR('IN_FIN'!$F$11&lt;=0,'IN_FIN'!$G$11&lt;=0,'IN_MACRO'!$L$23=0),0,IF(AND(MOD('IN_MACRO'!$L$23,'IN_FIN'!$G$11)=0,'IN_MACRO'!$L$23&lt;='IN_MACRO'!$D$11),'IN_FIN'!$D$11*'IN_FIN'!$H$11*((1-'IN_FIN'!$E$11)*'ENG_SCEN'!$L$32+'IN_FIN'!$E$11*'ENG_SCEN'!$L$36)*'ENG_SCEN'!$G$16,0))</f>
        <v/>
      </c>
      <c r="M33" s="33">
        <f>IF(OR('IN_FIN'!$F$11&lt;=0,'IN_FIN'!$G$11&lt;=0,'IN_MACRO'!$M$23=0),0,IF(AND(MOD('IN_MACRO'!$M$23,'IN_FIN'!$G$11)=0,'IN_MACRO'!$M$23&lt;='IN_MACRO'!$D$11),'IN_FIN'!$D$11*'IN_FIN'!$H$11*((1-'IN_FIN'!$E$11)*'ENG_SCEN'!$M$32+'IN_FIN'!$E$11*'ENG_SCEN'!$M$36)*'ENG_SCEN'!$G$16,0))</f>
        <v/>
      </c>
      <c r="N33" s="33">
        <f>IF(OR('IN_FIN'!$F$11&lt;=0,'IN_FIN'!$G$11&lt;=0,'IN_MACRO'!$N$23=0),0,IF(AND(MOD('IN_MACRO'!$N$23,'IN_FIN'!$G$11)=0,'IN_MACRO'!$N$23&lt;='IN_MACRO'!$D$11),'IN_FIN'!$D$11*'IN_FIN'!$H$11*((1-'IN_FIN'!$E$11)*'ENG_SCEN'!$N$32+'IN_FIN'!$E$11*'ENG_SCEN'!$N$36)*'ENG_SCEN'!$G$16,0))</f>
        <v/>
      </c>
      <c r="O33" s="33">
        <f>IF(OR('IN_FIN'!$F$11&lt;=0,'IN_FIN'!$G$11&lt;=0,'IN_MACRO'!$O$23=0),0,IF(AND(MOD('IN_MACRO'!$O$23,'IN_FIN'!$G$11)=0,'IN_MACRO'!$O$23&lt;='IN_MACRO'!$D$11),'IN_FIN'!$D$11*'IN_FIN'!$H$11*((1-'IN_FIN'!$E$11)*'ENG_SCEN'!$O$32+'IN_FIN'!$E$11*'ENG_SCEN'!$O$36)*'ENG_SCEN'!$G$16,0))</f>
        <v/>
      </c>
      <c r="P33" s="33">
        <f>IF(OR('IN_FIN'!$F$11&lt;=0,'IN_FIN'!$G$11&lt;=0,'IN_MACRO'!$P$23=0),0,IF(AND(MOD('IN_MACRO'!$P$23,'IN_FIN'!$G$11)=0,'IN_MACRO'!$P$23&lt;='IN_MACRO'!$D$11),'IN_FIN'!$D$11*'IN_FIN'!$H$11*((1-'IN_FIN'!$E$11)*'ENG_SCEN'!$P$32+'IN_FIN'!$E$11*'ENG_SCEN'!$P$36)*'ENG_SCEN'!$G$16,0))</f>
        <v/>
      </c>
    </row>
    <row r="34">
      <c r="A34" s="15" t="inlineStr">
        <is>
          <t>جایگزینی ماشین‌آلات داخلی</t>
        </is>
      </c>
      <c r="B34" s="16" t="inlineStr">
        <is>
          <t>CAPEX.repl.3</t>
        </is>
      </c>
      <c r="C34" s="17" t="inlineStr">
        <is>
          <t>میلیون ریال</t>
        </is>
      </c>
      <c r="D34" s="33">
        <f>IF(OR('IN_FIN'!$F$12&lt;=0,'IN_FIN'!$G$12&lt;=0,'IN_MACRO'!$D$23=0),0,IF(AND(MOD('IN_MACRO'!$D$23,'IN_FIN'!$G$12)=0,'IN_MACRO'!$D$23&lt;='IN_MACRO'!$D$11),'IN_FIN'!$D$12*'IN_FIN'!$H$12*((1-'IN_FIN'!$E$12)*'ENG_SCEN'!$D$32+'IN_FIN'!$E$12*'ENG_SCEN'!$D$36)*'ENG_SCEN'!$G$16,0))</f>
        <v/>
      </c>
      <c r="E34" s="33">
        <f>IF(OR('IN_FIN'!$F$12&lt;=0,'IN_FIN'!$G$12&lt;=0,'IN_MACRO'!$E$23=0),0,IF(AND(MOD('IN_MACRO'!$E$23,'IN_FIN'!$G$12)=0,'IN_MACRO'!$E$23&lt;='IN_MACRO'!$D$11),'IN_FIN'!$D$12*'IN_FIN'!$H$12*((1-'IN_FIN'!$E$12)*'ENG_SCEN'!$E$32+'IN_FIN'!$E$12*'ENG_SCEN'!$E$36)*'ENG_SCEN'!$G$16,0))</f>
        <v/>
      </c>
      <c r="F34" s="33">
        <f>IF(OR('IN_FIN'!$F$12&lt;=0,'IN_FIN'!$G$12&lt;=0,'IN_MACRO'!$F$23=0),0,IF(AND(MOD('IN_MACRO'!$F$23,'IN_FIN'!$G$12)=0,'IN_MACRO'!$F$23&lt;='IN_MACRO'!$D$11),'IN_FIN'!$D$12*'IN_FIN'!$H$12*((1-'IN_FIN'!$E$12)*'ENG_SCEN'!$F$32+'IN_FIN'!$E$12*'ENG_SCEN'!$F$36)*'ENG_SCEN'!$G$16,0))</f>
        <v/>
      </c>
      <c r="G34" s="33">
        <f>IF(OR('IN_FIN'!$F$12&lt;=0,'IN_FIN'!$G$12&lt;=0,'IN_MACRO'!$G$23=0),0,IF(AND(MOD('IN_MACRO'!$G$23,'IN_FIN'!$G$12)=0,'IN_MACRO'!$G$23&lt;='IN_MACRO'!$D$11),'IN_FIN'!$D$12*'IN_FIN'!$H$12*((1-'IN_FIN'!$E$12)*'ENG_SCEN'!$G$32+'IN_FIN'!$E$12*'ENG_SCEN'!$G$36)*'ENG_SCEN'!$G$16,0))</f>
        <v/>
      </c>
      <c r="H34" s="33">
        <f>IF(OR('IN_FIN'!$F$12&lt;=0,'IN_FIN'!$G$12&lt;=0,'IN_MACRO'!$H$23=0),0,IF(AND(MOD('IN_MACRO'!$H$23,'IN_FIN'!$G$12)=0,'IN_MACRO'!$H$23&lt;='IN_MACRO'!$D$11),'IN_FIN'!$D$12*'IN_FIN'!$H$12*((1-'IN_FIN'!$E$12)*'ENG_SCEN'!$H$32+'IN_FIN'!$E$12*'ENG_SCEN'!$H$36)*'ENG_SCEN'!$G$16,0))</f>
        <v/>
      </c>
      <c r="I34" s="33">
        <f>IF(OR('IN_FIN'!$F$12&lt;=0,'IN_FIN'!$G$12&lt;=0,'IN_MACRO'!$I$23=0),0,IF(AND(MOD('IN_MACRO'!$I$23,'IN_FIN'!$G$12)=0,'IN_MACRO'!$I$23&lt;='IN_MACRO'!$D$11),'IN_FIN'!$D$12*'IN_FIN'!$H$12*((1-'IN_FIN'!$E$12)*'ENG_SCEN'!$I$32+'IN_FIN'!$E$12*'ENG_SCEN'!$I$36)*'ENG_SCEN'!$G$16,0))</f>
        <v/>
      </c>
      <c r="J34" s="33">
        <f>IF(OR('IN_FIN'!$F$12&lt;=0,'IN_FIN'!$G$12&lt;=0,'IN_MACRO'!$J$23=0),0,IF(AND(MOD('IN_MACRO'!$J$23,'IN_FIN'!$G$12)=0,'IN_MACRO'!$J$23&lt;='IN_MACRO'!$D$11),'IN_FIN'!$D$12*'IN_FIN'!$H$12*((1-'IN_FIN'!$E$12)*'ENG_SCEN'!$J$32+'IN_FIN'!$E$12*'ENG_SCEN'!$J$36)*'ENG_SCEN'!$G$16,0))</f>
        <v/>
      </c>
      <c r="K34" s="33">
        <f>IF(OR('IN_FIN'!$F$12&lt;=0,'IN_FIN'!$G$12&lt;=0,'IN_MACRO'!$K$23=0),0,IF(AND(MOD('IN_MACRO'!$K$23,'IN_FIN'!$G$12)=0,'IN_MACRO'!$K$23&lt;='IN_MACRO'!$D$11),'IN_FIN'!$D$12*'IN_FIN'!$H$12*((1-'IN_FIN'!$E$12)*'ENG_SCEN'!$K$32+'IN_FIN'!$E$12*'ENG_SCEN'!$K$36)*'ENG_SCEN'!$G$16,0))</f>
        <v/>
      </c>
      <c r="L34" s="33">
        <f>IF(OR('IN_FIN'!$F$12&lt;=0,'IN_FIN'!$G$12&lt;=0,'IN_MACRO'!$L$23=0),0,IF(AND(MOD('IN_MACRO'!$L$23,'IN_FIN'!$G$12)=0,'IN_MACRO'!$L$23&lt;='IN_MACRO'!$D$11),'IN_FIN'!$D$12*'IN_FIN'!$H$12*((1-'IN_FIN'!$E$12)*'ENG_SCEN'!$L$32+'IN_FIN'!$E$12*'ENG_SCEN'!$L$36)*'ENG_SCEN'!$G$16,0))</f>
        <v/>
      </c>
      <c r="M34" s="33">
        <f>IF(OR('IN_FIN'!$F$12&lt;=0,'IN_FIN'!$G$12&lt;=0,'IN_MACRO'!$M$23=0),0,IF(AND(MOD('IN_MACRO'!$M$23,'IN_FIN'!$G$12)=0,'IN_MACRO'!$M$23&lt;='IN_MACRO'!$D$11),'IN_FIN'!$D$12*'IN_FIN'!$H$12*((1-'IN_FIN'!$E$12)*'ENG_SCEN'!$M$32+'IN_FIN'!$E$12*'ENG_SCEN'!$M$36)*'ENG_SCEN'!$G$16,0))</f>
        <v/>
      </c>
      <c r="N34" s="33">
        <f>IF(OR('IN_FIN'!$F$12&lt;=0,'IN_FIN'!$G$12&lt;=0,'IN_MACRO'!$N$23=0),0,IF(AND(MOD('IN_MACRO'!$N$23,'IN_FIN'!$G$12)=0,'IN_MACRO'!$N$23&lt;='IN_MACRO'!$D$11),'IN_FIN'!$D$12*'IN_FIN'!$H$12*((1-'IN_FIN'!$E$12)*'ENG_SCEN'!$N$32+'IN_FIN'!$E$12*'ENG_SCEN'!$N$36)*'ENG_SCEN'!$G$16,0))</f>
        <v/>
      </c>
      <c r="O34" s="33">
        <f>IF(OR('IN_FIN'!$F$12&lt;=0,'IN_FIN'!$G$12&lt;=0,'IN_MACRO'!$O$23=0),0,IF(AND(MOD('IN_MACRO'!$O$23,'IN_FIN'!$G$12)=0,'IN_MACRO'!$O$23&lt;='IN_MACRO'!$D$11),'IN_FIN'!$D$12*'IN_FIN'!$H$12*((1-'IN_FIN'!$E$12)*'ENG_SCEN'!$O$32+'IN_FIN'!$E$12*'ENG_SCEN'!$O$36)*'ENG_SCEN'!$G$16,0))</f>
        <v/>
      </c>
      <c r="P34" s="33">
        <f>IF(OR('IN_FIN'!$F$12&lt;=0,'IN_FIN'!$G$12&lt;=0,'IN_MACRO'!$P$23=0),0,IF(AND(MOD('IN_MACRO'!$P$23,'IN_FIN'!$G$12)=0,'IN_MACRO'!$P$23&lt;='IN_MACRO'!$D$11),'IN_FIN'!$D$12*'IN_FIN'!$H$12*((1-'IN_FIN'!$E$12)*'ENG_SCEN'!$P$32+'IN_FIN'!$E$12*'ENG_SCEN'!$P$36)*'ENG_SCEN'!$G$16,0))</f>
        <v/>
      </c>
    </row>
    <row r="35">
      <c r="A35" s="15" t="inlineStr">
        <is>
          <t>جایگزینی تأسیسات و تجهیزات جانبی</t>
        </is>
      </c>
      <c r="B35" s="16" t="inlineStr">
        <is>
          <t>CAPEX.repl.4</t>
        </is>
      </c>
      <c r="C35" s="17" t="inlineStr">
        <is>
          <t>میلیون ریال</t>
        </is>
      </c>
      <c r="D35" s="33">
        <f>IF(OR('IN_FIN'!$F$13&lt;=0,'IN_FIN'!$G$13&lt;=0,'IN_MACRO'!$D$23=0),0,IF(AND(MOD('IN_MACRO'!$D$23,'IN_FIN'!$G$13)=0,'IN_MACRO'!$D$23&lt;='IN_MACRO'!$D$11),'IN_FIN'!$D$13*'IN_FIN'!$H$13*((1-'IN_FIN'!$E$13)*'ENG_SCEN'!$D$32+'IN_FIN'!$E$13*'ENG_SCEN'!$D$36)*'ENG_SCEN'!$G$16,0))</f>
        <v/>
      </c>
      <c r="E35" s="33">
        <f>IF(OR('IN_FIN'!$F$13&lt;=0,'IN_FIN'!$G$13&lt;=0,'IN_MACRO'!$E$23=0),0,IF(AND(MOD('IN_MACRO'!$E$23,'IN_FIN'!$G$13)=0,'IN_MACRO'!$E$23&lt;='IN_MACRO'!$D$11),'IN_FIN'!$D$13*'IN_FIN'!$H$13*((1-'IN_FIN'!$E$13)*'ENG_SCEN'!$E$32+'IN_FIN'!$E$13*'ENG_SCEN'!$E$36)*'ENG_SCEN'!$G$16,0))</f>
        <v/>
      </c>
      <c r="F35" s="33">
        <f>IF(OR('IN_FIN'!$F$13&lt;=0,'IN_FIN'!$G$13&lt;=0,'IN_MACRO'!$F$23=0),0,IF(AND(MOD('IN_MACRO'!$F$23,'IN_FIN'!$G$13)=0,'IN_MACRO'!$F$23&lt;='IN_MACRO'!$D$11),'IN_FIN'!$D$13*'IN_FIN'!$H$13*((1-'IN_FIN'!$E$13)*'ENG_SCEN'!$F$32+'IN_FIN'!$E$13*'ENG_SCEN'!$F$36)*'ENG_SCEN'!$G$16,0))</f>
        <v/>
      </c>
      <c r="G35" s="33">
        <f>IF(OR('IN_FIN'!$F$13&lt;=0,'IN_FIN'!$G$13&lt;=0,'IN_MACRO'!$G$23=0),0,IF(AND(MOD('IN_MACRO'!$G$23,'IN_FIN'!$G$13)=0,'IN_MACRO'!$G$23&lt;='IN_MACRO'!$D$11),'IN_FIN'!$D$13*'IN_FIN'!$H$13*((1-'IN_FIN'!$E$13)*'ENG_SCEN'!$G$32+'IN_FIN'!$E$13*'ENG_SCEN'!$G$36)*'ENG_SCEN'!$G$16,0))</f>
        <v/>
      </c>
      <c r="H35" s="33">
        <f>IF(OR('IN_FIN'!$F$13&lt;=0,'IN_FIN'!$G$13&lt;=0,'IN_MACRO'!$H$23=0),0,IF(AND(MOD('IN_MACRO'!$H$23,'IN_FIN'!$G$13)=0,'IN_MACRO'!$H$23&lt;='IN_MACRO'!$D$11),'IN_FIN'!$D$13*'IN_FIN'!$H$13*((1-'IN_FIN'!$E$13)*'ENG_SCEN'!$H$32+'IN_FIN'!$E$13*'ENG_SCEN'!$H$36)*'ENG_SCEN'!$G$16,0))</f>
        <v/>
      </c>
      <c r="I35" s="33">
        <f>IF(OR('IN_FIN'!$F$13&lt;=0,'IN_FIN'!$G$13&lt;=0,'IN_MACRO'!$I$23=0),0,IF(AND(MOD('IN_MACRO'!$I$23,'IN_FIN'!$G$13)=0,'IN_MACRO'!$I$23&lt;='IN_MACRO'!$D$11),'IN_FIN'!$D$13*'IN_FIN'!$H$13*((1-'IN_FIN'!$E$13)*'ENG_SCEN'!$I$32+'IN_FIN'!$E$13*'ENG_SCEN'!$I$36)*'ENG_SCEN'!$G$16,0))</f>
        <v/>
      </c>
      <c r="J35" s="33">
        <f>IF(OR('IN_FIN'!$F$13&lt;=0,'IN_FIN'!$G$13&lt;=0,'IN_MACRO'!$J$23=0),0,IF(AND(MOD('IN_MACRO'!$J$23,'IN_FIN'!$G$13)=0,'IN_MACRO'!$J$23&lt;='IN_MACRO'!$D$11),'IN_FIN'!$D$13*'IN_FIN'!$H$13*((1-'IN_FIN'!$E$13)*'ENG_SCEN'!$J$32+'IN_FIN'!$E$13*'ENG_SCEN'!$J$36)*'ENG_SCEN'!$G$16,0))</f>
        <v/>
      </c>
      <c r="K35" s="33">
        <f>IF(OR('IN_FIN'!$F$13&lt;=0,'IN_FIN'!$G$13&lt;=0,'IN_MACRO'!$K$23=0),0,IF(AND(MOD('IN_MACRO'!$K$23,'IN_FIN'!$G$13)=0,'IN_MACRO'!$K$23&lt;='IN_MACRO'!$D$11),'IN_FIN'!$D$13*'IN_FIN'!$H$13*((1-'IN_FIN'!$E$13)*'ENG_SCEN'!$K$32+'IN_FIN'!$E$13*'ENG_SCEN'!$K$36)*'ENG_SCEN'!$G$16,0))</f>
        <v/>
      </c>
      <c r="L35" s="33">
        <f>IF(OR('IN_FIN'!$F$13&lt;=0,'IN_FIN'!$G$13&lt;=0,'IN_MACRO'!$L$23=0),0,IF(AND(MOD('IN_MACRO'!$L$23,'IN_FIN'!$G$13)=0,'IN_MACRO'!$L$23&lt;='IN_MACRO'!$D$11),'IN_FIN'!$D$13*'IN_FIN'!$H$13*((1-'IN_FIN'!$E$13)*'ENG_SCEN'!$L$32+'IN_FIN'!$E$13*'ENG_SCEN'!$L$36)*'ENG_SCEN'!$G$16,0))</f>
        <v/>
      </c>
      <c r="M35" s="33">
        <f>IF(OR('IN_FIN'!$F$13&lt;=0,'IN_FIN'!$G$13&lt;=0,'IN_MACRO'!$M$23=0),0,IF(AND(MOD('IN_MACRO'!$M$23,'IN_FIN'!$G$13)=0,'IN_MACRO'!$M$23&lt;='IN_MACRO'!$D$11),'IN_FIN'!$D$13*'IN_FIN'!$H$13*((1-'IN_FIN'!$E$13)*'ENG_SCEN'!$M$32+'IN_FIN'!$E$13*'ENG_SCEN'!$M$36)*'ENG_SCEN'!$G$16,0))</f>
        <v/>
      </c>
      <c r="N35" s="33">
        <f>IF(OR('IN_FIN'!$F$13&lt;=0,'IN_FIN'!$G$13&lt;=0,'IN_MACRO'!$N$23=0),0,IF(AND(MOD('IN_MACRO'!$N$23,'IN_FIN'!$G$13)=0,'IN_MACRO'!$N$23&lt;='IN_MACRO'!$D$11),'IN_FIN'!$D$13*'IN_FIN'!$H$13*((1-'IN_FIN'!$E$13)*'ENG_SCEN'!$N$32+'IN_FIN'!$E$13*'ENG_SCEN'!$N$36)*'ENG_SCEN'!$G$16,0))</f>
        <v/>
      </c>
      <c r="O35" s="33">
        <f>IF(OR('IN_FIN'!$F$13&lt;=0,'IN_FIN'!$G$13&lt;=0,'IN_MACRO'!$O$23=0),0,IF(AND(MOD('IN_MACRO'!$O$23,'IN_FIN'!$G$13)=0,'IN_MACRO'!$O$23&lt;='IN_MACRO'!$D$11),'IN_FIN'!$D$13*'IN_FIN'!$H$13*((1-'IN_FIN'!$E$13)*'ENG_SCEN'!$O$32+'IN_FIN'!$E$13*'ENG_SCEN'!$O$36)*'ENG_SCEN'!$G$16,0))</f>
        <v/>
      </c>
      <c r="P35" s="33">
        <f>IF(OR('IN_FIN'!$F$13&lt;=0,'IN_FIN'!$G$13&lt;=0,'IN_MACRO'!$P$23=0),0,IF(AND(MOD('IN_MACRO'!$P$23,'IN_FIN'!$G$13)=0,'IN_MACRO'!$P$23&lt;='IN_MACRO'!$D$11),'IN_FIN'!$D$13*'IN_FIN'!$H$13*((1-'IN_FIN'!$E$13)*'ENG_SCEN'!$P$32+'IN_FIN'!$E$13*'ENG_SCEN'!$P$36)*'ENG_SCEN'!$G$16,0))</f>
        <v/>
      </c>
    </row>
    <row r="36">
      <c r="A36" s="15" t="inlineStr">
        <is>
          <t>جایگزینی تصفیه‌خانه و تجهیزات زیست‌محیطی</t>
        </is>
      </c>
      <c r="B36" s="16" t="inlineStr">
        <is>
          <t>CAPEX.repl.5</t>
        </is>
      </c>
      <c r="C36" s="17" t="inlineStr">
        <is>
          <t>میلیون ریال</t>
        </is>
      </c>
      <c r="D36" s="33">
        <f>IF(OR('IN_FIN'!$F$14&lt;=0,'IN_FIN'!$G$14&lt;=0,'IN_MACRO'!$D$23=0),0,IF(AND(MOD('IN_MACRO'!$D$23,'IN_FIN'!$G$14)=0,'IN_MACRO'!$D$23&lt;='IN_MACRO'!$D$11),'IN_FIN'!$D$14*'IN_FIN'!$H$14*((1-'IN_FIN'!$E$14)*'ENG_SCEN'!$D$32+'IN_FIN'!$E$14*'ENG_SCEN'!$D$36)*'ENG_SCEN'!$G$16,0))</f>
        <v/>
      </c>
      <c r="E36" s="33">
        <f>IF(OR('IN_FIN'!$F$14&lt;=0,'IN_FIN'!$G$14&lt;=0,'IN_MACRO'!$E$23=0),0,IF(AND(MOD('IN_MACRO'!$E$23,'IN_FIN'!$G$14)=0,'IN_MACRO'!$E$23&lt;='IN_MACRO'!$D$11),'IN_FIN'!$D$14*'IN_FIN'!$H$14*((1-'IN_FIN'!$E$14)*'ENG_SCEN'!$E$32+'IN_FIN'!$E$14*'ENG_SCEN'!$E$36)*'ENG_SCEN'!$G$16,0))</f>
        <v/>
      </c>
      <c r="F36" s="33">
        <f>IF(OR('IN_FIN'!$F$14&lt;=0,'IN_FIN'!$G$14&lt;=0,'IN_MACRO'!$F$23=0),0,IF(AND(MOD('IN_MACRO'!$F$23,'IN_FIN'!$G$14)=0,'IN_MACRO'!$F$23&lt;='IN_MACRO'!$D$11),'IN_FIN'!$D$14*'IN_FIN'!$H$14*((1-'IN_FIN'!$E$14)*'ENG_SCEN'!$F$32+'IN_FIN'!$E$14*'ENG_SCEN'!$F$36)*'ENG_SCEN'!$G$16,0))</f>
        <v/>
      </c>
      <c r="G36" s="33">
        <f>IF(OR('IN_FIN'!$F$14&lt;=0,'IN_FIN'!$G$14&lt;=0,'IN_MACRO'!$G$23=0),0,IF(AND(MOD('IN_MACRO'!$G$23,'IN_FIN'!$G$14)=0,'IN_MACRO'!$G$23&lt;='IN_MACRO'!$D$11),'IN_FIN'!$D$14*'IN_FIN'!$H$14*((1-'IN_FIN'!$E$14)*'ENG_SCEN'!$G$32+'IN_FIN'!$E$14*'ENG_SCEN'!$G$36)*'ENG_SCEN'!$G$16,0))</f>
        <v/>
      </c>
      <c r="H36" s="33">
        <f>IF(OR('IN_FIN'!$F$14&lt;=0,'IN_FIN'!$G$14&lt;=0,'IN_MACRO'!$H$23=0),0,IF(AND(MOD('IN_MACRO'!$H$23,'IN_FIN'!$G$14)=0,'IN_MACRO'!$H$23&lt;='IN_MACRO'!$D$11),'IN_FIN'!$D$14*'IN_FIN'!$H$14*((1-'IN_FIN'!$E$14)*'ENG_SCEN'!$H$32+'IN_FIN'!$E$14*'ENG_SCEN'!$H$36)*'ENG_SCEN'!$G$16,0))</f>
        <v/>
      </c>
      <c r="I36" s="33">
        <f>IF(OR('IN_FIN'!$F$14&lt;=0,'IN_FIN'!$G$14&lt;=0,'IN_MACRO'!$I$23=0),0,IF(AND(MOD('IN_MACRO'!$I$23,'IN_FIN'!$G$14)=0,'IN_MACRO'!$I$23&lt;='IN_MACRO'!$D$11),'IN_FIN'!$D$14*'IN_FIN'!$H$14*((1-'IN_FIN'!$E$14)*'ENG_SCEN'!$I$32+'IN_FIN'!$E$14*'ENG_SCEN'!$I$36)*'ENG_SCEN'!$G$16,0))</f>
        <v/>
      </c>
      <c r="J36" s="33">
        <f>IF(OR('IN_FIN'!$F$14&lt;=0,'IN_FIN'!$G$14&lt;=0,'IN_MACRO'!$J$23=0),0,IF(AND(MOD('IN_MACRO'!$J$23,'IN_FIN'!$G$14)=0,'IN_MACRO'!$J$23&lt;='IN_MACRO'!$D$11),'IN_FIN'!$D$14*'IN_FIN'!$H$14*((1-'IN_FIN'!$E$14)*'ENG_SCEN'!$J$32+'IN_FIN'!$E$14*'ENG_SCEN'!$J$36)*'ENG_SCEN'!$G$16,0))</f>
        <v/>
      </c>
      <c r="K36" s="33">
        <f>IF(OR('IN_FIN'!$F$14&lt;=0,'IN_FIN'!$G$14&lt;=0,'IN_MACRO'!$K$23=0),0,IF(AND(MOD('IN_MACRO'!$K$23,'IN_FIN'!$G$14)=0,'IN_MACRO'!$K$23&lt;='IN_MACRO'!$D$11),'IN_FIN'!$D$14*'IN_FIN'!$H$14*((1-'IN_FIN'!$E$14)*'ENG_SCEN'!$K$32+'IN_FIN'!$E$14*'ENG_SCEN'!$K$36)*'ENG_SCEN'!$G$16,0))</f>
        <v/>
      </c>
      <c r="L36" s="33">
        <f>IF(OR('IN_FIN'!$F$14&lt;=0,'IN_FIN'!$G$14&lt;=0,'IN_MACRO'!$L$23=0),0,IF(AND(MOD('IN_MACRO'!$L$23,'IN_FIN'!$G$14)=0,'IN_MACRO'!$L$23&lt;='IN_MACRO'!$D$11),'IN_FIN'!$D$14*'IN_FIN'!$H$14*((1-'IN_FIN'!$E$14)*'ENG_SCEN'!$L$32+'IN_FIN'!$E$14*'ENG_SCEN'!$L$36)*'ENG_SCEN'!$G$16,0))</f>
        <v/>
      </c>
      <c r="M36" s="33">
        <f>IF(OR('IN_FIN'!$F$14&lt;=0,'IN_FIN'!$G$14&lt;=0,'IN_MACRO'!$M$23=0),0,IF(AND(MOD('IN_MACRO'!$M$23,'IN_FIN'!$G$14)=0,'IN_MACRO'!$M$23&lt;='IN_MACRO'!$D$11),'IN_FIN'!$D$14*'IN_FIN'!$H$14*((1-'IN_FIN'!$E$14)*'ENG_SCEN'!$M$32+'IN_FIN'!$E$14*'ENG_SCEN'!$M$36)*'ENG_SCEN'!$G$16,0))</f>
        <v/>
      </c>
      <c r="N36" s="33">
        <f>IF(OR('IN_FIN'!$F$14&lt;=0,'IN_FIN'!$G$14&lt;=0,'IN_MACRO'!$N$23=0),0,IF(AND(MOD('IN_MACRO'!$N$23,'IN_FIN'!$G$14)=0,'IN_MACRO'!$N$23&lt;='IN_MACRO'!$D$11),'IN_FIN'!$D$14*'IN_FIN'!$H$14*((1-'IN_FIN'!$E$14)*'ENG_SCEN'!$N$32+'IN_FIN'!$E$14*'ENG_SCEN'!$N$36)*'ENG_SCEN'!$G$16,0))</f>
        <v/>
      </c>
      <c r="O36" s="33">
        <f>IF(OR('IN_FIN'!$F$14&lt;=0,'IN_FIN'!$G$14&lt;=0,'IN_MACRO'!$O$23=0),0,IF(AND(MOD('IN_MACRO'!$O$23,'IN_FIN'!$G$14)=0,'IN_MACRO'!$O$23&lt;='IN_MACRO'!$D$11),'IN_FIN'!$D$14*'IN_FIN'!$H$14*((1-'IN_FIN'!$E$14)*'ENG_SCEN'!$O$32+'IN_FIN'!$E$14*'ENG_SCEN'!$O$36)*'ENG_SCEN'!$G$16,0))</f>
        <v/>
      </c>
      <c r="P36" s="33">
        <f>IF(OR('IN_FIN'!$F$14&lt;=0,'IN_FIN'!$G$14&lt;=0,'IN_MACRO'!$P$23=0),0,IF(AND(MOD('IN_MACRO'!$P$23,'IN_FIN'!$G$14)=0,'IN_MACRO'!$P$23&lt;='IN_MACRO'!$D$11),'IN_FIN'!$D$14*'IN_FIN'!$H$14*((1-'IN_FIN'!$E$14)*'ENG_SCEN'!$P$32+'IN_FIN'!$E$14*'ENG_SCEN'!$P$36)*'ENG_SCEN'!$G$16,0))</f>
        <v/>
      </c>
    </row>
    <row r="37">
      <c r="A37" s="15" t="inlineStr">
        <is>
          <t>جایگزینی تجهیزات حمل‌ونقل داخلی</t>
        </is>
      </c>
      <c r="B37" s="16" t="inlineStr">
        <is>
          <t>CAPEX.repl.6</t>
        </is>
      </c>
      <c r="C37" s="17" t="inlineStr">
        <is>
          <t>میلیون ریال</t>
        </is>
      </c>
      <c r="D37" s="33">
        <f>IF(OR('IN_FIN'!$F$15&lt;=0,'IN_FIN'!$G$15&lt;=0,'IN_MACRO'!$D$23=0),0,IF(AND(MOD('IN_MACRO'!$D$23,'IN_FIN'!$G$15)=0,'IN_MACRO'!$D$23&lt;='IN_MACRO'!$D$11),'IN_FIN'!$D$15*'IN_FIN'!$H$15*((1-'IN_FIN'!$E$15)*'ENG_SCEN'!$D$32+'IN_FIN'!$E$15*'ENG_SCEN'!$D$36)*'ENG_SCEN'!$G$16,0))</f>
        <v/>
      </c>
      <c r="E37" s="33">
        <f>IF(OR('IN_FIN'!$F$15&lt;=0,'IN_FIN'!$G$15&lt;=0,'IN_MACRO'!$E$23=0),0,IF(AND(MOD('IN_MACRO'!$E$23,'IN_FIN'!$G$15)=0,'IN_MACRO'!$E$23&lt;='IN_MACRO'!$D$11),'IN_FIN'!$D$15*'IN_FIN'!$H$15*((1-'IN_FIN'!$E$15)*'ENG_SCEN'!$E$32+'IN_FIN'!$E$15*'ENG_SCEN'!$E$36)*'ENG_SCEN'!$G$16,0))</f>
        <v/>
      </c>
      <c r="F37" s="33">
        <f>IF(OR('IN_FIN'!$F$15&lt;=0,'IN_FIN'!$G$15&lt;=0,'IN_MACRO'!$F$23=0),0,IF(AND(MOD('IN_MACRO'!$F$23,'IN_FIN'!$G$15)=0,'IN_MACRO'!$F$23&lt;='IN_MACRO'!$D$11),'IN_FIN'!$D$15*'IN_FIN'!$H$15*((1-'IN_FIN'!$E$15)*'ENG_SCEN'!$F$32+'IN_FIN'!$E$15*'ENG_SCEN'!$F$36)*'ENG_SCEN'!$G$16,0))</f>
        <v/>
      </c>
      <c r="G37" s="33">
        <f>IF(OR('IN_FIN'!$F$15&lt;=0,'IN_FIN'!$G$15&lt;=0,'IN_MACRO'!$G$23=0),0,IF(AND(MOD('IN_MACRO'!$G$23,'IN_FIN'!$G$15)=0,'IN_MACRO'!$G$23&lt;='IN_MACRO'!$D$11),'IN_FIN'!$D$15*'IN_FIN'!$H$15*((1-'IN_FIN'!$E$15)*'ENG_SCEN'!$G$32+'IN_FIN'!$E$15*'ENG_SCEN'!$G$36)*'ENG_SCEN'!$G$16,0))</f>
        <v/>
      </c>
      <c r="H37" s="33">
        <f>IF(OR('IN_FIN'!$F$15&lt;=0,'IN_FIN'!$G$15&lt;=0,'IN_MACRO'!$H$23=0),0,IF(AND(MOD('IN_MACRO'!$H$23,'IN_FIN'!$G$15)=0,'IN_MACRO'!$H$23&lt;='IN_MACRO'!$D$11),'IN_FIN'!$D$15*'IN_FIN'!$H$15*((1-'IN_FIN'!$E$15)*'ENG_SCEN'!$H$32+'IN_FIN'!$E$15*'ENG_SCEN'!$H$36)*'ENG_SCEN'!$G$16,0))</f>
        <v/>
      </c>
      <c r="I37" s="33">
        <f>IF(OR('IN_FIN'!$F$15&lt;=0,'IN_FIN'!$G$15&lt;=0,'IN_MACRO'!$I$23=0),0,IF(AND(MOD('IN_MACRO'!$I$23,'IN_FIN'!$G$15)=0,'IN_MACRO'!$I$23&lt;='IN_MACRO'!$D$11),'IN_FIN'!$D$15*'IN_FIN'!$H$15*((1-'IN_FIN'!$E$15)*'ENG_SCEN'!$I$32+'IN_FIN'!$E$15*'ENG_SCEN'!$I$36)*'ENG_SCEN'!$G$16,0))</f>
        <v/>
      </c>
      <c r="J37" s="33">
        <f>IF(OR('IN_FIN'!$F$15&lt;=0,'IN_FIN'!$G$15&lt;=0,'IN_MACRO'!$J$23=0),0,IF(AND(MOD('IN_MACRO'!$J$23,'IN_FIN'!$G$15)=0,'IN_MACRO'!$J$23&lt;='IN_MACRO'!$D$11),'IN_FIN'!$D$15*'IN_FIN'!$H$15*((1-'IN_FIN'!$E$15)*'ENG_SCEN'!$J$32+'IN_FIN'!$E$15*'ENG_SCEN'!$J$36)*'ENG_SCEN'!$G$16,0))</f>
        <v/>
      </c>
      <c r="K37" s="33">
        <f>IF(OR('IN_FIN'!$F$15&lt;=0,'IN_FIN'!$G$15&lt;=0,'IN_MACRO'!$K$23=0),0,IF(AND(MOD('IN_MACRO'!$K$23,'IN_FIN'!$G$15)=0,'IN_MACRO'!$K$23&lt;='IN_MACRO'!$D$11),'IN_FIN'!$D$15*'IN_FIN'!$H$15*((1-'IN_FIN'!$E$15)*'ENG_SCEN'!$K$32+'IN_FIN'!$E$15*'ENG_SCEN'!$K$36)*'ENG_SCEN'!$G$16,0))</f>
        <v/>
      </c>
      <c r="L37" s="33">
        <f>IF(OR('IN_FIN'!$F$15&lt;=0,'IN_FIN'!$G$15&lt;=0,'IN_MACRO'!$L$23=0),0,IF(AND(MOD('IN_MACRO'!$L$23,'IN_FIN'!$G$15)=0,'IN_MACRO'!$L$23&lt;='IN_MACRO'!$D$11),'IN_FIN'!$D$15*'IN_FIN'!$H$15*((1-'IN_FIN'!$E$15)*'ENG_SCEN'!$L$32+'IN_FIN'!$E$15*'ENG_SCEN'!$L$36)*'ENG_SCEN'!$G$16,0))</f>
        <v/>
      </c>
      <c r="M37" s="33">
        <f>IF(OR('IN_FIN'!$F$15&lt;=0,'IN_FIN'!$G$15&lt;=0,'IN_MACRO'!$M$23=0),0,IF(AND(MOD('IN_MACRO'!$M$23,'IN_FIN'!$G$15)=0,'IN_MACRO'!$M$23&lt;='IN_MACRO'!$D$11),'IN_FIN'!$D$15*'IN_FIN'!$H$15*((1-'IN_FIN'!$E$15)*'ENG_SCEN'!$M$32+'IN_FIN'!$E$15*'ENG_SCEN'!$M$36)*'ENG_SCEN'!$G$16,0))</f>
        <v/>
      </c>
      <c r="N37" s="33">
        <f>IF(OR('IN_FIN'!$F$15&lt;=0,'IN_FIN'!$G$15&lt;=0,'IN_MACRO'!$N$23=0),0,IF(AND(MOD('IN_MACRO'!$N$23,'IN_FIN'!$G$15)=0,'IN_MACRO'!$N$23&lt;='IN_MACRO'!$D$11),'IN_FIN'!$D$15*'IN_FIN'!$H$15*((1-'IN_FIN'!$E$15)*'ENG_SCEN'!$N$32+'IN_FIN'!$E$15*'ENG_SCEN'!$N$36)*'ENG_SCEN'!$G$16,0))</f>
        <v/>
      </c>
      <c r="O37" s="33">
        <f>IF(OR('IN_FIN'!$F$15&lt;=0,'IN_FIN'!$G$15&lt;=0,'IN_MACRO'!$O$23=0),0,IF(AND(MOD('IN_MACRO'!$O$23,'IN_FIN'!$G$15)=0,'IN_MACRO'!$O$23&lt;='IN_MACRO'!$D$11),'IN_FIN'!$D$15*'IN_FIN'!$H$15*((1-'IN_FIN'!$E$15)*'ENG_SCEN'!$O$32+'IN_FIN'!$E$15*'ENG_SCEN'!$O$36)*'ENG_SCEN'!$G$16,0))</f>
        <v/>
      </c>
      <c r="P37" s="33">
        <f>IF(OR('IN_FIN'!$F$15&lt;=0,'IN_FIN'!$G$15&lt;=0,'IN_MACRO'!$P$23=0),0,IF(AND(MOD('IN_MACRO'!$P$23,'IN_FIN'!$G$15)=0,'IN_MACRO'!$P$23&lt;='IN_MACRO'!$D$11),'IN_FIN'!$D$15*'IN_FIN'!$H$15*((1-'IN_FIN'!$E$15)*'ENG_SCEN'!$P$32+'IN_FIN'!$E$15*'ENG_SCEN'!$P$36)*'ENG_SCEN'!$G$16,0))</f>
        <v/>
      </c>
    </row>
    <row r="38">
      <c r="A38" s="15" t="inlineStr">
        <is>
          <t>جایگزینی آزمایشگاه و ابزار دقیق</t>
        </is>
      </c>
      <c r="B38" s="16" t="inlineStr">
        <is>
          <t>CAPEX.repl.7</t>
        </is>
      </c>
      <c r="C38" s="17" t="inlineStr">
        <is>
          <t>میلیون ریال</t>
        </is>
      </c>
      <c r="D38" s="33">
        <f>IF(OR('IN_FIN'!$F$16&lt;=0,'IN_FIN'!$G$16&lt;=0,'IN_MACRO'!$D$23=0),0,IF(AND(MOD('IN_MACRO'!$D$23,'IN_FIN'!$G$16)=0,'IN_MACRO'!$D$23&lt;='IN_MACRO'!$D$11),'IN_FIN'!$D$16*'IN_FIN'!$H$16*((1-'IN_FIN'!$E$16)*'ENG_SCEN'!$D$32+'IN_FIN'!$E$16*'ENG_SCEN'!$D$36)*'ENG_SCEN'!$G$16,0))</f>
        <v/>
      </c>
      <c r="E38" s="33">
        <f>IF(OR('IN_FIN'!$F$16&lt;=0,'IN_FIN'!$G$16&lt;=0,'IN_MACRO'!$E$23=0),0,IF(AND(MOD('IN_MACRO'!$E$23,'IN_FIN'!$G$16)=0,'IN_MACRO'!$E$23&lt;='IN_MACRO'!$D$11),'IN_FIN'!$D$16*'IN_FIN'!$H$16*((1-'IN_FIN'!$E$16)*'ENG_SCEN'!$E$32+'IN_FIN'!$E$16*'ENG_SCEN'!$E$36)*'ENG_SCEN'!$G$16,0))</f>
        <v/>
      </c>
      <c r="F38" s="33">
        <f>IF(OR('IN_FIN'!$F$16&lt;=0,'IN_FIN'!$G$16&lt;=0,'IN_MACRO'!$F$23=0),0,IF(AND(MOD('IN_MACRO'!$F$23,'IN_FIN'!$G$16)=0,'IN_MACRO'!$F$23&lt;='IN_MACRO'!$D$11),'IN_FIN'!$D$16*'IN_FIN'!$H$16*((1-'IN_FIN'!$E$16)*'ENG_SCEN'!$F$32+'IN_FIN'!$E$16*'ENG_SCEN'!$F$36)*'ENG_SCEN'!$G$16,0))</f>
        <v/>
      </c>
      <c r="G38" s="33">
        <f>IF(OR('IN_FIN'!$F$16&lt;=0,'IN_FIN'!$G$16&lt;=0,'IN_MACRO'!$G$23=0),0,IF(AND(MOD('IN_MACRO'!$G$23,'IN_FIN'!$G$16)=0,'IN_MACRO'!$G$23&lt;='IN_MACRO'!$D$11),'IN_FIN'!$D$16*'IN_FIN'!$H$16*((1-'IN_FIN'!$E$16)*'ENG_SCEN'!$G$32+'IN_FIN'!$E$16*'ENG_SCEN'!$G$36)*'ENG_SCEN'!$G$16,0))</f>
        <v/>
      </c>
      <c r="H38" s="33">
        <f>IF(OR('IN_FIN'!$F$16&lt;=0,'IN_FIN'!$G$16&lt;=0,'IN_MACRO'!$H$23=0),0,IF(AND(MOD('IN_MACRO'!$H$23,'IN_FIN'!$G$16)=0,'IN_MACRO'!$H$23&lt;='IN_MACRO'!$D$11),'IN_FIN'!$D$16*'IN_FIN'!$H$16*((1-'IN_FIN'!$E$16)*'ENG_SCEN'!$H$32+'IN_FIN'!$E$16*'ENG_SCEN'!$H$36)*'ENG_SCEN'!$G$16,0))</f>
        <v/>
      </c>
      <c r="I38" s="33">
        <f>IF(OR('IN_FIN'!$F$16&lt;=0,'IN_FIN'!$G$16&lt;=0,'IN_MACRO'!$I$23=0),0,IF(AND(MOD('IN_MACRO'!$I$23,'IN_FIN'!$G$16)=0,'IN_MACRO'!$I$23&lt;='IN_MACRO'!$D$11),'IN_FIN'!$D$16*'IN_FIN'!$H$16*((1-'IN_FIN'!$E$16)*'ENG_SCEN'!$I$32+'IN_FIN'!$E$16*'ENG_SCEN'!$I$36)*'ENG_SCEN'!$G$16,0))</f>
        <v/>
      </c>
      <c r="J38" s="33">
        <f>IF(OR('IN_FIN'!$F$16&lt;=0,'IN_FIN'!$G$16&lt;=0,'IN_MACRO'!$J$23=0),0,IF(AND(MOD('IN_MACRO'!$J$23,'IN_FIN'!$G$16)=0,'IN_MACRO'!$J$23&lt;='IN_MACRO'!$D$11),'IN_FIN'!$D$16*'IN_FIN'!$H$16*((1-'IN_FIN'!$E$16)*'ENG_SCEN'!$J$32+'IN_FIN'!$E$16*'ENG_SCEN'!$J$36)*'ENG_SCEN'!$G$16,0))</f>
        <v/>
      </c>
      <c r="K38" s="33">
        <f>IF(OR('IN_FIN'!$F$16&lt;=0,'IN_FIN'!$G$16&lt;=0,'IN_MACRO'!$K$23=0),0,IF(AND(MOD('IN_MACRO'!$K$23,'IN_FIN'!$G$16)=0,'IN_MACRO'!$K$23&lt;='IN_MACRO'!$D$11),'IN_FIN'!$D$16*'IN_FIN'!$H$16*((1-'IN_FIN'!$E$16)*'ENG_SCEN'!$K$32+'IN_FIN'!$E$16*'ENG_SCEN'!$K$36)*'ENG_SCEN'!$G$16,0))</f>
        <v/>
      </c>
      <c r="L38" s="33">
        <f>IF(OR('IN_FIN'!$F$16&lt;=0,'IN_FIN'!$G$16&lt;=0,'IN_MACRO'!$L$23=0),0,IF(AND(MOD('IN_MACRO'!$L$23,'IN_FIN'!$G$16)=0,'IN_MACRO'!$L$23&lt;='IN_MACRO'!$D$11),'IN_FIN'!$D$16*'IN_FIN'!$H$16*((1-'IN_FIN'!$E$16)*'ENG_SCEN'!$L$32+'IN_FIN'!$E$16*'ENG_SCEN'!$L$36)*'ENG_SCEN'!$G$16,0))</f>
        <v/>
      </c>
      <c r="M38" s="33">
        <f>IF(OR('IN_FIN'!$F$16&lt;=0,'IN_FIN'!$G$16&lt;=0,'IN_MACRO'!$M$23=0),0,IF(AND(MOD('IN_MACRO'!$M$23,'IN_FIN'!$G$16)=0,'IN_MACRO'!$M$23&lt;='IN_MACRO'!$D$11),'IN_FIN'!$D$16*'IN_FIN'!$H$16*((1-'IN_FIN'!$E$16)*'ENG_SCEN'!$M$32+'IN_FIN'!$E$16*'ENG_SCEN'!$M$36)*'ENG_SCEN'!$G$16,0))</f>
        <v/>
      </c>
      <c r="N38" s="33">
        <f>IF(OR('IN_FIN'!$F$16&lt;=0,'IN_FIN'!$G$16&lt;=0,'IN_MACRO'!$N$23=0),0,IF(AND(MOD('IN_MACRO'!$N$23,'IN_FIN'!$G$16)=0,'IN_MACRO'!$N$23&lt;='IN_MACRO'!$D$11),'IN_FIN'!$D$16*'IN_FIN'!$H$16*((1-'IN_FIN'!$E$16)*'ENG_SCEN'!$N$32+'IN_FIN'!$E$16*'ENG_SCEN'!$N$36)*'ENG_SCEN'!$G$16,0))</f>
        <v/>
      </c>
      <c r="O38" s="33">
        <f>IF(OR('IN_FIN'!$F$16&lt;=0,'IN_FIN'!$G$16&lt;=0,'IN_MACRO'!$O$23=0),0,IF(AND(MOD('IN_MACRO'!$O$23,'IN_FIN'!$G$16)=0,'IN_MACRO'!$O$23&lt;='IN_MACRO'!$D$11),'IN_FIN'!$D$16*'IN_FIN'!$H$16*((1-'IN_FIN'!$E$16)*'ENG_SCEN'!$O$32+'IN_FIN'!$E$16*'ENG_SCEN'!$O$36)*'ENG_SCEN'!$G$16,0))</f>
        <v/>
      </c>
      <c r="P38" s="33">
        <f>IF(OR('IN_FIN'!$F$16&lt;=0,'IN_FIN'!$G$16&lt;=0,'IN_MACRO'!$P$23=0),0,IF(AND(MOD('IN_MACRO'!$P$23,'IN_FIN'!$G$16)=0,'IN_MACRO'!$P$23&lt;='IN_MACRO'!$D$11),'IN_FIN'!$D$16*'IN_FIN'!$H$16*((1-'IN_FIN'!$E$16)*'ENG_SCEN'!$P$32+'IN_FIN'!$E$16*'ENG_SCEN'!$P$36)*'ENG_SCEN'!$G$16,0))</f>
        <v/>
      </c>
    </row>
    <row r="39">
      <c r="A39" s="15" t="inlineStr">
        <is>
          <t>جایگزینی مهندسی، نصب و راه‌اندازی</t>
        </is>
      </c>
      <c r="B39" s="16" t="inlineStr">
        <is>
          <t>CAPEX.repl.8</t>
        </is>
      </c>
      <c r="C39" s="17" t="inlineStr">
        <is>
          <t>میلیون ریال</t>
        </is>
      </c>
      <c r="D39" s="33">
        <f>IF(OR('IN_FIN'!$F$17&lt;=0,'IN_FIN'!$G$17&lt;=0,'IN_MACRO'!$D$23=0),0,IF(AND(MOD('IN_MACRO'!$D$23,'IN_FIN'!$G$17)=0,'IN_MACRO'!$D$23&lt;='IN_MACRO'!$D$11),'IN_FIN'!$D$17*'IN_FIN'!$H$17*((1-'IN_FIN'!$E$17)*'ENG_SCEN'!$D$32+'IN_FIN'!$E$17*'ENG_SCEN'!$D$36)*'ENG_SCEN'!$G$16,0))</f>
        <v/>
      </c>
      <c r="E39" s="33">
        <f>IF(OR('IN_FIN'!$F$17&lt;=0,'IN_FIN'!$G$17&lt;=0,'IN_MACRO'!$E$23=0),0,IF(AND(MOD('IN_MACRO'!$E$23,'IN_FIN'!$G$17)=0,'IN_MACRO'!$E$23&lt;='IN_MACRO'!$D$11),'IN_FIN'!$D$17*'IN_FIN'!$H$17*((1-'IN_FIN'!$E$17)*'ENG_SCEN'!$E$32+'IN_FIN'!$E$17*'ENG_SCEN'!$E$36)*'ENG_SCEN'!$G$16,0))</f>
        <v/>
      </c>
      <c r="F39" s="33">
        <f>IF(OR('IN_FIN'!$F$17&lt;=0,'IN_FIN'!$G$17&lt;=0,'IN_MACRO'!$F$23=0),0,IF(AND(MOD('IN_MACRO'!$F$23,'IN_FIN'!$G$17)=0,'IN_MACRO'!$F$23&lt;='IN_MACRO'!$D$11),'IN_FIN'!$D$17*'IN_FIN'!$H$17*((1-'IN_FIN'!$E$17)*'ENG_SCEN'!$F$32+'IN_FIN'!$E$17*'ENG_SCEN'!$F$36)*'ENG_SCEN'!$G$16,0))</f>
        <v/>
      </c>
      <c r="G39" s="33">
        <f>IF(OR('IN_FIN'!$F$17&lt;=0,'IN_FIN'!$G$17&lt;=0,'IN_MACRO'!$G$23=0),0,IF(AND(MOD('IN_MACRO'!$G$23,'IN_FIN'!$G$17)=0,'IN_MACRO'!$G$23&lt;='IN_MACRO'!$D$11),'IN_FIN'!$D$17*'IN_FIN'!$H$17*((1-'IN_FIN'!$E$17)*'ENG_SCEN'!$G$32+'IN_FIN'!$E$17*'ENG_SCEN'!$G$36)*'ENG_SCEN'!$G$16,0))</f>
        <v/>
      </c>
      <c r="H39" s="33">
        <f>IF(OR('IN_FIN'!$F$17&lt;=0,'IN_FIN'!$G$17&lt;=0,'IN_MACRO'!$H$23=0),0,IF(AND(MOD('IN_MACRO'!$H$23,'IN_FIN'!$G$17)=0,'IN_MACRO'!$H$23&lt;='IN_MACRO'!$D$11),'IN_FIN'!$D$17*'IN_FIN'!$H$17*((1-'IN_FIN'!$E$17)*'ENG_SCEN'!$H$32+'IN_FIN'!$E$17*'ENG_SCEN'!$H$36)*'ENG_SCEN'!$G$16,0))</f>
        <v/>
      </c>
      <c r="I39" s="33">
        <f>IF(OR('IN_FIN'!$F$17&lt;=0,'IN_FIN'!$G$17&lt;=0,'IN_MACRO'!$I$23=0),0,IF(AND(MOD('IN_MACRO'!$I$23,'IN_FIN'!$G$17)=0,'IN_MACRO'!$I$23&lt;='IN_MACRO'!$D$11),'IN_FIN'!$D$17*'IN_FIN'!$H$17*((1-'IN_FIN'!$E$17)*'ENG_SCEN'!$I$32+'IN_FIN'!$E$17*'ENG_SCEN'!$I$36)*'ENG_SCEN'!$G$16,0))</f>
        <v/>
      </c>
      <c r="J39" s="33">
        <f>IF(OR('IN_FIN'!$F$17&lt;=0,'IN_FIN'!$G$17&lt;=0,'IN_MACRO'!$J$23=0),0,IF(AND(MOD('IN_MACRO'!$J$23,'IN_FIN'!$G$17)=0,'IN_MACRO'!$J$23&lt;='IN_MACRO'!$D$11),'IN_FIN'!$D$17*'IN_FIN'!$H$17*((1-'IN_FIN'!$E$17)*'ENG_SCEN'!$J$32+'IN_FIN'!$E$17*'ENG_SCEN'!$J$36)*'ENG_SCEN'!$G$16,0))</f>
        <v/>
      </c>
      <c r="K39" s="33">
        <f>IF(OR('IN_FIN'!$F$17&lt;=0,'IN_FIN'!$G$17&lt;=0,'IN_MACRO'!$K$23=0),0,IF(AND(MOD('IN_MACRO'!$K$23,'IN_FIN'!$G$17)=0,'IN_MACRO'!$K$23&lt;='IN_MACRO'!$D$11),'IN_FIN'!$D$17*'IN_FIN'!$H$17*((1-'IN_FIN'!$E$17)*'ENG_SCEN'!$K$32+'IN_FIN'!$E$17*'ENG_SCEN'!$K$36)*'ENG_SCEN'!$G$16,0))</f>
        <v/>
      </c>
      <c r="L39" s="33">
        <f>IF(OR('IN_FIN'!$F$17&lt;=0,'IN_FIN'!$G$17&lt;=0,'IN_MACRO'!$L$23=0),0,IF(AND(MOD('IN_MACRO'!$L$23,'IN_FIN'!$G$17)=0,'IN_MACRO'!$L$23&lt;='IN_MACRO'!$D$11),'IN_FIN'!$D$17*'IN_FIN'!$H$17*((1-'IN_FIN'!$E$17)*'ENG_SCEN'!$L$32+'IN_FIN'!$E$17*'ENG_SCEN'!$L$36)*'ENG_SCEN'!$G$16,0))</f>
        <v/>
      </c>
      <c r="M39" s="33">
        <f>IF(OR('IN_FIN'!$F$17&lt;=0,'IN_FIN'!$G$17&lt;=0,'IN_MACRO'!$M$23=0),0,IF(AND(MOD('IN_MACRO'!$M$23,'IN_FIN'!$G$17)=0,'IN_MACRO'!$M$23&lt;='IN_MACRO'!$D$11),'IN_FIN'!$D$17*'IN_FIN'!$H$17*((1-'IN_FIN'!$E$17)*'ENG_SCEN'!$M$32+'IN_FIN'!$E$17*'ENG_SCEN'!$M$36)*'ENG_SCEN'!$G$16,0))</f>
        <v/>
      </c>
      <c r="N39" s="33">
        <f>IF(OR('IN_FIN'!$F$17&lt;=0,'IN_FIN'!$G$17&lt;=0,'IN_MACRO'!$N$23=0),0,IF(AND(MOD('IN_MACRO'!$N$23,'IN_FIN'!$G$17)=0,'IN_MACRO'!$N$23&lt;='IN_MACRO'!$D$11),'IN_FIN'!$D$17*'IN_FIN'!$H$17*((1-'IN_FIN'!$E$17)*'ENG_SCEN'!$N$32+'IN_FIN'!$E$17*'ENG_SCEN'!$N$36)*'ENG_SCEN'!$G$16,0))</f>
        <v/>
      </c>
      <c r="O39" s="33">
        <f>IF(OR('IN_FIN'!$F$17&lt;=0,'IN_FIN'!$G$17&lt;=0,'IN_MACRO'!$O$23=0),0,IF(AND(MOD('IN_MACRO'!$O$23,'IN_FIN'!$G$17)=0,'IN_MACRO'!$O$23&lt;='IN_MACRO'!$D$11),'IN_FIN'!$D$17*'IN_FIN'!$H$17*((1-'IN_FIN'!$E$17)*'ENG_SCEN'!$O$32+'IN_FIN'!$E$17*'ENG_SCEN'!$O$36)*'ENG_SCEN'!$G$16,0))</f>
        <v/>
      </c>
      <c r="P39" s="33">
        <f>IF(OR('IN_FIN'!$F$17&lt;=0,'IN_FIN'!$G$17&lt;=0,'IN_MACRO'!$P$23=0),0,IF(AND(MOD('IN_MACRO'!$P$23,'IN_FIN'!$G$17)=0,'IN_MACRO'!$P$23&lt;='IN_MACRO'!$D$11),'IN_FIN'!$D$17*'IN_FIN'!$H$17*((1-'IN_FIN'!$E$17)*'ENG_SCEN'!$P$32+'IN_FIN'!$E$17*'ENG_SCEN'!$P$36)*'ENG_SCEN'!$G$16,0))</f>
        <v/>
      </c>
    </row>
    <row r="40">
      <c r="A40" s="15" t="inlineStr">
        <is>
          <t>جایگزینی هزینه‌های پیش از بهره‌برداری</t>
        </is>
      </c>
      <c r="B40" s="16" t="inlineStr">
        <is>
          <t>CAPEX.repl.9</t>
        </is>
      </c>
      <c r="C40" s="17" t="inlineStr">
        <is>
          <t>میلیون ریال</t>
        </is>
      </c>
      <c r="D40" s="33">
        <f>IF(OR('IN_FIN'!$F$18&lt;=0,'IN_FIN'!$G$18&lt;=0,'IN_MACRO'!$D$23=0),0,IF(AND(MOD('IN_MACRO'!$D$23,'IN_FIN'!$G$18)=0,'IN_MACRO'!$D$23&lt;='IN_MACRO'!$D$11),'IN_FIN'!$D$18*'IN_FIN'!$H$18*((1-'IN_FIN'!$E$18)*'ENG_SCEN'!$D$32+'IN_FIN'!$E$18*'ENG_SCEN'!$D$36)*'ENG_SCEN'!$G$16,0))</f>
        <v/>
      </c>
      <c r="E40" s="33">
        <f>IF(OR('IN_FIN'!$F$18&lt;=0,'IN_FIN'!$G$18&lt;=0,'IN_MACRO'!$E$23=0),0,IF(AND(MOD('IN_MACRO'!$E$23,'IN_FIN'!$G$18)=0,'IN_MACRO'!$E$23&lt;='IN_MACRO'!$D$11),'IN_FIN'!$D$18*'IN_FIN'!$H$18*((1-'IN_FIN'!$E$18)*'ENG_SCEN'!$E$32+'IN_FIN'!$E$18*'ENG_SCEN'!$E$36)*'ENG_SCEN'!$G$16,0))</f>
        <v/>
      </c>
      <c r="F40" s="33">
        <f>IF(OR('IN_FIN'!$F$18&lt;=0,'IN_FIN'!$G$18&lt;=0,'IN_MACRO'!$F$23=0),0,IF(AND(MOD('IN_MACRO'!$F$23,'IN_FIN'!$G$18)=0,'IN_MACRO'!$F$23&lt;='IN_MACRO'!$D$11),'IN_FIN'!$D$18*'IN_FIN'!$H$18*((1-'IN_FIN'!$E$18)*'ENG_SCEN'!$F$32+'IN_FIN'!$E$18*'ENG_SCEN'!$F$36)*'ENG_SCEN'!$G$16,0))</f>
        <v/>
      </c>
      <c r="G40" s="33">
        <f>IF(OR('IN_FIN'!$F$18&lt;=0,'IN_FIN'!$G$18&lt;=0,'IN_MACRO'!$G$23=0),0,IF(AND(MOD('IN_MACRO'!$G$23,'IN_FIN'!$G$18)=0,'IN_MACRO'!$G$23&lt;='IN_MACRO'!$D$11),'IN_FIN'!$D$18*'IN_FIN'!$H$18*((1-'IN_FIN'!$E$18)*'ENG_SCEN'!$G$32+'IN_FIN'!$E$18*'ENG_SCEN'!$G$36)*'ENG_SCEN'!$G$16,0))</f>
        <v/>
      </c>
      <c r="H40" s="33">
        <f>IF(OR('IN_FIN'!$F$18&lt;=0,'IN_FIN'!$G$18&lt;=0,'IN_MACRO'!$H$23=0),0,IF(AND(MOD('IN_MACRO'!$H$23,'IN_FIN'!$G$18)=0,'IN_MACRO'!$H$23&lt;='IN_MACRO'!$D$11),'IN_FIN'!$D$18*'IN_FIN'!$H$18*((1-'IN_FIN'!$E$18)*'ENG_SCEN'!$H$32+'IN_FIN'!$E$18*'ENG_SCEN'!$H$36)*'ENG_SCEN'!$G$16,0))</f>
        <v/>
      </c>
      <c r="I40" s="33">
        <f>IF(OR('IN_FIN'!$F$18&lt;=0,'IN_FIN'!$G$18&lt;=0,'IN_MACRO'!$I$23=0),0,IF(AND(MOD('IN_MACRO'!$I$23,'IN_FIN'!$G$18)=0,'IN_MACRO'!$I$23&lt;='IN_MACRO'!$D$11),'IN_FIN'!$D$18*'IN_FIN'!$H$18*((1-'IN_FIN'!$E$18)*'ENG_SCEN'!$I$32+'IN_FIN'!$E$18*'ENG_SCEN'!$I$36)*'ENG_SCEN'!$G$16,0))</f>
        <v/>
      </c>
      <c r="J40" s="33">
        <f>IF(OR('IN_FIN'!$F$18&lt;=0,'IN_FIN'!$G$18&lt;=0,'IN_MACRO'!$J$23=0),0,IF(AND(MOD('IN_MACRO'!$J$23,'IN_FIN'!$G$18)=0,'IN_MACRO'!$J$23&lt;='IN_MACRO'!$D$11),'IN_FIN'!$D$18*'IN_FIN'!$H$18*((1-'IN_FIN'!$E$18)*'ENG_SCEN'!$J$32+'IN_FIN'!$E$18*'ENG_SCEN'!$J$36)*'ENG_SCEN'!$G$16,0))</f>
        <v/>
      </c>
      <c r="K40" s="33">
        <f>IF(OR('IN_FIN'!$F$18&lt;=0,'IN_FIN'!$G$18&lt;=0,'IN_MACRO'!$K$23=0),0,IF(AND(MOD('IN_MACRO'!$K$23,'IN_FIN'!$G$18)=0,'IN_MACRO'!$K$23&lt;='IN_MACRO'!$D$11),'IN_FIN'!$D$18*'IN_FIN'!$H$18*((1-'IN_FIN'!$E$18)*'ENG_SCEN'!$K$32+'IN_FIN'!$E$18*'ENG_SCEN'!$K$36)*'ENG_SCEN'!$G$16,0))</f>
        <v/>
      </c>
      <c r="L40" s="33">
        <f>IF(OR('IN_FIN'!$F$18&lt;=0,'IN_FIN'!$G$18&lt;=0,'IN_MACRO'!$L$23=0),0,IF(AND(MOD('IN_MACRO'!$L$23,'IN_FIN'!$G$18)=0,'IN_MACRO'!$L$23&lt;='IN_MACRO'!$D$11),'IN_FIN'!$D$18*'IN_FIN'!$H$18*((1-'IN_FIN'!$E$18)*'ENG_SCEN'!$L$32+'IN_FIN'!$E$18*'ENG_SCEN'!$L$36)*'ENG_SCEN'!$G$16,0))</f>
        <v/>
      </c>
      <c r="M40" s="33">
        <f>IF(OR('IN_FIN'!$F$18&lt;=0,'IN_FIN'!$G$18&lt;=0,'IN_MACRO'!$M$23=0),0,IF(AND(MOD('IN_MACRO'!$M$23,'IN_FIN'!$G$18)=0,'IN_MACRO'!$M$23&lt;='IN_MACRO'!$D$11),'IN_FIN'!$D$18*'IN_FIN'!$H$18*((1-'IN_FIN'!$E$18)*'ENG_SCEN'!$M$32+'IN_FIN'!$E$18*'ENG_SCEN'!$M$36)*'ENG_SCEN'!$G$16,0))</f>
        <v/>
      </c>
      <c r="N40" s="33">
        <f>IF(OR('IN_FIN'!$F$18&lt;=0,'IN_FIN'!$G$18&lt;=0,'IN_MACRO'!$N$23=0),0,IF(AND(MOD('IN_MACRO'!$N$23,'IN_FIN'!$G$18)=0,'IN_MACRO'!$N$23&lt;='IN_MACRO'!$D$11),'IN_FIN'!$D$18*'IN_FIN'!$H$18*((1-'IN_FIN'!$E$18)*'ENG_SCEN'!$N$32+'IN_FIN'!$E$18*'ENG_SCEN'!$N$36)*'ENG_SCEN'!$G$16,0))</f>
        <v/>
      </c>
      <c r="O40" s="33">
        <f>IF(OR('IN_FIN'!$F$18&lt;=0,'IN_FIN'!$G$18&lt;=0,'IN_MACRO'!$O$23=0),0,IF(AND(MOD('IN_MACRO'!$O$23,'IN_FIN'!$G$18)=0,'IN_MACRO'!$O$23&lt;='IN_MACRO'!$D$11),'IN_FIN'!$D$18*'IN_FIN'!$H$18*((1-'IN_FIN'!$E$18)*'ENG_SCEN'!$O$32+'IN_FIN'!$E$18*'ENG_SCEN'!$O$36)*'ENG_SCEN'!$G$16,0))</f>
        <v/>
      </c>
      <c r="P40" s="33">
        <f>IF(OR('IN_FIN'!$F$18&lt;=0,'IN_FIN'!$G$18&lt;=0,'IN_MACRO'!$P$23=0),0,IF(AND(MOD('IN_MACRO'!$P$23,'IN_FIN'!$G$18)=0,'IN_MACRO'!$P$23&lt;='IN_MACRO'!$D$11),'IN_FIN'!$D$18*'IN_FIN'!$H$18*((1-'IN_FIN'!$E$18)*'ENG_SCEN'!$P$32+'IN_FIN'!$E$18*'ENG_SCEN'!$P$36)*'ENG_SCEN'!$G$16,0))</f>
        <v/>
      </c>
    </row>
    <row r="41">
      <c r="A41" s="15" t="inlineStr">
        <is>
          <t>جایگزینی ذخیره احتیاطی فیزیکی</t>
        </is>
      </c>
      <c r="B41" s="16" t="inlineStr">
        <is>
          <t>CAPEX.repl.10</t>
        </is>
      </c>
      <c r="C41" s="17" t="inlineStr">
        <is>
          <t>میلیون ریال</t>
        </is>
      </c>
      <c r="D41" s="33">
        <f>IF(OR('IN_FIN'!$F$19&lt;=0,'IN_FIN'!$G$19&lt;=0,'IN_MACRO'!$D$23=0),0,IF(AND(MOD('IN_MACRO'!$D$23,'IN_FIN'!$G$19)=0,'IN_MACRO'!$D$23&lt;='IN_MACRO'!$D$11),'IN_FIN'!$D$19*'IN_FIN'!$H$19*((1-'IN_FIN'!$E$19)*'ENG_SCEN'!$D$32+'IN_FIN'!$E$19*'ENG_SCEN'!$D$36)*'ENG_SCEN'!$G$16,0))</f>
        <v/>
      </c>
      <c r="E41" s="33">
        <f>IF(OR('IN_FIN'!$F$19&lt;=0,'IN_FIN'!$G$19&lt;=0,'IN_MACRO'!$E$23=0),0,IF(AND(MOD('IN_MACRO'!$E$23,'IN_FIN'!$G$19)=0,'IN_MACRO'!$E$23&lt;='IN_MACRO'!$D$11),'IN_FIN'!$D$19*'IN_FIN'!$H$19*((1-'IN_FIN'!$E$19)*'ENG_SCEN'!$E$32+'IN_FIN'!$E$19*'ENG_SCEN'!$E$36)*'ENG_SCEN'!$G$16,0))</f>
        <v/>
      </c>
      <c r="F41" s="33">
        <f>IF(OR('IN_FIN'!$F$19&lt;=0,'IN_FIN'!$G$19&lt;=0,'IN_MACRO'!$F$23=0),0,IF(AND(MOD('IN_MACRO'!$F$23,'IN_FIN'!$G$19)=0,'IN_MACRO'!$F$23&lt;='IN_MACRO'!$D$11),'IN_FIN'!$D$19*'IN_FIN'!$H$19*((1-'IN_FIN'!$E$19)*'ENG_SCEN'!$F$32+'IN_FIN'!$E$19*'ENG_SCEN'!$F$36)*'ENG_SCEN'!$G$16,0))</f>
        <v/>
      </c>
      <c r="G41" s="33">
        <f>IF(OR('IN_FIN'!$F$19&lt;=0,'IN_FIN'!$G$19&lt;=0,'IN_MACRO'!$G$23=0),0,IF(AND(MOD('IN_MACRO'!$G$23,'IN_FIN'!$G$19)=0,'IN_MACRO'!$G$23&lt;='IN_MACRO'!$D$11),'IN_FIN'!$D$19*'IN_FIN'!$H$19*((1-'IN_FIN'!$E$19)*'ENG_SCEN'!$G$32+'IN_FIN'!$E$19*'ENG_SCEN'!$G$36)*'ENG_SCEN'!$G$16,0))</f>
        <v/>
      </c>
      <c r="H41" s="33">
        <f>IF(OR('IN_FIN'!$F$19&lt;=0,'IN_FIN'!$G$19&lt;=0,'IN_MACRO'!$H$23=0),0,IF(AND(MOD('IN_MACRO'!$H$23,'IN_FIN'!$G$19)=0,'IN_MACRO'!$H$23&lt;='IN_MACRO'!$D$11),'IN_FIN'!$D$19*'IN_FIN'!$H$19*((1-'IN_FIN'!$E$19)*'ENG_SCEN'!$H$32+'IN_FIN'!$E$19*'ENG_SCEN'!$H$36)*'ENG_SCEN'!$G$16,0))</f>
        <v/>
      </c>
      <c r="I41" s="33">
        <f>IF(OR('IN_FIN'!$F$19&lt;=0,'IN_FIN'!$G$19&lt;=0,'IN_MACRO'!$I$23=0),0,IF(AND(MOD('IN_MACRO'!$I$23,'IN_FIN'!$G$19)=0,'IN_MACRO'!$I$23&lt;='IN_MACRO'!$D$11),'IN_FIN'!$D$19*'IN_FIN'!$H$19*((1-'IN_FIN'!$E$19)*'ENG_SCEN'!$I$32+'IN_FIN'!$E$19*'ENG_SCEN'!$I$36)*'ENG_SCEN'!$G$16,0))</f>
        <v/>
      </c>
      <c r="J41" s="33">
        <f>IF(OR('IN_FIN'!$F$19&lt;=0,'IN_FIN'!$G$19&lt;=0,'IN_MACRO'!$J$23=0),0,IF(AND(MOD('IN_MACRO'!$J$23,'IN_FIN'!$G$19)=0,'IN_MACRO'!$J$23&lt;='IN_MACRO'!$D$11),'IN_FIN'!$D$19*'IN_FIN'!$H$19*((1-'IN_FIN'!$E$19)*'ENG_SCEN'!$J$32+'IN_FIN'!$E$19*'ENG_SCEN'!$J$36)*'ENG_SCEN'!$G$16,0))</f>
        <v/>
      </c>
      <c r="K41" s="33">
        <f>IF(OR('IN_FIN'!$F$19&lt;=0,'IN_FIN'!$G$19&lt;=0,'IN_MACRO'!$K$23=0),0,IF(AND(MOD('IN_MACRO'!$K$23,'IN_FIN'!$G$19)=0,'IN_MACRO'!$K$23&lt;='IN_MACRO'!$D$11),'IN_FIN'!$D$19*'IN_FIN'!$H$19*((1-'IN_FIN'!$E$19)*'ENG_SCEN'!$K$32+'IN_FIN'!$E$19*'ENG_SCEN'!$K$36)*'ENG_SCEN'!$G$16,0))</f>
        <v/>
      </c>
      <c r="L41" s="33">
        <f>IF(OR('IN_FIN'!$F$19&lt;=0,'IN_FIN'!$G$19&lt;=0,'IN_MACRO'!$L$23=0),0,IF(AND(MOD('IN_MACRO'!$L$23,'IN_FIN'!$G$19)=0,'IN_MACRO'!$L$23&lt;='IN_MACRO'!$D$11),'IN_FIN'!$D$19*'IN_FIN'!$H$19*((1-'IN_FIN'!$E$19)*'ENG_SCEN'!$L$32+'IN_FIN'!$E$19*'ENG_SCEN'!$L$36)*'ENG_SCEN'!$G$16,0))</f>
        <v/>
      </c>
      <c r="M41" s="33">
        <f>IF(OR('IN_FIN'!$F$19&lt;=0,'IN_FIN'!$G$19&lt;=0,'IN_MACRO'!$M$23=0),0,IF(AND(MOD('IN_MACRO'!$M$23,'IN_FIN'!$G$19)=0,'IN_MACRO'!$M$23&lt;='IN_MACRO'!$D$11),'IN_FIN'!$D$19*'IN_FIN'!$H$19*((1-'IN_FIN'!$E$19)*'ENG_SCEN'!$M$32+'IN_FIN'!$E$19*'ENG_SCEN'!$M$36)*'ENG_SCEN'!$G$16,0))</f>
        <v/>
      </c>
      <c r="N41" s="33">
        <f>IF(OR('IN_FIN'!$F$19&lt;=0,'IN_FIN'!$G$19&lt;=0,'IN_MACRO'!$N$23=0),0,IF(AND(MOD('IN_MACRO'!$N$23,'IN_FIN'!$G$19)=0,'IN_MACRO'!$N$23&lt;='IN_MACRO'!$D$11),'IN_FIN'!$D$19*'IN_FIN'!$H$19*((1-'IN_FIN'!$E$19)*'ENG_SCEN'!$N$32+'IN_FIN'!$E$19*'ENG_SCEN'!$N$36)*'ENG_SCEN'!$G$16,0))</f>
        <v/>
      </c>
      <c r="O41" s="33">
        <f>IF(OR('IN_FIN'!$F$19&lt;=0,'IN_FIN'!$G$19&lt;=0,'IN_MACRO'!$O$23=0),0,IF(AND(MOD('IN_MACRO'!$O$23,'IN_FIN'!$G$19)=0,'IN_MACRO'!$O$23&lt;='IN_MACRO'!$D$11),'IN_FIN'!$D$19*'IN_FIN'!$H$19*((1-'IN_FIN'!$E$19)*'ENG_SCEN'!$O$32+'IN_FIN'!$E$19*'ENG_SCEN'!$O$36)*'ENG_SCEN'!$G$16,0))</f>
        <v/>
      </c>
      <c r="P41" s="33">
        <f>IF(OR('IN_FIN'!$F$19&lt;=0,'IN_FIN'!$G$19&lt;=0,'IN_MACRO'!$P$23=0),0,IF(AND(MOD('IN_MACRO'!$P$23,'IN_FIN'!$G$19)=0,'IN_MACRO'!$P$23&lt;='IN_MACRO'!$D$11),'IN_FIN'!$D$19*'IN_FIN'!$H$19*((1-'IN_FIN'!$E$19)*'ENG_SCEN'!$P$32+'IN_FIN'!$E$19*'ENG_SCEN'!$P$36)*'ENG_SCEN'!$G$16,0))</f>
        <v/>
      </c>
    </row>
    <row r="42">
      <c r="A42" s="8" t="inlineStr">
        <is>
          <t>جمع جایگزینی دارایی‌ها</t>
        </is>
      </c>
      <c r="B42" s="16" t="inlineStr">
        <is>
          <t>CAPEX.repl_total</t>
        </is>
      </c>
      <c r="C42" s="17" t="inlineStr">
        <is>
          <t>میلیون ریال</t>
        </is>
      </c>
      <c r="D42" s="33">
        <f>'ENG_CAPEX'!$D$31+'ENG_CAPEX'!$D$32+'ENG_CAPEX'!$D$33+'ENG_CAPEX'!$D$34+'ENG_CAPEX'!$D$35+'ENG_CAPEX'!$D$36+'ENG_CAPEX'!$D$37+'ENG_CAPEX'!$D$38+'ENG_CAPEX'!$D$39+'ENG_CAPEX'!$D$40+'ENG_CAPEX'!$D$41</f>
        <v/>
      </c>
      <c r="E42" s="33">
        <f>'ENG_CAPEX'!$E$31+'ENG_CAPEX'!$E$32+'ENG_CAPEX'!$E$33+'ENG_CAPEX'!$E$34+'ENG_CAPEX'!$E$35+'ENG_CAPEX'!$E$36+'ENG_CAPEX'!$E$37+'ENG_CAPEX'!$E$38+'ENG_CAPEX'!$E$39+'ENG_CAPEX'!$E$40+'ENG_CAPEX'!$E$41</f>
        <v/>
      </c>
      <c r="F42" s="33">
        <f>'ENG_CAPEX'!$F$31+'ENG_CAPEX'!$F$32+'ENG_CAPEX'!$F$33+'ENG_CAPEX'!$F$34+'ENG_CAPEX'!$F$35+'ENG_CAPEX'!$F$36+'ENG_CAPEX'!$F$37+'ENG_CAPEX'!$F$38+'ENG_CAPEX'!$F$39+'ENG_CAPEX'!$F$40+'ENG_CAPEX'!$F$41</f>
        <v/>
      </c>
      <c r="G42" s="33">
        <f>'ENG_CAPEX'!$G$31+'ENG_CAPEX'!$G$32+'ENG_CAPEX'!$G$33+'ENG_CAPEX'!$G$34+'ENG_CAPEX'!$G$35+'ENG_CAPEX'!$G$36+'ENG_CAPEX'!$G$37+'ENG_CAPEX'!$G$38+'ENG_CAPEX'!$G$39+'ENG_CAPEX'!$G$40+'ENG_CAPEX'!$G$41</f>
        <v/>
      </c>
      <c r="H42" s="33">
        <f>'ENG_CAPEX'!$H$31+'ENG_CAPEX'!$H$32+'ENG_CAPEX'!$H$33+'ENG_CAPEX'!$H$34+'ENG_CAPEX'!$H$35+'ENG_CAPEX'!$H$36+'ENG_CAPEX'!$H$37+'ENG_CAPEX'!$H$38+'ENG_CAPEX'!$H$39+'ENG_CAPEX'!$H$40+'ENG_CAPEX'!$H$41</f>
        <v/>
      </c>
      <c r="I42" s="33">
        <f>'ENG_CAPEX'!$I$31+'ENG_CAPEX'!$I$32+'ENG_CAPEX'!$I$33+'ENG_CAPEX'!$I$34+'ENG_CAPEX'!$I$35+'ENG_CAPEX'!$I$36+'ENG_CAPEX'!$I$37+'ENG_CAPEX'!$I$38+'ENG_CAPEX'!$I$39+'ENG_CAPEX'!$I$40+'ENG_CAPEX'!$I$41</f>
        <v/>
      </c>
      <c r="J42" s="33">
        <f>'ENG_CAPEX'!$J$31+'ENG_CAPEX'!$J$32+'ENG_CAPEX'!$J$33+'ENG_CAPEX'!$J$34+'ENG_CAPEX'!$J$35+'ENG_CAPEX'!$J$36+'ENG_CAPEX'!$J$37+'ENG_CAPEX'!$J$38+'ENG_CAPEX'!$J$39+'ENG_CAPEX'!$J$40+'ENG_CAPEX'!$J$41</f>
        <v/>
      </c>
      <c r="K42" s="33">
        <f>'ENG_CAPEX'!$K$31+'ENG_CAPEX'!$K$32+'ENG_CAPEX'!$K$33+'ENG_CAPEX'!$K$34+'ENG_CAPEX'!$K$35+'ENG_CAPEX'!$K$36+'ENG_CAPEX'!$K$37+'ENG_CAPEX'!$K$38+'ENG_CAPEX'!$K$39+'ENG_CAPEX'!$K$40+'ENG_CAPEX'!$K$41</f>
        <v/>
      </c>
      <c r="L42" s="33">
        <f>'ENG_CAPEX'!$L$31+'ENG_CAPEX'!$L$32+'ENG_CAPEX'!$L$33+'ENG_CAPEX'!$L$34+'ENG_CAPEX'!$L$35+'ENG_CAPEX'!$L$36+'ENG_CAPEX'!$L$37+'ENG_CAPEX'!$L$38+'ENG_CAPEX'!$L$39+'ENG_CAPEX'!$L$40+'ENG_CAPEX'!$L$41</f>
        <v/>
      </c>
      <c r="M42" s="33">
        <f>'ENG_CAPEX'!$M$31+'ENG_CAPEX'!$M$32+'ENG_CAPEX'!$M$33+'ENG_CAPEX'!$M$34+'ENG_CAPEX'!$M$35+'ENG_CAPEX'!$M$36+'ENG_CAPEX'!$M$37+'ENG_CAPEX'!$M$38+'ENG_CAPEX'!$M$39+'ENG_CAPEX'!$M$40+'ENG_CAPEX'!$M$41</f>
        <v/>
      </c>
      <c r="N42" s="33">
        <f>'ENG_CAPEX'!$N$31+'ENG_CAPEX'!$N$32+'ENG_CAPEX'!$N$33+'ENG_CAPEX'!$N$34+'ENG_CAPEX'!$N$35+'ENG_CAPEX'!$N$36+'ENG_CAPEX'!$N$37+'ENG_CAPEX'!$N$38+'ENG_CAPEX'!$N$39+'ENG_CAPEX'!$N$40+'ENG_CAPEX'!$N$41</f>
        <v/>
      </c>
      <c r="O42" s="33">
        <f>'ENG_CAPEX'!$O$31+'ENG_CAPEX'!$O$32+'ENG_CAPEX'!$O$33+'ENG_CAPEX'!$O$34+'ENG_CAPEX'!$O$35+'ENG_CAPEX'!$O$36+'ENG_CAPEX'!$O$37+'ENG_CAPEX'!$O$38+'ENG_CAPEX'!$O$39+'ENG_CAPEX'!$O$40+'ENG_CAPEX'!$O$41</f>
        <v/>
      </c>
      <c r="P42" s="33">
        <f>'ENG_CAPEX'!$P$31+'ENG_CAPEX'!$P$32+'ENG_CAPEX'!$P$33+'ENG_CAPEX'!$P$34+'ENG_CAPEX'!$P$35+'ENG_CAPEX'!$P$36+'ENG_CAPEX'!$P$37+'ENG_CAPEX'!$P$38+'ENG_CAPEX'!$P$39+'ENG_CAPEX'!$P$40+'ENG_CAPEX'!$P$41</f>
        <v/>
      </c>
    </row>
    <row r="43"/>
    <row r="44">
      <c r="A44" s="4" t="inlineStr">
        <is>
          <t>د) دارایی‌های ثابت و استهلاک</t>
        </is>
      </c>
      <c r="B44" s="5" t="n"/>
      <c r="C44" s="5" t="n"/>
      <c r="D44" s="5" t="n"/>
      <c r="E44" s="5" t="n"/>
      <c r="F44" s="5" t="n"/>
      <c r="G44" s="5" t="n"/>
      <c r="H44" s="5" t="n"/>
      <c r="I44" s="5" t="n"/>
      <c r="J44" s="5" t="n"/>
      <c r="K44" s="5" t="n"/>
      <c r="L44" s="5" t="n"/>
      <c r="M44" s="5" t="n"/>
      <c r="N44" s="5" t="n"/>
      <c r="O44" s="5" t="n"/>
      <c r="P44" s="5" t="n"/>
      <c r="Q44" s="5" t="n"/>
    </row>
    <row r="45">
      <c r="A45" s="15" t="inlineStr">
        <is>
          <t>اضافات دارایی (CAPEX + جایگزینی + IDC)</t>
        </is>
      </c>
      <c r="B45" s="16" t="inlineStr">
        <is>
          <t>CAPEX.add</t>
        </is>
      </c>
      <c r="C45" s="17" t="inlineStr">
        <is>
          <t>میلیون ریال</t>
        </is>
      </c>
      <c r="D45" s="33">
        <f>'ENG_CAPEX'!$D$21+'ENG_CAPEX'!$D$42+'ENG_CAPEX'!$D$27</f>
        <v/>
      </c>
      <c r="E45" s="33">
        <f>'ENG_CAPEX'!$E$21+'ENG_CAPEX'!$E$42+'ENG_CAPEX'!$E$27</f>
        <v/>
      </c>
      <c r="F45" s="33">
        <f>'ENG_CAPEX'!$F$21+'ENG_CAPEX'!$F$42+'ENG_CAPEX'!$F$27</f>
        <v/>
      </c>
      <c r="G45" s="33">
        <f>'ENG_CAPEX'!$G$21+'ENG_CAPEX'!$G$42+'ENG_CAPEX'!$G$27</f>
        <v/>
      </c>
      <c r="H45" s="33">
        <f>'ENG_CAPEX'!$H$21+'ENG_CAPEX'!$H$42+'ENG_CAPEX'!$H$27</f>
        <v/>
      </c>
      <c r="I45" s="33">
        <f>'ENG_CAPEX'!$I$21+'ENG_CAPEX'!$I$42+'ENG_CAPEX'!$I$27</f>
        <v/>
      </c>
      <c r="J45" s="33">
        <f>'ENG_CAPEX'!$J$21+'ENG_CAPEX'!$J$42+'ENG_CAPEX'!$J$27</f>
        <v/>
      </c>
      <c r="K45" s="33">
        <f>'ENG_CAPEX'!$K$21+'ENG_CAPEX'!$K$42+'ENG_CAPEX'!$K$27</f>
        <v/>
      </c>
      <c r="L45" s="33">
        <f>'ENG_CAPEX'!$L$21+'ENG_CAPEX'!$L$42+'ENG_CAPEX'!$L$27</f>
        <v/>
      </c>
      <c r="M45" s="33">
        <f>'ENG_CAPEX'!$M$21+'ENG_CAPEX'!$M$42+'ENG_CAPEX'!$M$27</f>
        <v/>
      </c>
      <c r="N45" s="33">
        <f>'ENG_CAPEX'!$N$21+'ENG_CAPEX'!$N$42+'ENG_CAPEX'!$N$27</f>
        <v/>
      </c>
      <c r="O45" s="33">
        <f>'ENG_CAPEX'!$O$21+'ENG_CAPEX'!$O$42+'ENG_CAPEX'!$O$27</f>
        <v/>
      </c>
      <c r="P45" s="33">
        <f>'ENG_CAPEX'!$P$21+'ENG_CAPEX'!$P$42+'ENG_CAPEX'!$P$27</f>
        <v/>
      </c>
    </row>
    <row r="46">
      <c r="A46" s="15" t="inlineStr">
        <is>
          <t>ناخالص دارایی‌های ثابت - افتتاحیه</t>
        </is>
      </c>
      <c r="B46" s="16" t="inlineStr">
        <is>
          <t>CAPEX.gross_open</t>
        </is>
      </c>
      <c r="C46" s="17" t="inlineStr">
        <is>
          <t>میلیون ریال</t>
        </is>
      </c>
      <c r="D46" s="33">
        <f>0</f>
        <v/>
      </c>
      <c r="E46" s="33">
        <f>'ENG_CAPEX'!$D$47</f>
        <v/>
      </c>
      <c r="F46" s="33">
        <f>'ENG_CAPEX'!$E$47</f>
        <v/>
      </c>
      <c r="G46" s="33">
        <f>'ENG_CAPEX'!$F$47</f>
        <v/>
      </c>
      <c r="H46" s="33">
        <f>'ENG_CAPEX'!$G$47</f>
        <v/>
      </c>
      <c r="I46" s="33">
        <f>'ENG_CAPEX'!$H$47</f>
        <v/>
      </c>
      <c r="J46" s="33">
        <f>'ENG_CAPEX'!$I$47</f>
        <v/>
      </c>
      <c r="K46" s="33">
        <f>'ENG_CAPEX'!$J$47</f>
        <v/>
      </c>
      <c r="L46" s="33">
        <f>'ENG_CAPEX'!$K$47</f>
        <v/>
      </c>
      <c r="M46" s="33">
        <f>'ENG_CAPEX'!$L$47</f>
        <v/>
      </c>
      <c r="N46" s="33">
        <f>'ENG_CAPEX'!$M$47</f>
        <v/>
      </c>
      <c r="O46" s="33">
        <f>'ENG_CAPEX'!$N$47</f>
        <v/>
      </c>
      <c r="P46" s="33">
        <f>'ENG_CAPEX'!$O$47</f>
        <v/>
      </c>
    </row>
    <row r="47">
      <c r="A47" s="8" t="inlineStr">
        <is>
          <t>ناخالص دارایی‌های ثابت - اختتامیه</t>
        </is>
      </c>
      <c r="B47" s="16" t="inlineStr">
        <is>
          <t>CAPEX.gross</t>
        </is>
      </c>
      <c r="C47" s="17" t="inlineStr">
        <is>
          <t>میلیون ریال</t>
        </is>
      </c>
      <c r="D47" s="33">
        <f>'ENG_CAPEX'!$D$46+'ENG_CAPEX'!$D$45</f>
        <v/>
      </c>
      <c r="E47" s="33">
        <f>'ENG_CAPEX'!$E$46+'ENG_CAPEX'!$E$45</f>
        <v/>
      </c>
      <c r="F47" s="33">
        <f>'ENG_CAPEX'!$F$46+'ENG_CAPEX'!$F$45</f>
        <v/>
      </c>
      <c r="G47" s="33">
        <f>'ENG_CAPEX'!$G$46+'ENG_CAPEX'!$G$45</f>
        <v/>
      </c>
      <c r="H47" s="33">
        <f>'ENG_CAPEX'!$H$46+'ENG_CAPEX'!$H$45</f>
        <v/>
      </c>
      <c r="I47" s="33">
        <f>'ENG_CAPEX'!$I$46+'ENG_CAPEX'!$I$45</f>
        <v/>
      </c>
      <c r="J47" s="33">
        <f>'ENG_CAPEX'!$J$46+'ENG_CAPEX'!$J$45</f>
        <v/>
      </c>
      <c r="K47" s="33">
        <f>'ENG_CAPEX'!$K$46+'ENG_CAPEX'!$K$45</f>
        <v/>
      </c>
      <c r="L47" s="33">
        <f>'ENG_CAPEX'!$L$46+'ENG_CAPEX'!$L$45</f>
        <v/>
      </c>
      <c r="M47" s="33">
        <f>'ENG_CAPEX'!$M$46+'ENG_CAPEX'!$M$45</f>
        <v/>
      </c>
      <c r="N47" s="33">
        <f>'ENG_CAPEX'!$N$46+'ENG_CAPEX'!$N$45</f>
        <v/>
      </c>
      <c r="O47" s="33">
        <f>'ENG_CAPEX'!$O$46+'ENG_CAPEX'!$O$45</f>
        <v/>
      </c>
      <c r="P47" s="33">
        <f>'ENG_CAPEX'!$P$46+'ENG_CAPEX'!$P$45</f>
        <v/>
      </c>
    </row>
    <row r="48">
      <c r="A48" s="15" t="inlineStr">
        <is>
          <t>ناخالص طبقهٔ زمین</t>
        </is>
      </c>
      <c r="B48" s="16" t="inlineStr">
        <is>
          <t>CAPEX.grossc.0</t>
        </is>
      </c>
      <c r="C48" s="17" t="inlineStr">
        <is>
          <t>میلیون ریال</t>
        </is>
      </c>
      <c r="D48" s="33">
        <f>('ENG_CAPEX'!$D$10+'ENG_CAPEX'!$D$31)</f>
        <v/>
      </c>
      <c r="E48" s="33">
        <f>'ENG_CAPEX'!$D$48+('ENG_CAPEX'!$E$10+'ENG_CAPEX'!$E$31)</f>
        <v/>
      </c>
      <c r="F48" s="33">
        <f>'ENG_CAPEX'!$E$48+('ENG_CAPEX'!$F$10+'ENG_CAPEX'!$F$31)</f>
        <v/>
      </c>
      <c r="G48" s="33">
        <f>'ENG_CAPEX'!$F$48+('ENG_CAPEX'!$G$10+'ENG_CAPEX'!$G$31)</f>
        <v/>
      </c>
      <c r="H48" s="33">
        <f>'ENG_CAPEX'!$G$48+('ENG_CAPEX'!$H$10+'ENG_CAPEX'!$H$31)</f>
        <v/>
      </c>
      <c r="I48" s="33">
        <f>'ENG_CAPEX'!$H$48+('ENG_CAPEX'!$I$10+'ENG_CAPEX'!$I$31)</f>
        <v/>
      </c>
      <c r="J48" s="33">
        <f>'ENG_CAPEX'!$I$48+('ENG_CAPEX'!$J$10+'ENG_CAPEX'!$J$31)</f>
        <v/>
      </c>
      <c r="K48" s="33">
        <f>'ENG_CAPEX'!$J$48+('ENG_CAPEX'!$K$10+'ENG_CAPEX'!$K$31)</f>
        <v/>
      </c>
      <c r="L48" s="33">
        <f>'ENG_CAPEX'!$K$48+('ENG_CAPEX'!$L$10+'ENG_CAPEX'!$L$31)</f>
        <v/>
      </c>
      <c r="M48" s="33">
        <f>'ENG_CAPEX'!$L$48+('ENG_CAPEX'!$M$10+'ENG_CAPEX'!$M$31)</f>
        <v/>
      </c>
      <c r="N48" s="33">
        <f>'ENG_CAPEX'!$M$48+('ENG_CAPEX'!$N$10+'ENG_CAPEX'!$N$31)</f>
        <v/>
      </c>
      <c r="O48" s="33">
        <f>'ENG_CAPEX'!$N$48+('ENG_CAPEX'!$O$10+'ENG_CAPEX'!$O$31)</f>
        <v/>
      </c>
      <c r="P48" s="33">
        <f>'ENG_CAPEX'!$O$48+('ENG_CAPEX'!$P$10+'ENG_CAPEX'!$P$31)</f>
        <v/>
      </c>
    </row>
    <row r="49">
      <c r="A49" s="15" t="inlineStr">
        <is>
          <t>ناخالص طبقهٔ محوطه‌سازی و ساختمان</t>
        </is>
      </c>
      <c r="B49" s="16" t="inlineStr">
        <is>
          <t>CAPEX.grossc.1</t>
        </is>
      </c>
      <c r="C49" s="17" t="inlineStr">
        <is>
          <t>میلیون ریال</t>
        </is>
      </c>
      <c r="D49" s="33">
        <f>('ENG_CAPEX'!$D$11+'ENG_CAPEX'!$D$32)</f>
        <v/>
      </c>
      <c r="E49" s="33">
        <f>'ENG_CAPEX'!$D$49+('ENG_CAPEX'!$E$11+'ENG_CAPEX'!$E$32)</f>
        <v/>
      </c>
      <c r="F49" s="33">
        <f>'ENG_CAPEX'!$E$49+('ENG_CAPEX'!$F$11+'ENG_CAPEX'!$F$32)</f>
        <v/>
      </c>
      <c r="G49" s="33">
        <f>'ENG_CAPEX'!$F$49+('ENG_CAPEX'!$G$11+'ENG_CAPEX'!$G$32)</f>
        <v/>
      </c>
      <c r="H49" s="33">
        <f>'ENG_CAPEX'!$G$49+('ENG_CAPEX'!$H$11+'ENG_CAPEX'!$H$32)</f>
        <v/>
      </c>
      <c r="I49" s="33">
        <f>'ENG_CAPEX'!$H$49+('ENG_CAPEX'!$I$11+'ENG_CAPEX'!$I$32)</f>
        <v/>
      </c>
      <c r="J49" s="33">
        <f>'ENG_CAPEX'!$I$49+('ENG_CAPEX'!$J$11+'ENG_CAPEX'!$J$32)</f>
        <v/>
      </c>
      <c r="K49" s="33">
        <f>'ENG_CAPEX'!$J$49+('ENG_CAPEX'!$K$11+'ENG_CAPEX'!$K$32)</f>
        <v/>
      </c>
      <c r="L49" s="33">
        <f>'ENG_CAPEX'!$K$49+('ENG_CAPEX'!$L$11+'ENG_CAPEX'!$L$32)</f>
        <v/>
      </c>
      <c r="M49" s="33">
        <f>'ENG_CAPEX'!$L$49+('ENG_CAPEX'!$M$11+'ENG_CAPEX'!$M$32)</f>
        <v/>
      </c>
      <c r="N49" s="33">
        <f>'ENG_CAPEX'!$M$49+('ENG_CAPEX'!$N$11+'ENG_CAPEX'!$N$32)</f>
        <v/>
      </c>
      <c r="O49" s="33">
        <f>'ENG_CAPEX'!$N$49+('ENG_CAPEX'!$O$11+'ENG_CAPEX'!$O$32)</f>
        <v/>
      </c>
      <c r="P49" s="33">
        <f>'ENG_CAPEX'!$O$49+('ENG_CAPEX'!$P$11+'ENG_CAPEX'!$P$32)</f>
        <v/>
      </c>
    </row>
    <row r="50">
      <c r="A50" s="15" t="inlineStr">
        <is>
          <t>ناخالص طبقهٔ ماشین‌آلات وارداتی</t>
        </is>
      </c>
      <c r="B50" s="16" t="inlineStr">
        <is>
          <t>CAPEX.grossc.2</t>
        </is>
      </c>
      <c r="C50" s="17" t="inlineStr">
        <is>
          <t>میلیون ریال</t>
        </is>
      </c>
      <c r="D50" s="33">
        <f>('ENG_CAPEX'!$D$12+'ENG_CAPEX'!$D$33)</f>
        <v/>
      </c>
      <c r="E50" s="33">
        <f>'ENG_CAPEX'!$D$50+('ENG_CAPEX'!$E$12+'ENG_CAPEX'!$E$33)</f>
        <v/>
      </c>
      <c r="F50" s="33">
        <f>'ENG_CAPEX'!$E$50+('ENG_CAPEX'!$F$12+'ENG_CAPEX'!$F$33)</f>
        <v/>
      </c>
      <c r="G50" s="33">
        <f>'ENG_CAPEX'!$F$50+('ENG_CAPEX'!$G$12+'ENG_CAPEX'!$G$33)</f>
        <v/>
      </c>
      <c r="H50" s="33">
        <f>'ENG_CAPEX'!$G$50+('ENG_CAPEX'!$H$12+'ENG_CAPEX'!$H$33)</f>
        <v/>
      </c>
      <c r="I50" s="33">
        <f>'ENG_CAPEX'!$H$50+('ENG_CAPEX'!$I$12+'ENG_CAPEX'!$I$33)</f>
        <v/>
      </c>
      <c r="J50" s="33">
        <f>'ENG_CAPEX'!$I$50+('ENG_CAPEX'!$J$12+'ENG_CAPEX'!$J$33)</f>
        <v/>
      </c>
      <c r="K50" s="33">
        <f>'ENG_CAPEX'!$J$50+('ENG_CAPEX'!$K$12+'ENG_CAPEX'!$K$33)</f>
        <v/>
      </c>
      <c r="L50" s="33">
        <f>'ENG_CAPEX'!$K$50+('ENG_CAPEX'!$L$12+'ENG_CAPEX'!$L$33)</f>
        <v/>
      </c>
      <c r="M50" s="33">
        <f>'ENG_CAPEX'!$L$50+('ENG_CAPEX'!$M$12+'ENG_CAPEX'!$M$33)</f>
        <v/>
      </c>
      <c r="N50" s="33">
        <f>'ENG_CAPEX'!$M$50+('ENG_CAPEX'!$N$12+'ENG_CAPEX'!$N$33)</f>
        <v/>
      </c>
      <c r="O50" s="33">
        <f>'ENG_CAPEX'!$N$50+('ENG_CAPEX'!$O$12+'ENG_CAPEX'!$O$33)</f>
        <v/>
      </c>
      <c r="P50" s="33">
        <f>'ENG_CAPEX'!$O$50+('ENG_CAPEX'!$P$12+'ENG_CAPEX'!$P$33)</f>
        <v/>
      </c>
    </row>
    <row r="51">
      <c r="A51" s="15" t="inlineStr">
        <is>
          <t>ناخالص طبقهٔ ماشین‌آلات داخلی</t>
        </is>
      </c>
      <c r="B51" s="16" t="inlineStr">
        <is>
          <t>CAPEX.grossc.3</t>
        </is>
      </c>
      <c r="C51" s="17" t="inlineStr">
        <is>
          <t>میلیون ریال</t>
        </is>
      </c>
      <c r="D51" s="33">
        <f>('ENG_CAPEX'!$D$13+'ENG_CAPEX'!$D$34)</f>
        <v/>
      </c>
      <c r="E51" s="33">
        <f>'ENG_CAPEX'!$D$51+('ENG_CAPEX'!$E$13+'ENG_CAPEX'!$E$34)</f>
        <v/>
      </c>
      <c r="F51" s="33">
        <f>'ENG_CAPEX'!$E$51+('ENG_CAPEX'!$F$13+'ENG_CAPEX'!$F$34)</f>
        <v/>
      </c>
      <c r="G51" s="33">
        <f>'ENG_CAPEX'!$F$51+('ENG_CAPEX'!$G$13+'ENG_CAPEX'!$G$34)</f>
        <v/>
      </c>
      <c r="H51" s="33">
        <f>'ENG_CAPEX'!$G$51+('ENG_CAPEX'!$H$13+'ENG_CAPEX'!$H$34)</f>
        <v/>
      </c>
      <c r="I51" s="33">
        <f>'ENG_CAPEX'!$H$51+('ENG_CAPEX'!$I$13+'ENG_CAPEX'!$I$34)</f>
        <v/>
      </c>
      <c r="J51" s="33">
        <f>'ENG_CAPEX'!$I$51+('ENG_CAPEX'!$J$13+'ENG_CAPEX'!$J$34)</f>
        <v/>
      </c>
      <c r="K51" s="33">
        <f>'ENG_CAPEX'!$J$51+('ENG_CAPEX'!$K$13+'ENG_CAPEX'!$K$34)</f>
        <v/>
      </c>
      <c r="L51" s="33">
        <f>'ENG_CAPEX'!$K$51+('ENG_CAPEX'!$L$13+'ENG_CAPEX'!$L$34)</f>
        <v/>
      </c>
      <c r="M51" s="33">
        <f>'ENG_CAPEX'!$L$51+('ENG_CAPEX'!$M$13+'ENG_CAPEX'!$M$34)</f>
        <v/>
      </c>
      <c r="N51" s="33">
        <f>'ENG_CAPEX'!$M$51+('ENG_CAPEX'!$N$13+'ENG_CAPEX'!$N$34)</f>
        <v/>
      </c>
      <c r="O51" s="33">
        <f>'ENG_CAPEX'!$N$51+('ENG_CAPEX'!$O$13+'ENG_CAPEX'!$O$34)</f>
        <v/>
      </c>
      <c r="P51" s="33">
        <f>'ENG_CAPEX'!$O$51+('ENG_CAPEX'!$P$13+'ENG_CAPEX'!$P$34)</f>
        <v/>
      </c>
    </row>
    <row r="52">
      <c r="A52" s="15" t="inlineStr">
        <is>
          <t>ناخالص طبقهٔ تأسیسات و تجهیزات جانبی</t>
        </is>
      </c>
      <c r="B52" s="16" t="inlineStr">
        <is>
          <t>CAPEX.grossc.4</t>
        </is>
      </c>
      <c r="C52" s="17" t="inlineStr">
        <is>
          <t>میلیون ریال</t>
        </is>
      </c>
      <c r="D52" s="33">
        <f>('ENG_CAPEX'!$D$14+'ENG_CAPEX'!$D$35)</f>
        <v/>
      </c>
      <c r="E52" s="33">
        <f>'ENG_CAPEX'!$D$52+('ENG_CAPEX'!$E$14+'ENG_CAPEX'!$E$35)</f>
        <v/>
      </c>
      <c r="F52" s="33">
        <f>'ENG_CAPEX'!$E$52+('ENG_CAPEX'!$F$14+'ENG_CAPEX'!$F$35)</f>
        <v/>
      </c>
      <c r="G52" s="33">
        <f>'ENG_CAPEX'!$F$52+('ENG_CAPEX'!$G$14+'ENG_CAPEX'!$G$35)</f>
        <v/>
      </c>
      <c r="H52" s="33">
        <f>'ENG_CAPEX'!$G$52+('ENG_CAPEX'!$H$14+'ENG_CAPEX'!$H$35)</f>
        <v/>
      </c>
      <c r="I52" s="33">
        <f>'ENG_CAPEX'!$H$52+('ENG_CAPEX'!$I$14+'ENG_CAPEX'!$I$35)</f>
        <v/>
      </c>
      <c r="J52" s="33">
        <f>'ENG_CAPEX'!$I$52+('ENG_CAPEX'!$J$14+'ENG_CAPEX'!$J$35)</f>
        <v/>
      </c>
      <c r="K52" s="33">
        <f>'ENG_CAPEX'!$J$52+('ENG_CAPEX'!$K$14+'ENG_CAPEX'!$K$35)</f>
        <v/>
      </c>
      <c r="L52" s="33">
        <f>'ENG_CAPEX'!$K$52+('ENG_CAPEX'!$L$14+'ENG_CAPEX'!$L$35)</f>
        <v/>
      </c>
      <c r="M52" s="33">
        <f>'ENG_CAPEX'!$L$52+('ENG_CAPEX'!$M$14+'ENG_CAPEX'!$M$35)</f>
        <v/>
      </c>
      <c r="N52" s="33">
        <f>'ENG_CAPEX'!$M$52+('ENG_CAPEX'!$N$14+'ENG_CAPEX'!$N$35)</f>
        <v/>
      </c>
      <c r="O52" s="33">
        <f>'ENG_CAPEX'!$N$52+('ENG_CAPEX'!$O$14+'ENG_CAPEX'!$O$35)</f>
        <v/>
      </c>
      <c r="P52" s="33">
        <f>'ENG_CAPEX'!$O$52+('ENG_CAPEX'!$P$14+'ENG_CAPEX'!$P$35)</f>
        <v/>
      </c>
    </row>
    <row r="53">
      <c r="A53" s="15" t="inlineStr">
        <is>
          <t>ناخالص طبقهٔ تصفیه‌خانه و تجهیزات زیست‌محیطی</t>
        </is>
      </c>
      <c r="B53" s="16" t="inlineStr">
        <is>
          <t>CAPEX.grossc.5</t>
        </is>
      </c>
      <c r="C53" s="17" t="inlineStr">
        <is>
          <t>میلیون ریال</t>
        </is>
      </c>
      <c r="D53" s="33">
        <f>('ENG_CAPEX'!$D$15+'ENG_CAPEX'!$D$36)</f>
        <v/>
      </c>
      <c r="E53" s="33">
        <f>'ENG_CAPEX'!$D$53+('ENG_CAPEX'!$E$15+'ENG_CAPEX'!$E$36)</f>
        <v/>
      </c>
      <c r="F53" s="33">
        <f>'ENG_CAPEX'!$E$53+('ENG_CAPEX'!$F$15+'ENG_CAPEX'!$F$36)</f>
        <v/>
      </c>
      <c r="G53" s="33">
        <f>'ENG_CAPEX'!$F$53+('ENG_CAPEX'!$G$15+'ENG_CAPEX'!$G$36)</f>
        <v/>
      </c>
      <c r="H53" s="33">
        <f>'ENG_CAPEX'!$G$53+('ENG_CAPEX'!$H$15+'ENG_CAPEX'!$H$36)</f>
        <v/>
      </c>
      <c r="I53" s="33">
        <f>'ENG_CAPEX'!$H$53+('ENG_CAPEX'!$I$15+'ENG_CAPEX'!$I$36)</f>
        <v/>
      </c>
      <c r="J53" s="33">
        <f>'ENG_CAPEX'!$I$53+('ENG_CAPEX'!$J$15+'ENG_CAPEX'!$J$36)</f>
        <v/>
      </c>
      <c r="K53" s="33">
        <f>'ENG_CAPEX'!$J$53+('ENG_CAPEX'!$K$15+'ENG_CAPEX'!$K$36)</f>
        <v/>
      </c>
      <c r="L53" s="33">
        <f>'ENG_CAPEX'!$K$53+('ENG_CAPEX'!$L$15+'ENG_CAPEX'!$L$36)</f>
        <v/>
      </c>
      <c r="M53" s="33">
        <f>'ENG_CAPEX'!$L$53+('ENG_CAPEX'!$M$15+'ENG_CAPEX'!$M$36)</f>
        <v/>
      </c>
      <c r="N53" s="33">
        <f>'ENG_CAPEX'!$M$53+('ENG_CAPEX'!$N$15+'ENG_CAPEX'!$N$36)</f>
        <v/>
      </c>
      <c r="O53" s="33">
        <f>'ENG_CAPEX'!$N$53+('ENG_CAPEX'!$O$15+'ENG_CAPEX'!$O$36)</f>
        <v/>
      </c>
      <c r="P53" s="33">
        <f>'ENG_CAPEX'!$O$53+('ENG_CAPEX'!$P$15+'ENG_CAPEX'!$P$36)</f>
        <v/>
      </c>
    </row>
    <row r="54">
      <c r="A54" s="15" t="inlineStr">
        <is>
          <t>ناخالص طبقهٔ تجهیزات حمل‌ونقل داخلی</t>
        </is>
      </c>
      <c r="B54" s="16" t="inlineStr">
        <is>
          <t>CAPEX.grossc.6</t>
        </is>
      </c>
      <c r="C54" s="17" t="inlineStr">
        <is>
          <t>میلیون ریال</t>
        </is>
      </c>
      <c r="D54" s="33">
        <f>('ENG_CAPEX'!$D$16+'ENG_CAPEX'!$D$37)</f>
        <v/>
      </c>
      <c r="E54" s="33">
        <f>'ENG_CAPEX'!$D$54+('ENG_CAPEX'!$E$16+'ENG_CAPEX'!$E$37)</f>
        <v/>
      </c>
      <c r="F54" s="33">
        <f>'ENG_CAPEX'!$E$54+('ENG_CAPEX'!$F$16+'ENG_CAPEX'!$F$37)</f>
        <v/>
      </c>
      <c r="G54" s="33">
        <f>'ENG_CAPEX'!$F$54+('ENG_CAPEX'!$G$16+'ENG_CAPEX'!$G$37)</f>
        <v/>
      </c>
      <c r="H54" s="33">
        <f>'ENG_CAPEX'!$G$54+('ENG_CAPEX'!$H$16+'ENG_CAPEX'!$H$37)</f>
        <v/>
      </c>
      <c r="I54" s="33">
        <f>'ENG_CAPEX'!$H$54+('ENG_CAPEX'!$I$16+'ENG_CAPEX'!$I$37)</f>
        <v/>
      </c>
      <c r="J54" s="33">
        <f>'ENG_CAPEX'!$I$54+('ENG_CAPEX'!$J$16+'ENG_CAPEX'!$J$37)</f>
        <v/>
      </c>
      <c r="K54" s="33">
        <f>'ENG_CAPEX'!$J$54+('ENG_CAPEX'!$K$16+'ENG_CAPEX'!$K$37)</f>
        <v/>
      </c>
      <c r="L54" s="33">
        <f>'ENG_CAPEX'!$K$54+('ENG_CAPEX'!$L$16+'ENG_CAPEX'!$L$37)</f>
        <v/>
      </c>
      <c r="M54" s="33">
        <f>'ENG_CAPEX'!$L$54+('ENG_CAPEX'!$M$16+'ENG_CAPEX'!$M$37)</f>
        <v/>
      </c>
      <c r="N54" s="33">
        <f>'ENG_CAPEX'!$M$54+('ENG_CAPEX'!$N$16+'ENG_CAPEX'!$N$37)</f>
        <v/>
      </c>
      <c r="O54" s="33">
        <f>'ENG_CAPEX'!$N$54+('ENG_CAPEX'!$O$16+'ENG_CAPEX'!$O$37)</f>
        <v/>
      </c>
      <c r="P54" s="33">
        <f>'ENG_CAPEX'!$O$54+('ENG_CAPEX'!$P$16+'ENG_CAPEX'!$P$37)</f>
        <v/>
      </c>
    </row>
    <row r="55">
      <c r="A55" s="15" t="inlineStr">
        <is>
          <t>ناخالص طبقهٔ آزمایشگاه و ابزار دقیق</t>
        </is>
      </c>
      <c r="B55" s="16" t="inlineStr">
        <is>
          <t>CAPEX.grossc.7</t>
        </is>
      </c>
      <c r="C55" s="17" t="inlineStr">
        <is>
          <t>میلیون ریال</t>
        </is>
      </c>
      <c r="D55" s="33">
        <f>('ENG_CAPEX'!$D$17+'ENG_CAPEX'!$D$38)</f>
        <v/>
      </c>
      <c r="E55" s="33">
        <f>'ENG_CAPEX'!$D$55+('ENG_CAPEX'!$E$17+'ENG_CAPEX'!$E$38)</f>
        <v/>
      </c>
      <c r="F55" s="33">
        <f>'ENG_CAPEX'!$E$55+('ENG_CAPEX'!$F$17+'ENG_CAPEX'!$F$38)</f>
        <v/>
      </c>
      <c r="G55" s="33">
        <f>'ENG_CAPEX'!$F$55+('ENG_CAPEX'!$G$17+'ENG_CAPEX'!$G$38)</f>
        <v/>
      </c>
      <c r="H55" s="33">
        <f>'ENG_CAPEX'!$G$55+('ENG_CAPEX'!$H$17+'ENG_CAPEX'!$H$38)</f>
        <v/>
      </c>
      <c r="I55" s="33">
        <f>'ENG_CAPEX'!$H$55+('ENG_CAPEX'!$I$17+'ENG_CAPEX'!$I$38)</f>
        <v/>
      </c>
      <c r="J55" s="33">
        <f>'ENG_CAPEX'!$I$55+('ENG_CAPEX'!$J$17+'ENG_CAPEX'!$J$38)</f>
        <v/>
      </c>
      <c r="K55" s="33">
        <f>'ENG_CAPEX'!$J$55+('ENG_CAPEX'!$K$17+'ENG_CAPEX'!$K$38)</f>
        <v/>
      </c>
      <c r="L55" s="33">
        <f>'ENG_CAPEX'!$K$55+('ENG_CAPEX'!$L$17+'ENG_CAPEX'!$L$38)</f>
        <v/>
      </c>
      <c r="M55" s="33">
        <f>'ENG_CAPEX'!$L$55+('ENG_CAPEX'!$M$17+'ENG_CAPEX'!$M$38)</f>
        <v/>
      </c>
      <c r="N55" s="33">
        <f>'ENG_CAPEX'!$M$55+('ENG_CAPEX'!$N$17+'ENG_CAPEX'!$N$38)</f>
        <v/>
      </c>
      <c r="O55" s="33">
        <f>'ENG_CAPEX'!$N$55+('ENG_CAPEX'!$O$17+'ENG_CAPEX'!$O$38)</f>
        <v/>
      </c>
      <c r="P55" s="33">
        <f>'ENG_CAPEX'!$O$55+('ENG_CAPEX'!$P$17+'ENG_CAPEX'!$P$38)</f>
        <v/>
      </c>
    </row>
    <row r="56">
      <c r="A56" s="15" t="inlineStr">
        <is>
          <t>ناخالص طبقهٔ مهندسی، نصب و راه‌اندازی</t>
        </is>
      </c>
      <c r="B56" s="16" t="inlineStr">
        <is>
          <t>CAPEX.grossc.8</t>
        </is>
      </c>
      <c r="C56" s="17" t="inlineStr">
        <is>
          <t>میلیون ریال</t>
        </is>
      </c>
      <c r="D56" s="33">
        <f>('ENG_CAPEX'!$D$18+'ENG_CAPEX'!$D$39)</f>
        <v/>
      </c>
      <c r="E56" s="33">
        <f>'ENG_CAPEX'!$D$56+('ENG_CAPEX'!$E$18+'ENG_CAPEX'!$E$39)</f>
        <v/>
      </c>
      <c r="F56" s="33">
        <f>'ENG_CAPEX'!$E$56+('ENG_CAPEX'!$F$18+'ENG_CAPEX'!$F$39)</f>
        <v/>
      </c>
      <c r="G56" s="33">
        <f>'ENG_CAPEX'!$F$56+('ENG_CAPEX'!$G$18+'ENG_CAPEX'!$G$39)</f>
        <v/>
      </c>
      <c r="H56" s="33">
        <f>'ENG_CAPEX'!$G$56+('ENG_CAPEX'!$H$18+'ENG_CAPEX'!$H$39)</f>
        <v/>
      </c>
      <c r="I56" s="33">
        <f>'ENG_CAPEX'!$H$56+('ENG_CAPEX'!$I$18+'ENG_CAPEX'!$I$39)</f>
        <v/>
      </c>
      <c r="J56" s="33">
        <f>'ENG_CAPEX'!$I$56+('ENG_CAPEX'!$J$18+'ENG_CAPEX'!$J$39)</f>
        <v/>
      </c>
      <c r="K56" s="33">
        <f>'ENG_CAPEX'!$J$56+('ENG_CAPEX'!$K$18+'ENG_CAPEX'!$K$39)</f>
        <v/>
      </c>
      <c r="L56" s="33">
        <f>'ENG_CAPEX'!$K$56+('ENG_CAPEX'!$L$18+'ENG_CAPEX'!$L$39)</f>
        <v/>
      </c>
      <c r="M56" s="33">
        <f>'ENG_CAPEX'!$L$56+('ENG_CAPEX'!$M$18+'ENG_CAPEX'!$M$39)</f>
        <v/>
      </c>
      <c r="N56" s="33">
        <f>'ENG_CAPEX'!$M$56+('ENG_CAPEX'!$N$18+'ENG_CAPEX'!$N$39)</f>
        <v/>
      </c>
      <c r="O56" s="33">
        <f>'ENG_CAPEX'!$N$56+('ENG_CAPEX'!$O$18+'ENG_CAPEX'!$O$39)</f>
        <v/>
      </c>
      <c r="P56" s="33">
        <f>'ENG_CAPEX'!$O$56+('ENG_CAPEX'!$P$18+'ENG_CAPEX'!$P$39)</f>
        <v/>
      </c>
    </row>
    <row r="57">
      <c r="A57" s="15" t="inlineStr">
        <is>
          <t>ناخالص طبقهٔ هزینه‌های پیش از بهره‌برداری</t>
        </is>
      </c>
      <c r="B57" s="16" t="inlineStr">
        <is>
          <t>CAPEX.grossc.9</t>
        </is>
      </c>
      <c r="C57" s="17" t="inlineStr">
        <is>
          <t>میلیون ریال</t>
        </is>
      </c>
      <c r="D57" s="33">
        <f>('ENG_CAPEX'!$D$19+'ENG_CAPEX'!$D$40)</f>
        <v/>
      </c>
      <c r="E57" s="33">
        <f>'ENG_CAPEX'!$D$57+('ENG_CAPEX'!$E$19+'ENG_CAPEX'!$E$40)</f>
        <v/>
      </c>
      <c r="F57" s="33">
        <f>'ENG_CAPEX'!$E$57+('ENG_CAPEX'!$F$19+'ENG_CAPEX'!$F$40)</f>
        <v/>
      </c>
      <c r="G57" s="33">
        <f>'ENG_CAPEX'!$F$57+('ENG_CAPEX'!$G$19+'ENG_CAPEX'!$G$40)</f>
        <v/>
      </c>
      <c r="H57" s="33">
        <f>'ENG_CAPEX'!$G$57+('ENG_CAPEX'!$H$19+'ENG_CAPEX'!$H$40)</f>
        <v/>
      </c>
      <c r="I57" s="33">
        <f>'ENG_CAPEX'!$H$57+('ENG_CAPEX'!$I$19+'ENG_CAPEX'!$I$40)</f>
        <v/>
      </c>
      <c r="J57" s="33">
        <f>'ENG_CAPEX'!$I$57+('ENG_CAPEX'!$J$19+'ENG_CAPEX'!$J$40)</f>
        <v/>
      </c>
      <c r="K57" s="33">
        <f>'ENG_CAPEX'!$J$57+('ENG_CAPEX'!$K$19+'ENG_CAPEX'!$K$40)</f>
        <v/>
      </c>
      <c r="L57" s="33">
        <f>'ENG_CAPEX'!$K$57+('ENG_CAPEX'!$L$19+'ENG_CAPEX'!$L$40)</f>
        <v/>
      </c>
      <c r="M57" s="33">
        <f>'ENG_CAPEX'!$L$57+('ENG_CAPEX'!$M$19+'ENG_CAPEX'!$M$40)</f>
        <v/>
      </c>
      <c r="N57" s="33">
        <f>'ENG_CAPEX'!$M$57+('ENG_CAPEX'!$N$19+'ENG_CAPEX'!$N$40)</f>
        <v/>
      </c>
      <c r="O57" s="33">
        <f>'ENG_CAPEX'!$N$57+('ENG_CAPEX'!$O$19+'ENG_CAPEX'!$O$40)</f>
        <v/>
      </c>
      <c r="P57" s="33">
        <f>'ENG_CAPEX'!$O$57+('ENG_CAPEX'!$P$19+'ENG_CAPEX'!$P$40)</f>
        <v/>
      </c>
    </row>
    <row r="58">
      <c r="A58" s="15" t="inlineStr">
        <is>
          <t>ناخالص طبقهٔ ذخیره احتیاطی فیزیکی</t>
        </is>
      </c>
      <c r="B58" s="16" t="inlineStr">
        <is>
          <t>CAPEX.grossc.10</t>
        </is>
      </c>
      <c r="C58" s="17" t="inlineStr">
        <is>
          <t>میلیون ریال</t>
        </is>
      </c>
      <c r="D58" s="33">
        <f>('ENG_CAPEX'!$D$20+'ENG_CAPEX'!$D$41)</f>
        <v/>
      </c>
      <c r="E58" s="33">
        <f>'ENG_CAPEX'!$D$58+('ENG_CAPEX'!$E$20+'ENG_CAPEX'!$E$41)</f>
        <v/>
      </c>
      <c r="F58" s="33">
        <f>'ENG_CAPEX'!$E$58+('ENG_CAPEX'!$F$20+'ENG_CAPEX'!$F$41)</f>
        <v/>
      </c>
      <c r="G58" s="33">
        <f>'ENG_CAPEX'!$F$58+('ENG_CAPEX'!$G$20+'ENG_CAPEX'!$G$41)</f>
        <v/>
      </c>
      <c r="H58" s="33">
        <f>'ENG_CAPEX'!$G$58+('ENG_CAPEX'!$H$20+'ENG_CAPEX'!$H$41)</f>
        <v/>
      </c>
      <c r="I58" s="33">
        <f>'ENG_CAPEX'!$H$58+('ENG_CAPEX'!$I$20+'ENG_CAPEX'!$I$41)</f>
        <v/>
      </c>
      <c r="J58" s="33">
        <f>'ENG_CAPEX'!$I$58+('ENG_CAPEX'!$J$20+'ENG_CAPEX'!$J$41)</f>
        <v/>
      </c>
      <c r="K58" s="33">
        <f>'ENG_CAPEX'!$J$58+('ENG_CAPEX'!$K$20+'ENG_CAPEX'!$K$41)</f>
        <v/>
      </c>
      <c r="L58" s="33">
        <f>'ENG_CAPEX'!$K$58+('ENG_CAPEX'!$L$20+'ENG_CAPEX'!$L$41)</f>
        <v/>
      </c>
      <c r="M58" s="33">
        <f>'ENG_CAPEX'!$L$58+('ENG_CAPEX'!$M$20+'ENG_CAPEX'!$M$41)</f>
        <v/>
      </c>
      <c r="N58" s="33">
        <f>'ENG_CAPEX'!$M$58+('ENG_CAPEX'!$N$20+'ENG_CAPEX'!$N$41)</f>
        <v/>
      </c>
      <c r="O58" s="33">
        <f>'ENG_CAPEX'!$N$58+('ENG_CAPEX'!$O$20+'ENG_CAPEX'!$O$41)</f>
        <v/>
      </c>
      <c r="P58" s="33">
        <f>'ENG_CAPEX'!$O$58+('ENG_CAPEX'!$P$20+'ENG_CAPEX'!$P$41)</f>
        <v/>
      </c>
    </row>
    <row r="59">
      <c r="A59" s="15" t="inlineStr">
        <is>
          <t>استهلاک زمین</t>
        </is>
      </c>
      <c r="B59" s="16" t="inlineStr">
        <is>
          <t>CAPEX.dep.0</t>
        </is>
      </c>
      <c r="C59" s="17" t="inlineStr">
        <is>
          <t>میلیون ریال</t>
        </is>
      </c>
      <c r="D59" s="33">
        <f>IF('IN_FIN'!$F$9&lt;=0,0,MAX(0,MIN('ENG_CAPEX'!$D$48/'IN_FIN'!$F$9,'ENG_CAPEX'!$D$48-0)))</f>
        <v/>
      </c>
      <c r="E59" s="33">
        <f>IF('IN_FIN'!$F$9&lt;=0,0,MAX(0,MIN('ENG_CAPEX'!$E$48/'IN_FIN'!$F$9,'ENG_CAPEX'!$E$48-'ENG_CAPEX'!$D$70)))</f>
        <v/>
      </c>
      <c r="F59" s="33">
        <f>IF('IN_FIN'!$F$9&lt;=0,0,MAX(0,MIN('ENG_CAPEX'!$F$48/'IN_FIN'!$F$9,'ENG_CAPEX'!$F$48-'ENG_CAPEX'!$E$70)))</f>
        <v/>
      </c>
      <c r="G59" s="33">
        <f>IF('IN_FIN'!$F$9&lt;=0,0,MAX(0,MIN('ENG_CAPEX'!$G$48/'IN_FIN'!$F$9,'ENG_CAPEX'!$G$48-'ENG_CAPEX'!$F$70)))</f>
        <v/>
      </c>
      <c r="H59" s="33">
        <f>IF('IN_FIN'!$F$9&lt;=0,0,MAX(0,MIN('ENG_CAPEX'!$H$48/'IN_FIN'!$F$9,'ENG_CAPEX'!$H$48-'ENG_CAPEX'!$G$70)))</f>
        <v/>
      </c>
      <c r="I59" s="33">
        <f>IF('IN_FIN'!$F$9&lt;=0,0,MAX(0,MIN('ENG_CAPEX'!$I$48/'IN_FIN'!$F$9,'ENG_CAPEX'!$I$48-'ENG_CAPEX'!$H$70)))</f>
        <v/>
      </c>
      <c r="J59" s="33">
        <f>IF('IN_FIN'!$F$9&lt;=0,0,MAX(0,MIN('ENG_CAPEX'!$J$48/'IN_FIN'!$F$9,'ENG_CAPEX'!$J$48-'ENG_CAPEX'!$I$70)))</f>
        <v/>
      </c>
      <c r="K59" s="33">
        <f>IF('IN_FIN'!$F$9&lt;=0,0,MAX(0,MIN('ENG_CAPEX'!$K$48/'IN_FIN'!$F$9,'ENG_CAPEX'!$K$48-'ENG_CAPEX'!$J$70)))</f>
        <v/>
      </c>
      <c r="L59" s="33">
        <f>IF('IN_FIN'!$F$9&lt;=0,0,MAX(0,MIN('ENG_CAPEX'!$L$48/'IN_FIN'!$F$9,'ENG_CAPEX'!$L$48-'ENG_CAPEX'!$K$70)))</f>
        <v/>
      </c>
      <c r="M59" s="33">
        <f>IF('IN_FIN'!$F$9&lt;=0,0,MAX(0,MIN('ENG_CAPEX'!$M$48/'IN_FIN'!$F$9,'ENG_CAPEX'!$M$48-'ENG_CAPEX'!$L$70)))</f>
        <v/>
      </c>
      <c r="N59" s="33">
        <f>IF('IN_FIN'!$F$9&lt;=0,0,MAX(0,MIN('ENG_CAPEX'!$N$48/'IN_FIN'!$F$9,'ENG_CAPEX'!$N$48-'ENG_CAPEX'!$M$70)))</f>
        <v/>
      </c>
      <c r="O59" s="33">
        <f>IF('IN_FIN'!$F$9&lt;=0,0,MAX(0,MIN('ENG_CAPEX'!$O$48/'IN_FIN'!$F$9,'ENG_CAPEX'!$O$48-'ENG_CAPEX'!$N$70)))</f>
        <v/>
      </c>
      <c r="P59" s="33">
        <f>IF('IN_FIN'!$F$9&lt;=0,0,MAX(0,MIN('ENG_CAPEX'!$P$48/'IN_FIN'!$F$9,'ENG_CAPEX'!$P$48-'ENG_CAPEX'!$O$70)))</f>
        <v/>
      </c>
    </row>
    <row r="60">
      <c r="A60" s="15" t="inlineStr">
        <is>
          <t>استهلاک محوطه‌سازی و ساختمان</t>
        </is>
      </c>
      <c r="B60" s="16" t="inlineStr">
        <is>
          <t>CAPEX.dep.1</t>
        </is>
      </c>
      <c r="C60" s="17" t="inlineStr">
        <is>
          <t>میلیون ریال</t>
        </is>
      </c>
      <c r="D60" s="33">
        <f>IF('IN_FIN'!$F$10&lt;=0,0,MAX(0,MIN('ENG_CAPEX'!$D$49/'IN_FIN'!$F$10,'ENG_CAPEX'!$D$49-0)))</f>
        <v/>
      </c>
      <c r="E60" s="33">
        <f>IF('IN_FIN'!$F$10&lt;=0,0,MAX(0,MIN('ENG_CAPEX'!$E$49/'IN_FIN'!$F$10,'ENG_CAPEX'!$E$49-'ENG_CAPEX'!$D$71)))</f>
        <v/>
      </c>
      <c r="F60" s="33">
        <f>IF('IN_FIN'!$F$10&lt;=0,0,MAX(0,MIN('ENG_CAPEX'!$F$49/'IN_FIN'!$F$10,'ENG_CAPEX'!$F$49-'ENG_CAPEX'!$E$71)))</f>
        <v/>
      </c>
      <c r="G60" s="33">
        <f>IF('IN_FIN'!$F$10&lt;=0,0,MAX(0,MIN('ENG_CAPEX'!$G$49/'IN_FIN'!$F$10,'ENG_CAPEX'!$G$49-'ENG_CAPEX'!$F$71)))</f>
        <v/>
      </c>
      <c r="H60" s="33">
        <f>IF('IN_FIN'!$F$10&lt;=0,0,MAX(0,MIN('ENG_CAPEX'!$H$49/'IN_FIN'!$F$10,'ENG_CAPEX'!$H$49-'ENG_CAPEX'!$G$71)))</f>
        <v/>
      </c>
      <c r="I60" s="33">
        <f>IF('IN_FIN'!$F$10&lt;=0,0,MAX(0,MIN('ENG_CAPEX'!$I$49/'IN_FIN'!$F$10,'ENG_CAPEX'!$I$49-'ENG_CAPEX'!$H$71)))</f>
        <v/>
      </c>
      <c r="J60" s="33">
        <f>IF('IN_FIN'!$F$10&lt;=0,0,MAX(0,MIN('ENG_CAPEX'!$J$49/'IN_FIN'!$F$10,'ENG_CAPEX'!$J$49-'ENG_CAPEX'!$I$71)))</f>
        <v/>
      </c>
      <c r="K60" s="33">
        <f>IF('IN_FIN'!$F$10&lt;=0,0,MAX(0,MIN('ENG_CAPEX'!$K$49/'IN_FIN'!$F$10,'ENG_CAPEX'!$K$49-'ENG_CAPEX'!$J$71)))</f>
        <v/>
      </c>
      <c r="L60" s="33">
        <f>IF('IN_FIN'!$F$10&lt;=0,0,MAX(0,MIN('ENG_CAPEX'!$L$49/'IN_FIN'!$F$10,'ENG_CAPEX'!$L$49-'ENG_CAPEX'!$K$71)))</f>
        <v/>
      </c>
      <c r="M60" s="33">
        <f>IF('IN_FIN'!$F$10&lt;=0,0,MAX(0,MIN('ENG_CAPEX'!$M$49/'IN_FIN'!$F$10,'ENG_CAPEX'!$M$49-'ENG_CAPEX'!$L$71)))</f>
        <v/>
      </c>
      <c r="N60" s="33">
        <f>IF('IN_FIN'!$F$10&lt;=0,0,MAX(0,MIN('ENG_CAPEX'!$N$49/'IN_FIN'!$F$10,'ENG_CAPEX'!$N$49-'ENG_CAPEX'!$M$71)))</f>
        <v/>
      </c>
      <c r="O60" s="33">
        <f>IF('IN_FIN'!$F$10&lt;=0,0,MAX(0,MIN('ENG_CAPEX'!$O$49/'IN_FIN'!$F$10,'ENG_CAPEX'!$O$49-'ENG_CAPEX'!$N$71)))</f>
        <v/>
      </c>
      <c r="P60" s="33">
        <f>IF('IN_FIN'!$F$10&lt;=0,0,MAX(0,MIN('ENG_CAPEX'!$P$49/'IN_FIN'!$F$10,'ENG_CAPEX'!$P$49-'ENG_CAPEX'!$O$71)))</f>
        <v/>
      </c>
    </row>
    <row r="61">
      <c r="A61" s="15" t="inlineStr">
        <is>
          <t>استهلاک ماشین‌آلات وارداتی</t>
        </is>
      </c>
      <c r="B61" s="16" t="inlineStr">
        <is>
          <t>CAPEX.dep.2</t>
        </is>
      </c>
      <c r="C61" s="17" t="inlineStr">
        <is>
          <t>میلیون ریال</t>
        </is>
      </c>
      <c r="D61" s="33">
        <f>IF('IN_FIN'!$F$11&lt;=0,0,MAX(0,MIN('ENG_CAPEX'!$D$50/'IN_FIN'!$F$11,'ENG_CAPEX'!$D$50-0)))</f>
        <v/>
      </c>
      <c r="E61" s="33">
        <f>IF('IN_FIN'!$F$11&lt;=0,0,MAX(0,MIN('ENG_CAPEX'!$E$50/'IN_FIN'!$F$11,'ENG_CAPEX'!$E$50-'ENG_CAPEX'!$D$72)))</f>
        <v/>
      </c>
      <c r="F61" s="33">
        <f>IF('IN_FIN'!$F$11&lt;=0,0,MAX(0,MIN('ENG_CAPEX'!$F$50/'IN_FIN'!$F$11,'ENG_CAPEX'!$F$50-'ENG_CAPEX'!$E$72)))</f>
        <v/>
      </c>
      <c r="G61" s="33">
        <f>IF('IN_FIN'!$F$11&lt;=0,0,MAX(0,MIN('ENG_CAPEX'!$G$50/'IN_FIN'!$F$11,'ENG_CAPEX'!$G$50-'ENG_CAPEX'!$F$72)))</f>
        <v/>
      </c>
      <c r="H61" s="33">
        <f>IF('IN_FIN'!$F$11&lt;=0,0,MAX(0,MIN('ENG_CAPEX'!$H$50/'IN_FIN'!$F$11,'ENG_CAPEX'!$H$50-'ENG_CAPEX'!$G$72)))</f>
        <v/>
      </c>
      <c r="I61" s="33">
        <f>IF('IN_FIN'!$F$11&lt;=0,0,MAX(0,MIN('ENG_CAPEX'!$I$50/'IN_FIN'!$F$11,'ENG_CAPEX'!$I$50-'ENG_CAPEX'!$H$72)))</f>
        <v/>
      </c>
      <c r="J61" s="33">
        <f>IF('IN_FIN'!$F$11&lt;=0,0,MAX(0,MIN('ENG_CAPEX'!$J$50/'IN_FIN'!$F$11,'ENG_CAPEX'!$J$50-'ENG_CAPEX'!$I$72)))</f>
        <v/>
      </c>
      <c r="K61" s="33">
        <f>IF('IN_FIN'!$F$11&lt;=0,0,MAX(0,MIN('ENG_CAPEX'!$K$50/'IN_FIN'!$F$11,'ENG_CAPEX'!$K$50-'ENG_CAPEX'!$J$72)))</f>
        <v/>
      </c>
      <c r="L61" s="33">
        <f>IF('IN_FIN'!$F$11&lt;=0,0,MAX(0,MIN('ENG_CAPEX'!$L$50/'IN_FIN'!$F$11,'ENG_CAPEX'!$L$50-'ENG_CAPEX'!$K$72)))</f>
        <v/>
      </c>
      <c r="M61" s="33">
        <f>IF('IN_FIN'!$F$11&lt;=0,0,MAX(0,MIN('ENG_CAPEX'!$M$50/'IN_FIN'!$F$11,'ENG_CAPEX'!$M$50-'ENG_CAPEX'!$L$72)))</f>
        <v/>
      </c>
      <c r="N61" s="33">
        <f>IF('IN_FIN'!$F$11&lt;=0,0,MAX(0,MIN('ENG_CAPEX'!$N$50/'IN_FIN'!$F$11,'ENG_CAPEX'!$N$50-'ENG_CAPEX'!$M$72)))</f>
        <v/>
      </c>
      <c r="O61" s="33">
        <f>IF('IN_FIN'!$F$11&lt;=0,0,MAX(0,MIN('ENG_CAPEX'!$O$50/'IN_FIN'!$F$11,'ENG_CAPEX'!$O$50-'ENG_CAPEX'!$N$72)))</f>
        <v/>
      </c>
      <c r="P61" s="33">
        <f>IF('IN_FIN'!$F$11&lt;=0,0,MAX(0,MIN('ENG_CAPEX'!$P$50/'IN_FIN'!$F$11,'ENG_CAPEX'!$P$50-'ENG_CAPEX'!$O$72)))</f>
        <v/>
      </c>
    </row>
    <row r="62">
      <c r="A62" s="15" t="inlineStr">
        <is>
          <t>استهلاک ماشین‌آلات داخلی</t>
        </is>
      </c>
      <c r="B62" s="16" t="inlineStr">
        <is>
          <t>CAPEX.dep.3</t>
        </is>
      </c>
      <c r="C62" s="17" t="inlineStr">
        <is>
          <t>میلیون ریال</t>
        </is>
      </c>
      <c r="D62" s="33">
        <f>IF('IN_FIN'!$F$12&lt;=0,0,MAX(0,MIN('ENG_CAPEX'!$D$51/'IN_FIN'!$F$12,'ENG_CAPEX'!$D$51-0)))</f>
        <v/>
      </c>
      <c r="E62" s="33">
        <f>IF('IN_FIN'!$F$12&lt;=0,0,MAX(0,MIN('ENG_CAPEX'!$E$51/'IN_FIN'!$F$12,'ENG_CAPEX'!$E$51-'ENG_CAPEX'!$D$73)))</f>
        <v/>
      </c>
      <c r="F62" s="33">
        <f>IF('IN_FIN'!$F$12&lt;=0,0,MAX(0,MIN('ENG_CAPEX'!$F$51/'IN_FIN'!$F$12,'ENG_CAPEX'!$F$51-'ENG_CAPEX'!$E$73)))</f>
        <v/>
      </c>
      <c r="G62" s="33">
        <f>IF('IN_FIN'!$F$12&lt;=0,0,MAX(0,MIN('ENG_CAPEX'!$G$51/'IN_FIN'!$F$12,'ENG_CAPEX'!$G$51-'ENG_CAPEX'!$F$73)))</f>
        <v/>
      </c>
      <c r="H62" s="33">
        <f>IF('IN_FIN'!$F$12&lt;=0,0,MAX(0,MIN('ENG_CAPEX'!$H$51/'IN_FIN'!$F$12,'ENG_CAPEX'!$H$51-'ENG_CAPEX'!$G$73)))</f>
        <v/>
      </c>
      <c r="I62" s="33">
        <f>IF('IN_FIN'!$F$12&lt;=0,0,MAX(0,MIN('ENG_CAPEX'!$I$51/'IN_FIN'!$F$12,'ENG_CAPEX'!$I$51-'ENG_CAPEX'!$H$73)))</f>
        <v/>
      </c>
      <c r="J62" s="33">
        <f>IF('IN_FIN'!$F$12&lt;=0,0,MAX(0,MIN('ENG_CAPEX'!$J$51/'IN_FIN'!$F$12,'ENG_CAPEX'!$J$51-'ENG_CAPEX'!$I$73)))</f>
        <v/>
      </c>
      <c r="K62" s="33">
        <f>IF('IN_FIN'!$F$12&lt;=0,0,MAX(0,MIN('ENG_CAPEX'!$K$51/'IN_FIN'!$F$12,'ENG_CAPEX'!$K$51-'ENG_CAPEX'!$J$73)))</f>
        <v/>
      </c>
      <c r="L62" s="33">
        <f>IF('IN_FIN'!$F$12&lt;=0,0,MAX(0,MIN('ENG_CAPEX'!$L$51/'IN_FIN'!$F$12,'ENG_CAPEX'!$L$51-'ENG_CAPEX'!$K$73)))</f>
        <v/>
      </c>
      <c r="M62" s="33">
        <f>IF('IN_FIN'!$F$12&lt;=0,0,MAX(0,MIN('ENG_CAPEX'!$M$51/'IN_FIN'!$F$12,'ENG_CAPEX'!$M$51-'ENG_CAPEX'!$L$73)))</f>
        <v/>
      </c>
      <c r="N62" s="33">
        <f>IF('IN_FIN'!$F$12&lt;=0,0,MAX(0,MIN('ENG_CAPEX'!$N$51/'IN_FIN'!$F$12,'ENG_CAPEX'!$N$51-'ENG_CAPEX'!$M$73)))</f>
        <v/>
      </c>
      <c r="O62" s="33">
        <f>IF('IN_FIN'!$F$12&lt;=0,0,MAX(0,MIN('ENG_CAPEX'!$O$51/'IN_FIN'!$F$12,'ENG_CAPEX'!$O$51-'ENG_CAPEX'!$N$73)))</f>
        <v/>
      </c>
      <c r="P62" s="33">
        <f>IF('IN_FIN'!$F$12&lt;=0,0,MAX(0,MIN('ENG_CAPEX'!$P$51/'IN_FIN'!$F$12,'ENG_CAPEX'!$P$51-'ENG_CAPEX'!$O$73)))</f>
        <v/>
      </c>
    </row>
    <row r="63">
      <c r="A63" s="15" t="inlineStr">
        <is>
          <t>استهلاک تأسیسات و تجهیزات جانبی</t>
        </is>
      </c>
      <c r="B63" s="16" t="inlineStr">
        <is>
          <t>CAPEX.dep.4</t>
        </is>
      </c>
      <c r="C63" s="17" t="inlineStr">
        <is>
          <t>میلیون ریال</t>
        </is>
      </c>
      <c r="D63" s="33">
        <f>IF('IN_FIN'!$F$13&lt;=0,0,MAX(0,MIN('ENG_CAPEX'!$D$52/'IN_FIN'!$F$13,'ENG_CAPEX'!$D$52-0)))</f>
        <v/>
      </c>
      <c r="E63" s="33">
        <f>IF('IN_FIN'!$F$13&lt;=0,0,MAX(0,MIN('ENG_CAPEX'!$E$52/'IN_FIN'!$F$13,'ENG_CAPEX'!$E$52-'ENG_CAPEX'!$D$74)))</f>
        <v/>
      </c>
      <c r="F63" s="33">
        <f>IF('IN_FIN'!$F$13&lt;=0,0,MAX(0,MIN('ENG_CAPEX'!$F$52/'IN_FIN'!$F$13,'ENG_CAPEX'!$F$52-'ENG_CAPEX'!$E$74)))</f>
        <v/>
      </c>
      <c r="G63" s="33">
        <f>IF('IN_FIN'!$F$13&lt;=0,0,MAX(0,MIN('ENG_CAPEX'!$G$52/'IN_FIN'!$F$13,'ENG_CAPEX'!$G$52-'ENG_CAPEX'!$F$74)))</f>
        <v/>
      </c>
      <c r="H63" s="33">
        <f>IF('IN_FIN'!$F$13&lt;=0,0,MAX(0,MIN('ENG_CAPEX'!$H$52/'IN_FIN'!$F$13,'ENG_CAPEX'!$H$52-'ENG_CAPEX'!$G$74)))</f>
        <v/>
      </c>
      <c r="I63" s="33">
        <f>IF('IN_FIN'!$F$13&lt;=0,0,MAX(0,MIN('ENG_CAPEX'!$I$52/'IN_FIN'!$F$13,'ENG_CAPEX'!$I$52-'ENG_CAPEX'!$H$74)))</f>
        <v/>
      </c>
      <c r="J63" s="33">
        <f>IF('IN_FIN'!$F$13&lt;=0,0,MAX(0,MIN('ENG_CAPEX'!$J$52/'IN_FIN'!$F$13,'ENG_CAPEX'!$J$52-'ENG_CAPEX'!$I$74)))</f>
        <v/>
      </c>
      <c r="K63" s="33">
        <f>IF('IN_FIN'!$F$13&lt;=0,0,MAX(0,MIN('ENG_CAPEX'!$K$52/'IN_FIN'!$F$13,'ENG_CAPEX'!$K$52-'ENG_CAPEX'!$J$74)))</f>
        <v/>
      </c>
      <c r="L63" s="33">
        <f>IF('IN_FIN'!$F$13&lt;=0,0,MAX(0,MIN('ENG_CAPEX'!$L$52/'IN_FIN'!$F$13,'ENG_CAPEX'!$L$52-'ENG_CAPEX'!$K$74)))</f>
        <v/>
      </c>
      <c r="M63" s="33">
        <f>IF('IN_FIN'!$F$13&lt;=0,0,MAX(0,MIN('ENG_CAPEX'!$M$52/'IN_FIN'!$F$13,'ENG_CAPEX'!$M$52-'ENG_CAPEX'!$L$74)))</f>
        <v/>
      </c>
      <c r="N63" s="33">
        <f>IF('IN_FIN'!$F$13&lt;=0,0,MAX(0,MIN('ENG_CAPEX'!$N$52/'IN_FIN'!$F$13,'ENG_CAPEX'!$N$52-'ENG_CAPEX'!$M$74)))</f>
        <v/>
      </c>
      <c r="O63" s="33">
        <f>IF('IN_FIN'!$F$13&lt;=0,0,MAX(0,MIN('ENG_CAPEX'!$O$52/'IN_FIN'!$F$13,'ENG_CAPEX'!$O$52-'ENG_CAPEX'!$N$74)))</f>
        <v/>
      </c>
      <c r="P63" s="33">
        <f>IF('IN_FIN'!$F$13&lt;=0,0,MAX(0,MIN('ENG_CAPEX'!$P$52/'IN_FIN'!$F$13,'ENG_CAPEX'!$P$52-'ENG_CAPEX'!$O$74)))</f>
        <v/>
      </c>
    </row>
    <row r="64">
      <c r="A64" s="15" t="inlineStr">
        <is>
          <t>استهلاک تصفیه‌خانه و تجهیزات زیست‌محیطی</t>
        </is>
      </c>
      <c r="B64" s="16" t="inlineStr">
        <is>
          <t>CAPEX.dep.5</t>
        </is>
      </c>
      <c r="C64" s="17" t="inlineStr">
        <is>
          <t>میلیون ریال</t>
        </is>
      </c>
      <c r="D64" s="33">
        <f>IF('IN_FIN'!$F$14&lt;=0,0,MAX(0,MIN('ENG_CAPEX'!$D$53/'IN_FIN'!$F$14,'ENG_CAPEX'!$D$53-0)))</f>
        <v/>
      </c>
      <c r="E64" s="33">
        <f>IF('IN_FIN'!$F$14&lt;=0,0,MAX(0,MIN('ENG_CAPEX'!$E$53/'IN_FIN'!$F$14,'ENG_CAPEX'!$E$53-'ENG_CAPEX'!$D$75)))</f>
        <v/>
      </c>
      <c r="F64" s="33">
        <f>IF('IN_FIN'!$F$14&lt;=0,0,MAX(0,MIN('ENG_CAPEX'!$F$53/'IN_FIN'!$F$14,'ENG_CAPEX'!$F$53-'ENG_CAPEX'!$E$75)))</f>
        <v/>
      </c>
      <c r="G64" s="33">
        <f>IF('IN_FIN'!$F$14&lt;=0,0,MAX(0,MIN('ENG_CAPEX'!$G$53/'IN_FIN'!$F$14,'ENG_CAPEX'!$G$53-'ENG_CAPEX'!$F$75)))</f>
        <v/>
      </c>
      <c r="H64" s="33">
        <f>IF('IN_FIN'!$F$14&lt;=0,0,MAX(0,MIN('ENG_CAPEX'!$H$53/'IN_FIN'!$F$14,'ENG_CAPEX'!$H$53-'ENG_CAPEX'!$G$75)))</f>
        <v/>
      </c>
      <c r="I64" s="33">
        <f>IF('IN_FIN'!$F$14&lt;=0,0,MAX(0,MIN('ENG_CAPEX'!$I$53/'IN_FIN'!$F$14,'ENG_CAPEX'!$I$53-'ENG_CAPEX'!$H$75)))</f>
        <v/>
      </c>
      <c r="J64" s="33">
        <f>IF('IN_FIN'!$F$14&lt;=0,0,MAX(0,MIN('ENG_CAPEX'!$J$53/'IN_FIN'!$F$14,'ENG_CAPEX'!$J$53-'ENG_CAPEX'!$I$75)))</f>
        <v/>
      </c>
      <c r="K64" s="33">
        <f>IF('IN_FIN'!$F$14&lt;=0,0,MAX(0,MIN('ENG_CAPEX'!$K$53/'IN_FIN'!$F$14,'ENG_CAPEX'!$K$53-'ENG_CAPEX'!$J$75)))</f>
        <v/>
      </c>
      <c r="L64" s="33">
        <f>IF('IN_FIN'!$F$14&lt;=0,0,MAX(0,MIN('ENG_CAPEX'!$L$53/'IN_FIN'!$F$14,'ENG_CAPEX'!$L$53-'ENG_CAPEX'!$K$75)))</f>
        <v/>
      </c>
      <c r="M64" s="33">
        <f>IF('IN_FIN'!$F$14&lt;=0,0,MAX(0,MIN('ENG_CAPEX'!$M$53/'IN_FIN'!$F$14,'ENG_CAPEX'!$M$53-'ENG_CAPEX'!$L$75)))</f>
        <v/>
      </c>
      <c r="N64" s="33">
        <f>IF('IN_FIN'!$F$14&lt;=0,0,MAX(0,MIN('ENG_CAPEX'!$N$53/'IN_FIN'!$F$14,'ENG_CAPEX'!$N$53-'ENG_CAPEX'!$M$75)))</f>
        <v/>
      </c>
      <c r="O64" s="33">
        <f>IF('IN_FIN'!$F$14&lt;=0,0,MAX(0,MIN('ENG_CAPEX'!$O$53/'IN_FIN'!$F$14,'ENG_CAPEX'!$O$53-'ENG_CAPEX'!$N$75)))</f>
        <v/>
      </c>
      <c r="P64" s="33">
        <f>IF('IN_FIN'!$F$14&lt;=0,0,MAX(0,MIN('ENG_CAPEX'!$P$53/'IN_FIN'!$F$14,'ENG_CAPEX'!$P$53-'ENG_CAPEX'!$O$75)))</f>
        <v/>
      </c>
    </row>
    <row r="65">
      <c r="A65" s="15" t="inlineStr">
        <is>
          <t>استهلاک تجهیزات حمل‌ونقل داخلی</t>
        </is>
      </c>
      <c r="B65" s="16" t="inlineStr">
        <is>
          <t>CAPEX.dep.6</t>
        </is>
      </c>
      <c r="C65" s="17" t="inlineStr">
        <is>
          <t>میلیون ریال</t>
        </is>
      </c>
      <c r="D65" s="33">
        <f>IF('IN_FIN'!$F$15&lt;=0,0,MAX(0,MIN('ENG_CAPEX'!$D$54/'IN_FIN'!$F$15,'ENG_CAPEX'!$D$54-0)))</f>
        <v/>
      </c>
      <c r="E65" s="33">
        <f>IF('IN_FIN'!$F$15&lt;=0,0,MAX(0,MIN('ENG_CAPEX'!$E$54/'IN_FIN'!$F$15,'ENG_CAPEX'!$E$54-'ENG_CAPEX'!$D$76)))</f>
        <v/>
      </c>
      <c r="F65" s="33">
        <f>IF('IN_FIN'!$F$15&lt;=0,0,MAX(0,MIN('ENG_CAPEX'!$F$54/'IN_FIN'!$F$15,'ENG_CAPEX'!$F$54-'ENG_CAPEX'!$E$76)))</f>
        <v/>
      </c>
      <c r="G65" s="33">
        <f>IF('IN_FIN'!$F$15&lt;=0,0,MAX(0,MIN('ENG_CAPEX'!$G$54/'IN_FIN'!$F$15,'ENG_CAPEX'!$G$54-'ENG_CAPEX'!$F$76)))</f>
        <v/>
      </c>
      <c r="H65" s="33">
        <f>IF('IN_FIN'!$F$15&lt;=0,0,MAX(0,MIN('ENG_CAPEX'!$H$54/'IN_FIN'!$F$15,'ENG_CAPEX'!$H$54-'ENG_CAPEX'!$G$76)))</f>
        <v/>
      </c>
      <c r="I65" s="33">
        <f>IF('IN_FIN'!$F$15&lt;=0,0,MAX(0,MIN('ENG_CAPEX'!$I$54/'IN_FIN'!$F$15,'ENG_CAPEX'!$I$54-'ENG_CAPEX'!$H$76)))</f>
        <v/>
      </c>
      <c r="J65" s="33">
        <f>IF('IN_FIN'!$F$15&lt;=0,0,MAX(0,MIN('ENG_CAPEX'!$J$54/'IN_FIN'!$F$15,'ENG_CAPEX'!$J$54-'ENG_CAPEX'!$I$76)))</f>
        <v/>
      </c>
      <c r="K65" s="33">
        <f>IF('IN_FIN'!$F$15&lt;=0,0,MAX(0,MIN('ENG_CAPEX'!$K$54/'IN_FIN'!$F$15,'ENG_CAPEX'!$K$54-'ENG_CAPEX'!$J$76)))</f>
        <v/>
      </c>
      <c r="L65" s="33">
        <f>IF('IN_FIN'!$F$15&lt;=0,0,MAX(0,MIN('ENG_CAPEX'!$L$54/'IN_FIN'!$F$15,'ENG_CAPEX'!$L$54-'ENG_CAPEX'!$K$76)))</f>
        <v/>
      </c>
      <c r="M65" s="33">
        <f>IF('IN_FIN'!$F$15&lt;=0,0,MAX(0,MIN('ENG_CAPEX'!$M$54/'IN_FIN'!$F$15,'ENG_CAPEX'!$M$54-'ENG_CAPEX'!$L$76)))</f>
        <v/>
      </c>
      <c r="N65" s="33">
        <f>IF('IN_FIN'!$F$15&lt;=0,0,MAX(0,MIN('ENG_CAPEX'!$N$54/'IN_FIN'!$F$15,'ENG_CAPEX'!$N$54-'ENG_CAPEX'!$M$76)))</f>
        <v/>
      </c>
      <c r="O65" s="33">
        <f>IF('IN_FIN'!$F$15&lt;=0,0,MAX(0,MIN('ENG_CAPEX'!$O$54/'IN_FIN'!$F$15,'ENG_CAPEX'!$O$54-'ENG_CAPEX'!$N$76)))</f>
        <v/>
      </c>
      <c r="P65" s="33">
        <f>IF('IN_FIN'!$F$15&lt;=0,0,MAX(0,MIN('ENG_CAPEX'!$P$54/'IN_FIN'!$F$15,'ENG_CAPEX'!$P$54-'ENG_CAPEX'!$O$76)))</f>
        <v/>
      </c>
    </row>
    <row r="66">
      <c r="A66" s="15" t="inlineStr">
        <is>
          <t>استهلاک آزمایشگاه و ابزار دقیق</t>
        </is>
      </c>
      <c r="B66" s="16" t="inlineStr">
        <is>
          <t>CAPEX.dep.7</t>
        </is>
      </c>
      <c r="C66" s="17" t="inlineStr">
        <is>
          <t>میلیون ریال</t>
        </is>
      </c>
      <c r="D66" s="33">
        <f>IF('IN_FIN'!$F$16&lt;=0,0,MAX(0,MIN('ENG_CAPEX'!$D$55/'IN_FIN'!$F$16,'ENG_CAPEX'!$D$55-0)))</f>
        <v/>
      </c>
      <c r="E66" s="33">
        <f>IF('IN_FIN'!$F$16&lt;=0,0,MAX(0,MIN('ENG_CAPEX'!$E$55/'IN_FIN'!$F$16,'ENG_CAPEX'!$E$55-'ENG_CAPEX'!$D$77)))</f>
        <v/>
      </c>
      <c r="F66" s="33">
        <f>IF('IN_FIN'!$F$16&lt;=0,0,MAX(0,MIN('ENG_CAPEX'!$F$55/'IN_FIN'!$F$16,'ENG_CAPEX'!$F$55-'ENG_CAPEX'!$E$77)))</f>
        <v/>
      </c>
      <c r="G66" s="33">
        <f>IF('IN_FIN'!$F$16&lt;=0,0,MAX(0,MIN('ENG_CAPEX'!$G$55/'IN_FIN'!$F$16,'ENG_CAPEX'!$G$55-'ENG_CAPEX'!$F$77)))</f>
        <v/>
      </c>
      <c r="H66" s="33">
        <f>IF('IN_FIN'!$F$16&lt;=0,0,MAX(0,MIN('ENG_CAPEX'!$H$55/'IN_FIN'!$F$16,'ENG_CAPEX'!$H$55-'ENG_CAPEX'!$G$77)))</f>
        <v/>
      </c>
      <c r="I66" s="33">
        <f>IF('IN_FIN'!$F$16&lt;=0,0,MAX(0,MIN('ENG_CAPEX'!$I$55/'IN_FIN'!$F$16,'ENG_CAPEX'!$I$55-'ENG_CAPEX'!$H$77)))</f>
        <v/>
      </c>
      <c r="J66" s="33">
        <f>IF('IN_FIN'!$F$16&lt;=0,0,MAX(0,MIN('ENG_CAPEX'!$J$55/'IN_FIN'!$F$16,'ENG_CAPEX'!$J$55-'ENG_CAPEX'!$I$77)))</f>
        <v/>
      </c>
      <c r="K66" s="33">
        <f>IF('IN_FIN'!$F$16&lt;=0,0,MAX(0,MIN('ENG_CAPEX'!$K$55/'IN_FIN'!$F$16,'ENG_CAPEX'!$K$55-'ENG_CAPEX'!$J$77)))</f>
        <v/>
      </c>
      <c r="L66" s="33">
        <f>IF('IN_FIN'!$F$16&lt;=0,0,MAX(0,MIN('ENG_CAPEX'!$L$55/'IN_FIN'!$F$16,'ENG_CAPEX'!$L$55-'ENG_CAPEX'!$K$77)))</f>
        <v/>
      </c>
      <c r="M66" s="33">
        <f>IF('IN_FIN'!$F$16&lt;=0,0,MAX(0,MIN('ENG_CAPEX'!$M$55/'IN_FIN'!$F$16,'ENG_CAPEX'!$M$55-'ENG_CAPEX'!$L$77)))</f>
        <v/>
      </c>
      <c r="N66" s="33">
        <f>IF('IN_FIN'!$F$16&lt;=0,0,MAX(0,MIN('ENG_CAPEX'!$N$55/'IN_FIN'!$F$16,'ENG_CAPEX'!$N$55-'ENG_CAPEX'!$M$77)))</f>
        <v/>
      </c>
      <c r="O66" s="33">
        <f>IF('IN_FIN'!$F$16&lt;=0,0,MAX(0,MIN('ENG_CAPEX'!$O$55/'IN_FIN'!$F$16,'ENG_CAPEX'!$O$55-'ENG_CAPEX'!$N$77)))</f>
        <v/>
      </c>
      <c r="P66" s="33">
        <f>IF('IN_FIN'!$F$16&lt;=0,0,MAX(0,MIN('ENG_CAPEX'!$P$55/'IN_FIN'!$F$16,'ENG_CAPEX'!$P$55-'ENG_CAPEX'!$O$77)))</f>
        <v/>
      </c>
    </row>
    <row r="67">
      <c r="A67" s="15" t="inlineStr">
        <is>
          <t>استهلاک مهندسی، نصب و راه‌اندازی</t>
        </is>
      </c>
      <c r="B67" s="16" t="inlineStr">
        <is>
          <t>CAPEX.dep.8</t>
        </is>
      </c>
      <c r="C67" s="17" t="inlineStr">
        <is>
          <t>میلیون ریال</t>
        </is>
      </c>
      <c r="D67" s="33">
        <f>IF('IN_FIN'!$F$17&lt;=0,0,MAX(0,MIN('ENG_CAPEX'!$D$56/'IN_FIN'!$F$17,'ENG_CAPEX'!$D$56-0)))</f>
        <v/>
      </c>
      <c r="E67" s="33">
        <f>IF('IN_FIN'!$F$17&lt;=0,0,MAX(0,MIN('ENG_CAPEX'!$E$56/'IN_FIN'!$F$17,'ENG_CAPEX'!$E$56-'ENG_CAPEX'!$D$78)))</f>
        <v/>
      </c>
      <c r="F67" s="33">
        <f>IF('IN_FIN'!$F$17&lt;=0,0,MAX(0,MIN('ENG_CAPEX'!$F$56/'IN_FIN'!$F$17,'ENG_CAPEX'!$F$56-'ENG_CAPEX'!$E$78)))</f>
        <v/>
      </c>
      <c r="G67" s="33">
        <f>IF('IN_FIN'!$F$17&lt;=0,0,MAX(0,MIN('ENG_CAPEX'!$G$56/'IN_FIN'!$F$17,'ENG_CAPEX'!$G$56-'ENG_CAPEX'!$F$78)))</f>
        <v/>
      </c>
      <c r="H67" s="33">
        <f>IF('IN_FIN'!$F$17&lt;=0,0,MAX(0,MIN('ENG_CAPEX'!$H$56/'IN_FIN'!$F$17,'ENG_CAPEX'!$H$56-'ENG_CAPEX'!$G$78)))</f>
        <v/>
      </c>
      <c r="I67" s="33">
        <f>IF('IN_FIN'!$F$17&lt;=0,0,MAX(0,MIN('ENG_CAPEX'!$I$56/'IN_FIN'!$F$17,'ENG_CAPEX'!$I$56-'ENG_CAPEX'!$H$78)))</f>
        <v/>
      </c>
      <c r="J67" s="33">
        <f>IF('IN_FIN'!$F$17&lt;=0,0,MAX(0,MIN('ENG_CAPEX'!$J$56/'IN_FIN'!$F$17,'ENG_CAPEX'!$J$56-'ENG_CAPEX'!$I$78)))</f>
        <v/>
      </c>
      <c r="K67" s="33">
        <f>IF('IN_FIN'!$F$17&lt;=0,0,MAX(0,MIN('ENG_CAPEX'!$K$56/'IN_FIN'!$F$17,'ENG_CAPEX'!$K$56-'ENG_CAPEX'!$J$78)))</f>
        <v/>
      </c>
      <c r="L67" s="33">
        <f>IF('IN_FIN'!$F$17&lt;=0,0,MAX(0,MIN('ENG_CAPEX'!$L$56/'IN_FIN'!$F$17,'ENG_CAPEX'!$L$56-'ENG_CAPEX'!$K$78)))</f>
        <v/>
      </c>
      <c r="M67" s="33">
        <f>IF('IN_FIN'!$F$17&lt;=0,0,MAX(0,MIN('ENG_CAPEX'!$M$56/'IN_FIN'!$F$17,'ENG_CAPEX'!$M$56-'ENG_CAPEX'!$L$78)))</f>
        <v/>
      </c>
      <c r="N67" s="33">
        <f>IF('IN_FIN'!$F$17&lt;=0,0,MAX(0,MIN('ENG_CAPEX'!$N$56/'IN_FIN'!$F$17,'ENG_CAPEX'!$N$56-'ENG_CAPEX'!$M$78)))</f>
        <v/>
      </c>
      <c r="O67" s="33">
        <f>IF('IN_FIN'!$F$17&lt;=0,0,MAX(0,MIN('ENG_CAPEX'!$O$56/'IN_FIN'!$F$17,'ENG_CAPEX'!$O$56-'ENG_CAPEX'!$N$78)))</f>
        <v/>
      </c>
      <c r="P67" s="33">
        <f>IF('IN_FIN'!$F$17&lt;=0,0,MAX(0,MIN('ENG_CAPEX'!$P$56/'IN_FIN'!$F$17,'ENG_CAPEX'!$P$56-'ENG_CAPEX'!$O$78)))</f>
        <v/>
      </c>
    </row>
    <row r="68">
      <c r="A68" s="15" t="inlineStr">
        <is>
          <t>استهلاک هزینه‌های پیش از بهره‌برداری</t>
        </is>
      </c>
      <c r="B68" s="16" t="inlineStr">
        <is>
          <t>CAPEX.dep.9</t>
        </is>
      </c>
      <c r="C68" s="17" t="inlineStr">
        <is>
          <t>میلیون ریال</t>
        </is>
      </c>
      <c r="D68" s="33">
        <f>IF('IN_FIN'!$F$18&lt;=0,0,MAX(0,MIN('ENG_CAPEX'!$D$57/'IN_FIN'!$F$18,'ENG_CAPEX'!$D$57-0)))</f>
        <v/>
      </c>
      <c r="E68" s="33">
        <f>IF('IN_FIN'!$F$18&lt;=0,0,MAX(0,MIN('ENG_CAPEX'!$E$57/'IN_FIN'!$F$18,'ENG_CAPEX'!$E$57-'ENG_CAPEX'!$D$79)))</f>
        <v/>
      </c>
      <c r="F68" s="33">
        <f>IF('IN_FIN'!$F$18&lt;=0,0,MAX(0,MIN('ENG_CAPEX'!$F$57/'IN_FIN'!$F$18,'ENG_CAPEX'!$F$57-'ENG_CAPEX'!$E$79)))</f>
        <v/>
      </c>
      <c r="G68" s="33">
        <f>IF('IN_FIN'!$F$18&lt;=0,0,MAX(0,MIN('ENG_CAPEX'!$G$57/'IN_FIN'!$F$18,'ENG_CAPEX'!$G$57-'ENG_CAPEX'!$F$79)))</f>
        <v/>
      </c>
      <c r="H68" s="33">
        <f>IF('IN_FIN'!$F$18&lt;=0,0,MAX(0,MIN('ENG_CAPEX'!$H$57/'IN_FIN'!$F$18,'ENG_CAPEX'!$H$57-'ENG_CAPEX'!$G$79)))</f>
        <v/>
      </c>
      <c r="I68" s="33">
        <f>IF('IN_FIN'!$F$18&lt;=0,0,MAX(0,MIN('ENG_CAPEX'!$I$57/'IN_FIN'!$F$18,'ENG_CAPEX'!$I$57-'ENG_CAPEX'!$H$79)))</f>
        <v/>
      </c>
      <c r="J68" s="33">
        <f>IF('IN_FIN'!$F$18&lt;=0,0,MAX(0,MIN('ENG_CAPEX'!$J$57/'IN_FIN'!$F$18,'ENG_CAPEX'!$J$57-'ENG_CAPEX'!$I$79)))</f>
        <v/>
      </c>
      <c r="K68" s="33">
        <f>IF('IN_FIN'!$F$18&lt;=0,0,MAX(0,MIN('ENG_CAPEX'!$K$57/'IN_FIN'!$F$18,'ENG_CAPEX'!$K$57-'ENG_CAPEX'!$J$79)))</f>
        <v/>
      </c>
      <c r="L68" s="33">
        <f>IF('IN_FIN'!$F$18&lt;=0,0,MAX(0,MIN('ENG_CAPEX'!$L$57/'IN_FIN'!$F$18,'ENG_CAPEX'!$L$57-'ENG_CAPEX'!$K$79)))</f>
        <v/>
      </c>
      <c r="M68" s="33">
        <f>IF('IN_FIN'!$F$18&lt;=0,0,MAX(0,MIN('ENG_CAPEX'!$M$57/'IN_FIN'!$F$18,'ENG_CAPEX'!$M$57-'ENG_CAPEX'!$L$79)))</f>
        <v/>
      </c>
      <c r="N68" s="33">
        <f>IF('IN_FIN'!$F$18&lt;=0,0,MAX(0,MIN('ENG_CAPEX'!$N$57/'IN_FIN'!$F$18,'ENG_CAPEX'!$N$57-'ENG_CAPEX'!$M$79)))</f>
        <v/>
      </c>
      <c r="O68" s="33">
        <f>IF('IN_FIN'!$F$18&lt;=0,0,MAX(0,MIN('ENG_CAPEX'!$O$57/'IN_FIN'!$F$18,'ENG_CAPEX'!$O$57-'ENG_CAPEX'!$N$79)))</f>
        <v/>
      </c>
      <c r="P68" s="33">
        <f>IF('IN_FIN'!$F$18&lt;=0,0,MAX(0,MIN('ENG_CAPEX'!$P$57/'IN_FIN'!$F$18,'ENG_CAPEX'!$P$57-'ENG_CAPEX'!$O$79)))</f>
        <v/>
      </c>
    </row>
    <row r="69">
      <c r="A69" s="15" t="inlineStr">
        <is>
          <t>استهلاک ذخیره احتیاطی فیزیکی</t>
        </is>
      </c>
      <c r="B69" s="16" t="inlineStr">
        <is>
          <t>CAPEX.dep.10</t>
        </is>
      </c>
      <c r="C69" s="17" t="inlineStr">
        <is>
          <t>میلیون ریال</t>
        </is>
      </c>
      <c r="D69" s="33">
        <f>IF('IN_FIN'!$F$19&lt;=0,0,MAX(0,MIN('ENG_CAPEX'!$D$58/'IN_FIN'!$F$19,'ENG_CAPEX'!$D$58-0)))</f>
        <v/>
      </c>
      <c r="E69" s="33">
        <f>IF('IN_FIN'!$F$19&lt;=0,0,MAX(0,MIN('ENG_CAPEX'!$E$58/'IN_FIN'!$F$19,'ENG_CAPEX'!$E$58-'ENG_CAPEX'!$D$80)))</f>
        <v/>
      </c>
      <c r="F69" s="33">
        <f>IF('IN_FIN'!$F$19&lt;=0,0,MAX(0,MIN('ENG_CAPEX'!$F$58/'IN_FIN'!$F$19,'ENG_CAPEX'!$F$58-'ENG_CAPEX'!$E$80)))</f>
        <v/>
      </c>
      <c r="G69" s="33">
        <f>IF('IN_FIN'!$F$19&lt;=0,0,MAX(0,MIN('ENG_CAPEX'!$G$58/'IN_FIN'!$F$19,'ENG_CAPEX'!$G$58-'ENG_CAPEX'!$F$80)))</f>
        <v/>
      </c>
      <c r="H69" s="33">
        <f>IF('IN_FIN'!$F$19&lt;=0,0,MAX(0,MIN('ENG_CAPEX'!$H$58/'IN_FIN'!$F$19,'ENG_CAPEX'!$H$58-'ENG_CAPEX'!$G$80)))</f>
        <v/>
      </c>
      <c r="I69" s="33">
        <f>IF('IN_FIN'!$F$19&lt;=0,0,MAX(0,MIN('ENG_CAPEX'!$I$58/'IN_FIN'!$F$19,'ENG_CAPEX'!$I$58-'ENG_CAPEX'!$H$80)))</f>
        <v/>
      </c>
      <c r="J69" s="33">
        <f>IF('IN_FIN'!$F$19&lt;=0,0,MAX(0,MIN('ENG_CAPEX'!$J$58/'IN_FIN'!$F$19,'ENG_CAPEX'!$J$58-'ENG_CAPEX'!$I$80)))</f>
        <v/>
      </c>
      <c r="K69" s="33">
        <f>IF('IN_FIN'!$F$19&lt;=0,0,MAX(0,MIN('ENG_CAPEX'!$K$58/'IN_FIN'!$F$19,'ENG_CAPEX'!$K$58-'ENG_CAPEX'!$J$80)))</f>
        <v/>
      </c>
      <c r="L69" s="33">
        <f>IF('IN_FIN'!$F$19&lt;=0,0,MAX(0,MIN('ENG_CAPEX'!$L$58/'IN_FIN'!$F$19,'ENG_CAPEX'!$L$58-'ENG_CAPEX'!$K$80)))</f>
        <v/>
      </c>
      <c r="M69" s="33">
        <f>IF('IN_FIN'!$F$19&lt;=0,0,MAX(0,MIN('ENG_CAPEX'!$M$58/'IN_FIN'!$F$19,'ENG_CAPEX'!$M$58-'ENG_CAPEX'!$L$80)))</f>
        <v/>
      </c>
      <c r="N69" s="33">
        <f>IF('IN_FIN'!$F$19&lt;=0,0,MAX(0,MIN('ENG_CAPEX'!$N$58/'IN_FIN'!$F$19,'ENG_CAPEX'!$N$58-'ENG_CAPEX'!$M$80)))</f>
        <v/>
      </c>
      <c r="O69" s="33">
        <f>IF('IN_FIN'!$F$19&lt;=0,0,MAX(0,MIN('ENG_CAPEX'!$O$58/'IN_FIN'!$F$19,'ENG_CAPEX'!$O$58-'ENG_CAPEX'!$N$80)))</f>
        <v/>
      </c>
      <c r="P69" s="33">
        <f>IF('IN_FIN'!$F$19&lt;=0,0,MAX(0,MIN('ENG_CAPEX'!$P$58/'IN_FIN'!$F$19,'ENG_CAPEX'!$P$58-'ENG_CAPEX'!$O$80)))</f>
        <v/>
      </c>
    </row>
    <row r="70">
      <c r="A70" s="15" t="inlineStr">
        <is>
          <t>استهلاک انباشتهٔ طبقهٔ زمین</t>
        </is>
      </c>
      <c r="B70" s="16" t="inlineStr">
        <is>
          <t>CAPEX.adepc.0</t>
        </is>
      </c>
      <c r="C70" s="17" t="inlineStr">
        <is>
          <t>میلیون ریال</t>
        </is>
      </c>
      <c r="D70" s="33">
        <f>'ENG_CAPEX'!$D$59</f>
        <v/>
      </c>
      <c r="E70" s="33">
        <f>'ENG_CAPEX'!$D$70+'ENG_CAPEX'!$E$59</f>
        <v/>
      </c>
      <c r="F70" s="33">
        <f>'ENG_CAPEX'!$E$70+'ENG_CAPEX'!$F$59</f>
        <v/>
      </c>
      <c r="G70" s="33">
        <f>'ENG_CAPEX'!$F$70+'ENG_CAPEX'!$G$59</f>
        <v/>
      </c>
      <c r="H70" s="33">
        <f>'ENG_CAPEX'!$G$70+'ENG_CAPEX'!$H$59</f>
        <v/>
      </c>
      <c r="I70" s="33">
        <f>'ENG_CAPEX'!$H$70+'ENG_CAPEX'!$I$59</f>
        <v/>
      </c>
      <c r="J70" s="33">
        <f>'ENG_CAPEX'!$I$70+'ENG_CAPEX'!$J$59</f>
        <v/>
      </c>
      <c r="K70" s="33">
        <f>'ENG_CAPEX'!$J$70+'ENG_CAPEX'!$K$59</f>
        <v/>
      </c>
      <c r="L70" s="33">
        <f>'ENG_CAPEX'!$K$70+'ENG_CAPEX'!$L$59</f>
        <v/>
      </c>
      <c r="M70" s="33">
        <f>'ENG_CAPEX'!$L$70+'ENG_CAPEX'!$M$59</f>
        <v/>
      </c>
      <c r="N70" s="33">
        <f>'ENG_CAPEX'!$M$70+'ENG_CAPEX'!$N$59</f>
        <v/>
      </c>
      <c r="O70" s="33">
        <f>'ENG_CAPEX'!$N$70+'ENG_CAPEX'!$O$59</f>
        <v/>
      </c>
      <c r="P70" s="33">
        <f>'ENG_CAPEX'!$O$70+'ENG_CAPEX'!$P$59</f>
        <v/>
      </c>
    </row>
    <row r="71">
      <c r="A71" s="15" t="inlineStr">
        <is>
          <t>استهلاک انباشتهٔ طبقهٔ محوطه‌سازی و ساختمان</t>
        </is>
      </c>
      <c r="B71" s="16" t="inlineStr">
        <is>
          <t>CAPEX.adepc.1</t>
        </is>
      </c>
      <c r="C71" s="17" t="inlineStr">
        <is>
          <t>میلیون ریال</t>
        </is>
      </c>
      <c r="D71" s="33">
        <f>'ENG_CAPEX'!$D$60</f>
        <v/>
      </c>
      <c r="E71" s="33">
        <f>'ENG_CAPEX'!$D$71+'ENG_CAPEX'!$E$60</f>
        <v/>
      </c>
      <c r="F71" s="33">
        <f>'ENG_CAPEX'!$E$71+'ENG_CAPEX'!$F$60</f>
        <v/>
      </c>
      <c r="G71" s="33">
        <f>'ENG_CAPEX'!$F$71+'ENG_CAPEX'!$G$60</f>
        <v/>
      </c>
      <c r="H71" s="33">
        <f>'ENG_CAPEX'!$G$71+'ENG_CAPEX'!$H$60</f>
        <v/>
      </c>
      <c r="I71" s="33">
        <f>'ENG_CAPEX'!$H$71+'ENG_CAPEX'!$I$60</f>
        <v/>
      </c>
      <c r="J71" s="33">
        <f>'ENG_CAPEX'!$I$71+'ENG_CAPEX'!$J$60</f>
        <v/>
      </c>
      <c r="K71" s="33">
        <f>'ENG_CAPEX'!$J$71+'ENG_CAPEX'!$K$60</f>
        <v/>
      </c>
      <c r="L71" s="33">
        <f>'ENG_CAPEX'!$K$71+'ENG_CAPEX'!$L$60</f>
        <v/>
      </c>
      <c r="M71" s="33">
        <f>'ENG_CAPEX'!$L$71+'ENG_CAPEX'!$M$60</f>
        <v/>
      </c>
      <c r="N71" s="33">
        <f>'ENG_CAPEX'!$M$71+'ENG_CAPEX'!$N$60</f>
        <v/>
      </c>
      <c r="O71" s="33">
        <f>'ENG_CAPEX'!$N$71+'ENG_CAPEX'!$O$60</f>
        <v/>
      </c>
      <c r="P71" s="33">
        <f>'ENG_CAPEX'!$O$71+'ENG_CAPEX'!$P$60</f>
        <v/>
      </c>
    </row>
    <row r="72">
      <c r="A72" s="15" t="inlineStr">
        <is>
          <t>استهلاک انباشتهٔ طبقهٔ ماشین‌آلات وارداتی</t>
        </is>
      </c>
      <c r="B72" s="16" t="inlineStr">
        <is>
          <t>CAPEX.adepc.2</t>
        </is>
      </c>
      <c r="C72" s="17" t="inlineStr">
        <is>
          <t>میلیون ریال</t>
        </is>
      </c>
      <c r="D72" s="33">
        <f>'ENG_CAPEX'!$D$61</f>
        <v/>
      </c>
      <c r="E72" s="33">
        <f>'ENG_CAPEX'!$D$72+'ENG_CAPEX'!$E$61</f>
        <v/>
      </c>
      <c r="F72" s="33">
        <f>'ENG_CAPEX'!$E$72+'ENG_CAPEX'!$F$61</f>
        <v/>
      </c>
      <c r="G72" s="33">
        <f>'ENG_CAPEX'!$F$72+'ENG_CAPEX'!$G$61</f>
        <v/>
      </c>
      <c r="H72" s="33">
        <f>'ENG_CAPEX'!$G$72+'ENG_CAPEX'!$H$61</f>
        <v/>
      </c>
      <c r="I72" s="33">
        <f>'ENG_CAPEX'!$H$72+'ENG_CAPEX'!$I$61</f>
        <v/>
      </c>
      <c r="J72" s="33">
        <f>'ENG_CAPEX'!$I$72+'ENG_CAPEX'!$J$61</f>
        <v/>
      </c>
      <c r="K72" s="33">
        <f>'ENG_CAPEX'!$J$72+'ENG_CAPEX'!$K$61</f>
        <v/>
      </c>
      <c r="L72" s="33">
        <f>'ENG_CAPEX'!$K$72+'ENG_CAPEX'!$L$61</f>
        <v/>
      </c>
      <c r="M72" s="33">
        <f>'ENG_CAPEX'!$L$72+'ENG_CAPEX'!$M$61</f>
        <v/>
      </c>
      <c r="N72" s="33">
        <f>'ENG_CAPEX'!$M$72+'ENG_CAPEX'!$N$61</f>
        <v/>
      </c>
      <c r="O72" s="33">
        <f>'ENG_CAPEX'!$N$72+'ENG_CAPEX'!$O$61</f>
        <v/>
      </c>
      <c r="P72" s="33">
        <f>'ENG_CAPEX'!$O$72+'ENG_CAPEX'!$P$61</f>
        <v/>
      </c>
    </row>
    <row r="73">
      <c r="A73" s="15" t="inlineStr">
        <is>
          <t>استهلاک انباشتهٔ طبقهٔ ماشین‌آلات داخلی</t>
        </is>
      </c>
      <c r="B73" s="16" t="inlineStr">
        <is>
          <t>CAPEX.adepc.3</t>
        </is>
      </c>
      <c r="C73" s="17" t="inlineStr">
        <is>
          <t>میلیون ریال</t>
        </is>
      </c>
      <c r="D73" s="33">
        <f>'ENG_CAPEX'!$D$62</f>
        <v/>
      </c>
      <c r="E73" s="33">
        <f>'ENG_CAPEX'!$D$73+'ENG_CAPEX'!$E$62</f>
        <v/>
      </c>
      <c r="F73" s="33">
        <f>'ENG_CAPEX'!$E$73+'ENG_CAPEX'!$F$62</f>
        <v/>
      </c>
      <c r="G73" s="33">
        <f>'ENG_CAPEX'!$F$73+'ENG_CAPEX'!$G$62</f>
        <v/>
      </c>
      <c r="H73" s="33">
        <f>'ENG_CAPEX'!$G$73+'ENG_CAPEX'!$H$62</f>
        <v/>
      </c>
      <c r="I73" s="33">
        <f>'ENG_CAPEX'!$H$73+'ENG_CAPEX'!$I$62</f>
        <v/>
      </c>
      <c r="J73" s="33">
        <f>'ENG_CAPEX'!$I$73+'ENG_CAPEX'!$J$62</f>
        <v/>
      </c>
      <c r="K73" s="33">
        <f>'ENG_CAPEX'!$J$73+'ENG_CAPEX'!$K$62</f>
        <v/>
      </c>
      <c r="L73" s="33">
        <f>'ENG_CAPEX'!$K$73+'ENG_CAPEX'!$L$62</f>
        <v/>
      </c>
      <c r="M73" s="33">
        <f>'ENG_CAPEX'!$L$73+'ENG_CAPEX'!$M$62</f>
        <v/>
      </c>
      <c r="N73" s="33">
        <f>'ENG_CAPEX'!$M$73+'ENG_CAPEX'!$N$62</f>
        <v/>
      </c>
      <c r="O73" s="33">
        <f>'ENG_CAPEX'!$N$73+'ENG_CAPEX'!$O$62</f>
        <v/>
      </c>
      <c r="P73" s="33">
        <f>'ENG_CAPEX'!$O$73+'ENG_CAPEX'!$P$62</f>
        <v/>
      </c>
    </row>
    <row r="74">
      <c r="A74" s="15" t="inlineStr">
        <is>
          <t>استهلاک انباشتهٔ طبقهٔ تأسیسات و تجهیزات جانبی</t>
        </is>
      </c>
      <c r="B74" s="16" t="inlineStr">
        <is>
          <t>CAPEX.adepc.4</t>
        </is>
      </c>
      <c r="C74" s="17" t="inlineStr">
        <is>
          <t>میلیون ریال</t>
        </is>
      </c>
      <c r="D74" s="33">
        <f>'ENG_CAPEX'!$D$63</f>
        <v/>
      </c>
      <c r="E74" s="33">
        <f>'ENG_CAPEX'!$D$74+'ENG_CAPEX'!$E$63</f>
        <v/>
      </c>
      <c r="F74" s="33">
        <f>'ENG_CAPEX'!$E$74+'ENG_CAPEX'!$F$63</f>
        <v/>
      </c>
      <c r="G74" s="33">
        <f>'ENG_CAPEX'!$F$74+'ENG_CAPEX'!$G$63</f>
        <v/>
      </c>
      <c r="H74" s="33">
        <f>'ENG_CAPEX'!$G$74+'ENG_CAPEX'!$H$63</f>
        <v/>
      </c>
      <c r="I74" s="33">
        <f>'ENG_CAPEX'!$H$74+'ENG_CAPEX'!$I$63</f>
        <v/>
      </c>
      <c r="J74" s="33">
        <f>'ENG_CAPEX'!$I$74+'ENG_CAPEX'!$J$63</f>
        <v/>
      </c>
      <c r="K74" s="33">
        <f>'ENG_CAPEX'!$J$74+'ENG_CAPEX'!$K$63</f>
        <v/>
      </c>
      <c r="L74" s="33">
        <f>'ENG_CAPEX'!$K$74+'ENG_CAPEX'!$L$63</f>
        <v/>
      </c>
      <c r="M74" s="33">
        <f>'ENG_CAPEX'!$L$74+'ENG_CAPEX'!$M$63</f>
        <v/>
      </c>
      <c r="N74" s="33">
        <f>'ENG_CAPEX'!$M$74+'ENG_CAPEX'!$N$63</f>
        <v/>
      </c>
      <c r="O74" s="33">
        <f>'ENG_CAPEX'!$N$74+'ENG_CAPEX'!$O$63</f>
        <v/>
      </c>
      <c r="P74" s="33">
        <f>'ENG_CAPEX'!$O$74+'ENG_CAPEX'!$P$63</f>
        <v/>
      </c>
    </row>
    <row r="75">
      <c r="A75" s="15" t="inlineStr">
        <is>
          <t>استهلاک انباشتهٔ طبقهٔ تصفیه‌خانه و تجهیزات زیست‌محیطی</t>
        </is>
      </c>
      <c r="B75" s="16" t="inlineStr">
        <is>
          <t>CAPEX.adepc.5</t>
        </is>
      </c>
      <c r="C75" s="17" t="inlineStr">
        <is>
          <t>میلیون ریال</t>
        </is>
      </c>
      <c r="D75" s="33">
        <f>'ENG_CAPEX'!$D$64</f>
        <v/>
      </c>
      <c r="E75" s="33">
        <f>'ENG_CAPEX'!$D$75+'ENG_CAPEX'!$E$64</f>
        <v/>
      </c>
      <c r="F75" s="33">
        <f>'ENG_CAPEX'!$E$75+'ENG_CAPEX'!$F$64</f>
        <v/>
      </c>
      <c r="G75" s="33">
        <f>'ENG_CAPEX'!$F$75+'ENG_CAPEX'!$G$64</f>
        <v/>
      </c>
      <c r="H75" s="33">
        <f>'ENG_CAPEX'!$G$75+'ENG_CAPEX'!$H$64</f>
        <v/>
      </c>
      <c r="I75" s="33">
        <f>'ENG_CAPEX'!$H$75+'ENG_CAPEX'!$I$64</f>
        <v/>
      </c>
      <c r="J75" s="33">
        <f>'ENG_CAPEX'!$I$75+'ENG_CAPEX'!$J$64</f>
        <v/>
      </c>
      <c r="K75" s="33">
        <f>'ENG_CAPEX'!$J$75+'ENG_CAPEX'!$K$64</f>
        <v/>
      </c>
      <c r="L75" s="33">
        <f>'ENG_CAPEX'!$K$75+'ENG_CAPEX'!$L$64</f>
        <v/>
      </c>
      <c r="M75" s="33">
        <f>'ENG_CAPEX'!$L$75+'ENG_CAPEX'!$M$64</f>
        <v/>
      </c>
      <c r="N75" s="33">
        <f>'ENG_CAPEX'!$M$75+'ENG_CAPEX'!$N$64</f>
        <v/>
      </c>
      <c r="O75" s="33">
        <f>'ENG_CAPEX'!$N$75+'ENG_CAPEX'!$O$64</f>
        <v/>
      </c>
      <c r="P75" s="33">
        <f>'ENG_CAPEX'!$O$75+'ENG_CAPEX'!$P$64</f>
        <v/>
      </c>
    </row>
    <row r="76">
      <c r="A76" s="15" t="inlineStr">
        <is>
          <t>استهلاک انباشتهٔ طبقهٔ تجهیزات حمل‌ونقل داخلی</t>
        </is>
      </c>
      <c r="B76" s="16" t="inlineStr">
        <is>
          <t>CAPEX.adepc.6</t>
        </is>
      </c>
      <c r="C76" s="17" t="inlineStr">
        <is>
          <t>میلیون ریال</t>
        </is>
      </c>
      <c r="D76" s="33">
        <f>'ENG_CAPEX'!$D$65</f>
        <v/>
      </c>
      <c r="E76" s="33">
        <f>'ENG_CAPEX'!$D$76+'ENG_CAPEX'!$E$65</f>
        <v/>
      </c>
      <c r="F76" s="33">
        <f>'ENG_CAPEX'!$E$76+'ENG_CAPEX'!$F$65</f>
        <v/>
      </c>
      <c r="G76" s="33">
        <f>'ENG_CAPEX'!$F$76+'ENG_CAPEX'!$G$65</f>
        <v/>
      </c>
      <c r="H76" s="33">
        <f>'ENG_CAPEX'!$G$76+'ENG_CAPEX'!$H$65</f>
        <v/>
      </c>
      <c r="I76" s="33">
        <f>'ENG_CAPEX'!$H$76+'ENG_CAPEX'!$I$65</f>
        <v/>
      </c>
      <c r="J76" s="33">
        <f>'ENG_CAPEX'!$I$76+'ENG_CAPEX'!$J$65</f>
        <v/>
      </c>
      <c r="K76" s="33">
        <f>'ENG_CAPEX'!$J$76+'ENG_CAPEX'!$K$65</f>
        <v/>
      </c>
      <c r="L76" s="33">
        <f>'ENG_CAPEX'!$K$76+'ENG_CAPEX'!$L$65</f>
        <v/>
      </c>
      <c r="M76" s="33">
        <f>'ENG_CAPEX'!$L$76+'ENG_CAPEX'!$M$65</f>
        <v/>
      </c>
      <c r="N76" s="33">
        <f>'ENG_CAPEX'!$M$76+'ENG_CAPEX'!$N$65</f>
        <v/>
      </c>
      <c r="O76" s="33">
        <f>'ENG_CAPEX'!$N$76+'ENG_CAPEX'!$O$65</f>
        <v/>
      </c>
      <c r="P76" s="33">
        <f>'ENG_CAPEX'!$O$76+'ENG_CAPEX'!$P$65</f>
        <v/>
      </c>
    </row>
    <row r="77">
      <c r="A77" s="15" t="inlineStr">
        <is>
          <t>استهلاک انباشتهٔ طبقهٔ آزمایشگاه و ابزار دقیق</t>
        </is>
      </c>
      <c r="B77" s="16" t="inlineStr">
        <is>
          <t>CAPEX.adepc.7</t>
        </is>
      </c>
      <c r="C77" s="17" t="inlineStr">
        <is>
          <t>میلیون ریال</t>
        </is>
      </c>
      <c r="D77" s="33">
        <f>'ENG_CAPEX'!$D$66</f>
        <v/>
      </c>
      <c r="E77" s="33">
        <f>'ENG_CAPEX'!$D$77+'ENG_CAPEX'!$E$66</f>
        <v/>
      </c>
      <c r="F77" s="33">
        <f>'ENG_CAPEX'!$E$77+'ENG_CAPEX'!$F$66</f>
        <v/>
      </c>
      <c r="G77" s="33">
        <f>'ENG_CAPEX'!$F$77+'ENG_CAPEX'!$G$66</f>
        <v/>
      </c>
      <c r="H77" s="33">
        <f>'ENG_CAPEX'!$G$77+'ENG_CAPEX'!$H$66</f>
        <v/>
      </c>
      <c r="I77" s="33">
        <f>'ENG_CAPEX'!$H$77+'ENG_CAPEX'!$I$66</f>
        <v/>
      </c>
      <c r="J77" s="33">
        <f>'ENG_CAPEX'!$I$77+'ENG_CAPEX'!$J$66</f>
        <v/>
      </c>
      <c r="K77" s="33">
        <f>'ENG_CAPEX'!$J$77+'ENG_CAPEX'!$K$66</f>
        <v/>
      </c>
      <c r="L77" s="33">
        <f>'ENG_CAPEX'!$K$77+'ENG_CAPEX'!$L$66</f>
        <v/>
      </c>
      <c r="M77" s="33">
        <f>'ENG_CAPEX'!$L$77+'ENG_CAPEX'!$M$66</f>
        <v/>
      </c>
      <c r="N77" s="33">
        <f>'ENG_CAPEX'!$M$77+'ENG_CAPEX'!$N$66</f>
        <v/>
      </c>
      <c r="O77" s="33">
        <f>'ENG_CAPEX'!$N$77+'ENG_CAPEX'!$O$66</f>
        <v/>
      </c>
      <c r="P77" s="33">
        <f>'ENG_CAPEX'!$O$77+'ENG_CAPEX'!$P$66</f>
        <v/>
      </c>
    </row>
    <row r="78">
      <c r="A78" s="15" t="inlineStr">
        <is>
          <t>استهلاک انباشتهٔ طبقهٔ مهندسی، نصب و راه‌اندازی</t>
        </is>
      </c>
      <c r="B78" s="16" t="inlineStr">
        <is>
          <t>CAPEX.adepc.8</t>
        </is>
      </c>
      <c r="C78" s="17" t="inlineStr">
        <is>
          <t>میلیون ریال</t>
        </is>
      </c>
      <c r="D78" s="33">
        <f>'ENG_CAPEX'!$D$67</f>
        <v/>
      </c>
      <c r="E78" s="33">
        <f>'ENG_CAPEX'!$D$78+'ENG_CAPEX'!$E$67</f>
        <v/>
      </c>
      <c r="F78" s="33">
        <f>'ENG_CAPEX'!$E$78+'ENG_CAPEX'!$F$67</f>
        <v/>
      </c>
      <c r="G78" s="33">
        <f>'ENG_CAPEX'!$F$78+'ENG_CAPEX'!$G$67</f>
        <v/>
      </c>
      <c r="H78" s="33">
        <f>'ENG_CAPEX'!$G$78+'ENG_CAPEX'!$H$67</f>
        <v/>
      </c>
      <c r="I78" s="33">
        <f>'ENG_CAPEX'!$H$78+'ENG_CAPEX'!$I$67</f>
        <v/>
      </c>
      <c r="J78" s="33">
        <f>'ENG_CAPEX'!$I$78+'ENG_CAPEX'!$J$67</f>
        <v/>
      </c>
      <c r="K78" s="33">
        <f>'ENG_CAPEX'!$J$78+'ENG_CAPEX'!$K$67</f>
        <v/>
      </c>
      <c r="L78" s="33">
        <f>'ENG_CAPEX'!$K$78+'ENG_CAPEX'!$L$67</f>
        <v/>
      </c>
      <c r="M78" s="33">
        <f>'ENG_CAPEX'!$L$78+'ENG_CAPEX'!$M$67</f>
        <v/>
      </c>
      <c r="N78" s="33">
        <f>'ENG_CAPEX'!$M$78+'ENG_CAPEX'!$N$67</f>
        <v/>
      </c>
      <c r="O78" s="33">
        <f>'ENG_CAPEX'!$N$78+'ENG_CAPEX'!$O$67</f>
        <v/>
      </c>
      <c r="P78" s="33">
        <f>'ENG_CAPEX'!$O$78+'ENG_CAPEX'!$P$67</f>
        <v/>
      </c>
    </row>
    <row r="79">
      <c r="A79" s="15" t="inlineStr">
        <is>
          <t>استهلاک انباشتهٔ طبقهٔ هزینه‌های پیش از بهره‌برداری</t>
        </is>
      </c>
      <c r="B79" s="16" t="inlineStr">
        <is>
          <t>CAPEX.adepc.9</t>
        </is>
      </c>
      <c r="C79" s="17" t="inlineStr">
        <is>
          <t>میلیون ریال</t>
        </is>
      </c>
      <c r="D79" s="33">
        <f>'ENG_CAPEX'!$D$68</f>
        <v/>
      </c>
      <c r="E79" s="33">
        <f>'ENG_CAPEX'!$D$79+'ENG_CAPEX'!$E$68</f>
        <v/>
      </c>
      <c r="F79" s="33">
        <f>'ENG_CAPEX'!$E$79+'ENG_CAPEX'!$F$68</f>
        <v/>
      </c>
      <c r="G79" s="33">
        <f>'ENG_CAPEX'!$F$79+'ENG_CAPEX'!$G$68</f>
        <v/>
      </c>
      <c r="H79" s="33">
        <f>'ENG_CAPEX'!$G$79+'ENG_CAPEX'!$H$68</f>
        <v/>
      </c>
      <c r="I79" s="33">
        <f>'ENG_CAPEX'!$H$79+'ENG_CAPEX'!$I$68</f>
        <v/>
      </c>
      <c r="J79" s="33">
        <f>'ENG_CAPEX'!$I$79+'ENG_CAPEX'!$J$68</f>
        <v/>
      </c>
      <c r="K79" s="33">
        <f>'ENG_CAPEX'!$J$79+'ENG_CAPEX'!$K$68</f>
        <v/>
      </c>
      <c r="L79" s="33">
        <f>'ENG_CAPEX'!$K$79+'ENG_CAPEX'!$L$68</f>
        <v/>
      </c>
      <c r="M79" s="33">
        <f>'ENG_CAPEX'!$L$79+'ENG_CAPEX'!$M$68</f>
        <v/>
      </c>
      <c r="N79" s="33">
        <f>'ENG_CAPEX'!$M$79+'ENG_CAPEX'!$N$68</f>
        <v/>
      </c>
      <c r="O79" s="33">
        <f>'ENG_CAPEX'!$N$79+'ENG_CAPEX'!$O$68</f>
        <v/>
      </c>
      <c r="P79" s="33">
        <f>'ENG_CAPEX'!$O$79+'ENG_CAPEX'!$P$68</f>
        <v/>
      </c>
    </row>
    <row r="80">
      <c r="A80" s="15" t="inlineStr">
        <is>
          <t>استهلاک انباشتهٔ طبقهٔ ذخیره احتیاطی فیزیکی</t>
        </is>
      </c>
      <c r="B80" s="16" t="inlineStr">
        <is>
          <t>CAPEX.adepc.10</t>
        </is>
      </c>
      <c r="C80" s="17" t="inlineStr">
        <is>
          <t>میلیون ریال</t>
        </is>
      </c>
      <c r="D80" s="33">
        <f>'ENG_CAPEX'!$D$69</f>
        <v/>
      </c>
      <c r="E80" s="33">
        <f>'ENG_CAPEX'!$D$80+'ENG_CAPEX'!$E$69</f>
        <v/>
      </c>
      <c r="F80" s="33">
        <f>'ENG_CAPEX'!$E$80+'ENG_CAPEX'!$F$69</f>
        <v/>
      </c>
      <c r="G80" s="33">
        <f>'ENG_CAPEX'!$F$80+'ENG_CAPEX'!$G$69</f>
        <v/>
      </c>
      <c r="H80" s="33">
        <f>'ENG_CAPEX'!$G$80+'ENG_CAPEX'!$H$69</f>
        <v/>
      </c>
      <c r="I80" s="33">
        <f>'ENG_CAPEX'!$H$80+'ENG_CAPEX'!$I$69</f>
        <v/>
      </c>
      <c r="J80" s="33">
        <f>'ENG_CAPEX'!$I$80+'ENG_CAPEX'!$J$69</f>
        <v/>
      </c>
      <c r="K80" s="33">
        <f>'ENG_CAPEX'!$J$80+'ENG_CAPEX'!$K$69</f>
        <v/>
      </c>
      <c r="L80" s="33">
        <f>'ENG_CAPEX'!$K$80+'ENG_CAPEX'!$L$69</f>
        <v/>
      </c>
      <c r="M80" s="33">
        <f>'ENG_CAPEX'!$L$80+'ENG_CAPEX'!$M$69</f>
        <v/>
      </c>
      <c r="N80" s="33">
        <f>'ENG_CAPEX'!$M$80+'ENG_CAPEX'!$N$69</f>
        <v/>
      </c>
      <c r="O80" s="33">
        <f>'ENG_CAPEX'!$N$80+'ENG_CAPEX'!$O$69</f>
        <v/>
      </c>
      <c r="P80" s="33">
        <f>'ENG_CAPEX'!$O$80+'ENG_CAPEX'!$P$69</f>
        <v/>
      </c>
    </row>
    <row r="81">
      <c r="A81" s="8" t="inlineStr">
        <is>
          <t>جمع استهلاک سالانه</t>
        </is>
      </c>
      <c r="B81" s="16" t="inlineStr">
        <is>
          <t>CAPEX.dep_total</t>
        </is>
      </c>
      <c r="C81" s="17" t="inlineStr">
        <is>
          <t>میلیون ریال</t>
        </is>
      </c>
      <c r="D81" s="33">
        <f>'ENG_CAPEX'!$D$59+'ENG_CAPEX'!$D$60+'ENG_CAPEX'!$D$61+'ENG_CAPEX'!$D$62+'ENG_CAPEX'!$D$63+'ENG_CAPEX'!$D$64+'ENG_CAPEX'!$D$65+'ENG_CAPEX'!$D$66+'ENG_CAPEX'!$D$67+'ENG_CAPEX'!$D$68+'ENG_CAPEX'!$D$69</f>
        <v/>
      </c>
      <c r="E81" s="33">
        <f>'ENG_CAPEX'!$E$59+'ENG_CAPEX'!$E$60+'ENG_CAPEX'!$E$61+'ENG_CAPEX'!$E$62+'ENG_CAPEX'!$E$63+'ENG_CAPEX'!$E$64+'ENG_CAPEX'!$E$65+'ENG_CAPEX'!$E$66+'ENG_CAPEX'!$E$67+'ENG_CAPEX'!$E$68+'ENG_CAPEX'!$E$69</f>
        <v/>
      </c>
      <c r="F81" s="33">
        <f>'ENG_CAPEX'!$F$59+'ENG_CAPEX'!$F$60+'ENG_CAPEX'!$F$61+'ENG_CAPEX'!$F$62+'ENG_CAPEX'!$F$63+'ENG_CAPEX'!$F$64+'ENG_CAPEX'!$F$65+'ENG_CAPEX'!$F$66+'ENG_CAPEX'!$F$67+'ENG_CAPEX'!$F$68+'ENG_CAPEX'!$F$69</f>
        <v/>
      </c>
      <c r="G81" s="33">
        <f>'ENG_CAPEX'!$G$59+'ENG_CAPEX'!$G$60+'ENG_CAPEX'!$G$61+'ENG_CAPEX'!$G$62+'ENG_CAPEX'!$G$63+'ENG_CAPEX'!$G$64+'ENG_CAPEX'!$G$65+'ENG_CAPEX'!$G$66+'ENG_CAPEX'!$G$67+'ENG_CAPEX'!$G$68+'ENG_CAPEX'!$G$69</f>
        <v/>
      </c>
      <c r="H81" s="33">
        <f>'ENG_CAPEX'!$H$59+'ENG_CAPEX'!$H$60+'ENG_CAPEX'!$H$61+'ENG_CAPEX'!$H$62+'ENG_CAPEX'!$H$63+'ENG_CAPEX'!$H$64+'ENG_CAPEX'!$H$65+'ENG_CAPEX'!$H$66+'ENG_CAPEX'!$H$67+'ENG_CAPEX'!$H$68+'ENG_CAPEX'!$H$69</f>
        <v/>
      </c>
      <c r="I81" s="33">
        <f>'ENG_CAPEX'!$I$59+'ENG_CAPEX'!$I$60+'ENG_CAPEX'!$I$61+'ENG_CAPEX'!$I$62+'ENG_CAPEX'!$I$63+'ENG_CAPEX'!$I$64+'ENG_CAPEX'!$I$65+'ENG_CAPEX'!$I$66+'ENG_CAPEX'!$I$67+'ENG_CAPEX'!$I$68+'ENG_CAPEX'!$I$69</f>
        <v/>
      </c>
      <c r="J81" s="33">
        <f>'ENG_CAPEX'!$J$59+'ENG_CAPEX'!$J$60+'ENG_CAPEX'!$J$61+'ENG_CAPEX'!$J$62+'ENG_CAPEX'!$J$63+'ENG_CAPEX'!$J$64+'ENG_CAPEX'!$J$65+'ENG_CAPEX'!$J$66+'ENG_CAPEX'!$J$67+'ENG_CAPEX'!$J$68+'ENG_CAPEX'!$J$69</f>
        <v/>
      </c>
      <c r="K81" s="33">
        <f>'ENG_CAPEX'!$K$59+'ENG_CAPEX'!$K$60+'ENG_CAPEX'!$K$61+'ENG_CAPEX'!$K$62+'ENG_CAPEX'!$K$63+'ENG_CAPEX'!$K$64+'ENG_CAPEX'!$K$65+'ENG_CAPEX'!$K$66+'ENG_CAPEX'!$K$67+'ENG_CAPEX'!$K$68+'ENG_CAPEX'!$K$69</f>
        <v/>
      </c>
      <c r="L81" s="33">
        <f>'ENG_CAPEX'!$L$59+'ENG_CAPEX'!$L$60+'ENG_CAPEX'!$L$61+'ENG_CAPEX'!$L$62+'ENG_CAPEX'!$L$63+'ENG_CAPEX'!$L$64+'ENG_CAPEX'!$L$65+'ENG_CAPEX'!$L$66+'ENG_CAPEX'!$L$67+'ENG_CAPEX'!$L$68+'ENG_CAPEX'!$L$69</f>
        <v/>
      </c>
      <c r="M81" s="33">
        <f>'ENG_CAPEX'!$M$59+'ENG_CAPEX'!$M$60+'ENG_CAPEX'!$M$61+'ENG_CAPEX'!$M$62+'ENG_CAPEX'!$M$63+'ENG_CAPEX'!$M$64+'ENG_CAPEX'!$M$65+'ENG_CAPEX'!$M$66+'ENG_CAPEX'!$M$67+'ENG_CAPEX'!$M$68+'ENG_CAPEX'!$M$69</f>
        <v/>
      </c>
      <c r="N81" s="33">
        <f>'ENG_CAPEX'!$N$59+'ENG_CAPEX'!$N$60+'ENG_CAPEX'!$N$61+'ENG_CAPEX'!$N$62+'ENG_CAPEX'!$N$63+'ENG_CAPEX'!$N$64+'ENG_CAPEX'!$N$65+'ENG_CAPEX'!$N$66+'ENG_CAPEX'!$N$67+'ENG_CAPEX'!$N$68+'ENG_CAPEX'!$N$69</f>
        <v/>
      </c>
      <c r="O81" s="33">
        <f>'ENG_CAPEX'!$O$59+'ENG_CAPEX'!$O$60+'ENG_CAPEX'!$O$61+'ENG_CAPEX'!$O$62+'ENG_CAPEX'!$O$63+'ENG_CAPEX'!$O$64+'ENG_CAPEX'!$O$65+'ENG_CAPEX'!$O$66+'ENG_CAPEX'!$O$67+'ENG_CAPEX'!$O$68+'ENG_CAPEX'!$O$69</f>
        <v/>
      </c>
      <c r="P81" s="33">
        <f>'ENG_CAPEX'!$P$59+'ENG_CAPEX'!$P$60+'ENG_CAPEX'!$P$61+'ENG_CAPEX'!$P$62+'ENG_CAPEX'!$P$63+'ENG_CAPEX'!$P$64+'ENG_CAPEX'!$P$65+'ENG_CAPEX'!$P$66+'ENG_CAPEX'!$P$67+'ENG_CAPEX'!$P$68+'ENG_CAPEX'!$P$69</f>
        <v/>
      </c>
    </row>
    <row r="82">
      <c r="A82" s="15" t="inlineStr">
        <is>
          <t>استهلاک انباشته - افتتاحیه</t>
        </is>
      </c>
      <c r="B82" s="16" t="inlineStr">
        <is>
          <t>CAPEX.accumdep_open</t>
        </is>
      </c>
      <c r="C82" s="17" t="inlineStr">
        <is>
          <t>میلیون ریال</t>
        </is>
      </c>
      <c r="D82" s="33">
        <f>0</f>
        <v/>
      </c>
      <c r="E82" s="33">
        <f>'ENG_CAPEX'!$D$83</f>
        <v/>
      </c>
      <c r="F82" s="33">
        <f>'ENG_CAPEX'!$E$83</f>
        <v/>
      </c>
      <c r="G82" s="33">
        <f>'ENG_CAPEX'!$F$83</f>
        <v/>
      </c>
      <c r="H82" s="33">
        <f>'ENG_CAPEX'!$G$83</f>
        <v/>
      </c>
      <c r="I82" s="33">
        <f>'ENG_CAPEX'!$H$83</f>
        <v/>
      </c>
      <c r="J82" s="33">
        <f>'ENG_CAPEX'!$I$83</f>
        <v/>
      </c>
      <c r="K82" s="33">
        <f>'ENG_CAPEX'!$J$83</f>
        <v/>
      </c>
      <c r="L82" s="33">
        <f>'ENG_CAPEX'!$K$83</f>
        <v/>
      </c>
      <c r="M82" s="33">
        <f>'ENG_CAPEX'!$L$83</f>
        <v/>
      </c>
      <c r="N82" s="33">
        <f>'ENG_CAPEX'!$M$83</f>
        <v/>
      </c>
      <c r="O82" s="33">
        <f>'ENG_CAPEX'!$N$83</f>
        <v/>
      </c>
      <c r="P82" s="33">
        <f>'ENG_CAPEX'!$O$83</f>
        <v/>
      </c>
    </row>
    <row r="83">
      <c r="A83" s="15" t="inlineStr">
        <is>
          <t>استهلاک انباشته - اختتامیه</t>
        </is>
      </c>
      <c r="B83" s="16" t="inlineStr">
        <is>
          <t>CAPEX.accumdep</t>
        </is>
      </c>
      <c r="C83" s="17" t="inlineStr">
        <is>
          <t>میلیون ریال</t>
        </is>
      </c>
      <c r="D83" s="33">
        <f>'ENG_CAPEX'!$D$82+'ENG_CAPEX'!$D$81</f>
        <v/>
      </c>
      <c r="E83" s="33">
        <f>'ENG_CAPEX'!$E$82+'ENG_CAPEX'!$E$81</f>
        <v/>
      </c>
      <c r="F83" s="33">
        <f>'ENG_CAPEX'!$F$82+'ENG_CAPEX'!$F$81</f>
        <v/>
      </c>
      <c r="G83" s="33">
        <f>'ENG_CAPEX'!$G$82+'ENG_CAPEX'!$G$81</f>
        <v/>
      </c>
      <c r="H83" s="33">
        <f>'ENG_CAPEX'!$H$82+'ENG_CAPEX'!$H$81</f>
        <v/>
      </c>
      <c r="I83" s="33">
        <f>'ENG_CAPEX'!$I$82+'ENG_CAPEX'!$I$81</f>
        <v/>
      </c>
      <c r="J83" s="33">
        <f>'ENG_CAPEX'!$J$82+'ENG_CAPEX'!$J$81</f>
        <v/>
      </c>
      <c r="K83" s="33">
        <f>'ENG_CAPEX'!$K$82+'ENG_CAPEX'!$K$81</f>
        <v/>
      </c>
      <c r="L83" s="33">
        <f>'ENG_CAPEX'!$L$82+'ENG_CAPEX'!$L$81</f>
        <v/>
      </c>
      <c r="M83" s="33">
        <f>'ENG_CAPEX'!$M$82+'ENG_CAPEX'!$M$81</f>
        <v/>
      </c>
      <c r="N83" s="33">
        <f>'ENG_CAPEX'!$N$82+'ENG_CAPEX'!$N$81</f>
        <v/>
      </c>
      <c r="O83" s="33">
        <f>'ENG_CAPEX'!$O$82+'ENG_CAPEX'!$O$81</f>
        <v/>
      </c>
      <c r="P83" s="33">
        <f>'ENG_CAPEX'!$P$82+'ENG_CAPEX'!$P$81</f>
        <v/>
      </c>
    </row>
    <row r="84">
      <c r="A84" s="8" t="inlineStr">
        <is>
          <t>ارزش دفتری خالص (NBV)</t>
        </is>
      </c>
      <c r="B84" s="16" t="inlineStr">
        <is>
          <t>CAPEX.nbv</t>
        </is>
      </c>
      <c r="C84" s="17" t="inlineStr">
        <is>
          <t>میلیون ریال</t>
        </is>
      </c>
      <c r="D84" s="33">
        <f>'ENG_CAPEX'!$D$47-'ENG_CAPEX'!$D$83</f>
        <v/>
      </c>
      <c r="E84" s="33">
        <f>'ENG_CAPEX'!$E$47-'ENG_CAPEX'!$E$83</f>
        <v/>
      </c>
      <c r="F84" s="33">
        <f>'ENG_CAPEX'!$F$47-'ENG_CAPEX'!$F$83</f>
        <v/>
      </c>
      <c r="G84" s="33">
        <f>'ENG_CAPEX'!$G$47-'ENG_CAPEX'!$G$83</f>
        <v/>
      </c>
      <c r="H84" s="33">
        <f>'ENG_CAPEX'!$H$47-'ENG_CAPEX'!$H$83</f>
        <v/>
      </c>
      <c r="I84" s="33">
        <f>'ENG_CAPEX'!$I$47-'ENG_CAPEX'!$I$83</f>
        <v/>
      </c>
      <c r="J84" s="33">
        <f>'ENG_CAPEX'!$J$47-'ENG_CAPEX'!$J$83</f>
        <v/>
      </c>
      <c r="K84" s="33">
        <f>'ENG_CAPEX'!$K$47-'ENG_CAPEX'!$K$83</f>
        <v/>
      </c>
      <c r="L84" s="33">
        <f>'ENG_CAPEX'!$L$47-'ENG_CAPEX'!$L$83</f>
        <v/>
      </c>
      <c r="M84" s="33">
        <f>'ENG_CAPEX'!$M$47-'ENG_CAPEX'!$M$83</f>
        <v/>
      </c>
      <c r="N84" s="33">
        <f>'ENG_CAPEX'!$N$47-'ENG_CAPEX'!$N$83</f>
        <v/>
      </c>
      <c r="O84" s="33">
        <f>'ENG_CAPEX'!$O$47-'ENG_CAPEX'!$O$83</f>
        <v/>
      </c>
      <c r="P84" s="33">
        <f>'ENG_CAPEX'!$P$47-'ENG_CAPEX'!$P$83</f>
        <v/>
      </c>
    </row>
    <row r="85">
      <c r="A85" s="15" t="inlineStr">
        <is>
          <t>ارزش اسقاط برآوردی در پایان افق</t>
        </is>
      </c>
      <c r="B85" s="16" t="inlineStr">
        <is>
          <t>CAPEX.salvage</t>
        </is>
      </c>
      <c r="C85" s="17" t="inlineStr">
        <is>
          <t>میلیون ریال</t>
        </is>
      </c>
      <c r="D85" s="33">
        <f>IF('IN_MACRO'!$D$23&lt;'IN_MACRO'!$D$11,0,('IN_FIN'!$D$9*'IN_FIN'!$I$9*'ENG_SCEN'!$D$32)+('IN_FIN'!$D$10*'IN_FIN'!$I$10*'ENG_SCEN'!$D$32)+('IN_FIN'!$D$11*'IN_FIN'!$I$11*'ENG_SCEN'!$D$32)+('IN_FIN'!$D$12*'IN_FIN'!$I$12*'ENG_SCEN'!$D$32)+('IN_FIN'!$D$13*'IN_FIN'!$I$13*'ENG_SCEN'!$D$32)+('IN_FIN'!$D$14*'IN_FIN'!$I$14*'ENG_SCEN'!$D$32)+('IN_FIN'!$D$15*'IN_FIN'!$I$15*'ENG_SCEN'!$D$32)+('IN_FIN'!$D$16*'IN_FIN'!$I$16*'ENG_SCEN'!$D$32)+('IN_FIN'!$D$17*'IN_FIN'!$I$17*'ENG_SCEN'!$D$32)+('IN_FIN'!$D$18*'IN_FIN'!$I$18*'ENG_SCEN'!$D$32)+('IN_FIN'!$D$19*'IN_FIN'!$I$19*'ENG_SCEN'!$D$32))</f>
        <v/>
      </c>
      <c r="E85" s="33">
        <f>IF('IN_MACRO'!$E$23&lt;'IN_MACRO'!$D$11,0,('IN_FIN'!$D$9*'IN_FIN'!$I$9*'ENG_SCEN'!$E$32)+('IN_FIN'!$D$10*'IN_FIN'!$I$10*'ENG_SCEN'!$E$32)+('IN_FIN'!$D$11*'IN_FIN'!$I$11*'ENG_SCEN'!$E$32)+('IN_FIN'!$D$12*'IN_FIN'!$I$12*'ENG_SCEN'!$E$32)+('IN_FIN'!$D$13*'IN_FIN'!$I$13*'ENG_SCEN'!$E$32)+('IN_FIN'!$D$14*'IN_FIN'!$I$14*'ENG_SCEN'!$E$32)+('IN_FIN'!$D$15*'IN_FIN'!$I$15*'ENG_SCEN'!$E$32)+('IN_FIN'!$D$16*'IN_FIN'!$I$16*'ENG_SCEN'!$E$32)+('IN_FIN'!$D$17*'IN_FIN'!$I$17*'ENG_SCEN'!$E$32)+('IN_FIN'!$D$18*'IN_FIN'!$I$18*'ENG_SCEN'!$E$32)+('IN_FIN'!$D$19*'IN_FIN'!$I$19*'ENG_SCEN'!$E$32))</f>
        <v/>
      </c>
      <c r="F85" s="33">
        <f>IF('IN_MACRO'!$F$23&lt;'IN_MACRO'!$D$11,0,('IN_FIN'!$D$9*'IN_FIN'!$I$9*'ENG_SCEN'!$F$32)+('IN_FIN'!$D$10*'IN_FIN'!$I$10*'ENG_SCEN'!$F$32)+('IN_FIN'!$D$11*'IN_FIN'!$I$11*'ENG_SCEN'!$F$32)+('IN_FIN'!$D$12*'IN_FIN'!$I$12*'ENG_SCEN'!$F$32)+('IN_FIN'!$D$13*'IN_FIN'!$I$13*'ENG_SCEN'!$F$32)+('IN_FIN'!$D$14*'IN_FIN'!$I$14*'ENG_SCEN'!$F$32)+('IN_FIN'!$D$15*'IN_FIN'!$I$15*'ENG_SCEN'!$F$32)+('IN_FIN'!$D$16*'IN_FIN'!$I$16*'ENG_SCEN'!$F$32)+('IN_FIN'!$D$17*'IN_FIN'!$I$17*'ENG_SCEN'!$F$32)+('IN_FIN'!$D$18*'IN_FIN'!$I$18*'ENG_SCEN'!$F$32)+('IN_FIN'!$D$19*'IN_FIN'!$I$19*'ENG_SCEN'!$F$32))</f>
        <v/>
      </c>
      <c r="G85" s="33">
        <f>IF('IN_MACRO'!$G$23&lt;'IN_MACRO'!$D$11,0,('IN_FIN'!$D$9*'IN_FIN'!$I$9*'ENG_SCEN'!$G$32)+('IN_FIN'!$D$10*'IN_FIN'!$I$10*'ENG_SCEN'!$G$32)+('IN_FIN'!$D$11*'IN_FIN'!$I$11*'ENG_SCEN'!$G$32)+('IN_FIN'!$D$12*'IN_FIN'!$I$12*'ENG_SCEN'!$G$32)+('IN_FIN'!$D$13*'IN_FIN'!$I$13*'ENG_SCEN'!$G$32)+('IN_FIN'!$D$14*'IN_FIN'!$I$14*'ENG_SCEN'!$G$32)+('IN_FIN'!$D$15*'IN_FIN'!$I$15*'ENG_SCEN'!$G$32)+('IN_FIN'!$D$16*'IN_FIN'!$I$16*'ENG_SCEN'!$G$32)+('IN_FIN'!$D$17*'IN_FIN'!$I$17*'ENG_SCEN'!$G$32)+('IN_FIN'!$D$18*'IN_FIN'!$I$18*'ENG_SCEN'!$G$32)+('IN_FIN'!$D$19*'IN_FIN'!$I$19*'ENG_SCEN'!$G$32))</f>
        <v/>
      </c>
      <c r="H85" s="33">
        <f>IF('IN_MACRO'!$H$23&lt;'IN_MACRO'!$D$11,0,('IN_FIN'!$D$9*'IN_FIN'!$I$9*'ENG_SCEN'!$H$32)+('IN_FIN'!$D$10*'IN_FIN'!$I$10*'ENG_SCEN'!$H$32)+('IN_FIN'!$D$11*'IN_FIN'!$I$11*'ENG_SCEN'!$H$32)+('IN_FIN'!$D$12*'IN_FIN'!$I$12*'ENG_SCEN'!$H$32)+('IN_FIN'!$D$13*'IN_FIN'!$I$13*'ENG_SCEN'!$H$32)+('IN_FIN'!$D$14*'IN_FIN'!$I$14*'ENG_SCEN'!$H$32)+('IN_FIN'!$D$15*'IN_FIN'!$I$15*'ENG_SCEN'!$H$32)+('IN_FIN'!$D$16*'IN_FIN'!$I$16*'ENG_SCEN'!$H$32)+('IN_FIN'!$D$17*'IN_FIN'!$I$17*'ENG_SCEN'!$H$32)+('IN_FIN'!$D$18*'IN_FIN'!$I$18*'ENG_SCEN'!$H$32)+('IN_FIN'!$D$19*'IN_FIN'!$I$19*'ENG_SCEN'!$H$32))</f>
        <v/>
      </c>
      <c r="I85" s="33">
        <f>IF('IN_MACRO'!$I$23&lt;'IN_MACRO'!$D$11,0,('IN_FIN'!$D$9*'IN_FIN'!$I$9*'ENG_SCEN'!$I$32)+('IN_FIN'!$D$10*'IN_FIN'!$I$10*'ENG_SCEN'!$I$32)+('IN_FIN'!$D$11*'IN_FIN'!$I$11*'ENG_SCEN'!$I$32)+('IN_FIN'!$D$12*'IN_FIN'!$I$12*'ENG_SCEN'!$I$32)+('IN_FIN'!$D$13*'IN_FIN'!$I$13*'ENG_SCEN'!$I$32)+('IN_FIN'!$D$14*'IN_FIN'!$I$14*'ENG_SCEN'!$I$32)+('IN_FIN'!$D$15*'IN_FIN'!$I$15*'ENG_SCEN'!$I$32)+('IN_FIN'!$D$16*'IN_FIN'!$I$16*'ENG_SCEN'!$I$32)+('IN_FIN'!$D$17*'IN_FIN'!$I$17*'ENG_SCEN'!$I$32)+('IN_FIN'!$D$18*'IN_FIN'!$I$18*'ENG_SCEN'!$I$32)+('IN_FIN'!$D$19*'IN_FIN'!$I$19*'ENG_SCEN'!$I$32))</f>
        <v/>
      </c>
      <c r="J85" s="33">
        <f>IF('IN_MACRO'!$J$23&lt;'IN_MACRO'!$D$11,0,('IN_FIN'!$D$9*'IN_FIN'!$I$9*'ENG_SCEN'!$J$32)+('IN_FIN'!$D$10*'IN_FIN'!$I$10*'ENG_SCEN'!$J$32)+('IN_FIN'!$D$11*'IN_FIN'!$I$11*'ENG_SCEN'!$J$32)+('IN_FIN'!$D$12*'IN_FIN'!$I$12*'ENG_SCEN'!$J$32)+('IN_FIN'!$D$13*'IN_FIN'!$I$13*'ENG_SCEN'!$J$32)+('IN_FIN'!$D$14*'IN_FIN'!$I$14*'ENG_SCEN'!$J$32)+('IN_FIN'!$D$15*'IN_FIN'!$I$15*'ENG_SCEN'!$J$32)+('IN_FIN'!$D$16*'IN_FIN'!$I$16*'ENG_SCEN'!$J$32)+('IN_FIN'!$D$17*'IN_FIN'!$I$17*'ENG_SCEN'!$J$32)+('IN_FIN'!$D$18*'IN_FIN'!$I$18*'ENG_SCEN'!$J$32)+('IN_FIN'!$D$19*'IN_FIN'!$I$19*'ENG_SCEN'!$J$32))</f>
        <v/>
      </c>
      <c r="K85" s="33">
        <f>IF('IN_MACRO'!$K$23&lt;'IN_MACRO'!$D$11,0,('IN_FIN'!$D$9*'IN_FIN'!$I$9*'ENG_SCEN'!$K$32)+('IN_FIN'!$D$10*'IN_FIN'!$I$10*'ENG_SCEN'!$K$32)+('IN_FIN'!$D$11*'IN_FIN'!$I$11*'ENG_SCEN'!$K$32)+('IN_FIN'!$D$12*'IN_FIN'!$I$12*'ENG_SCEN'!$K$32)+('IN_FIN'!$D$13*'IN_FIN'!$I$13*'ENG_SCEN'!$K$32)+('IN_FIN'!$D$14*'IN_FIN'!$I$14*'ENG_SCEN'!$K$32)+('IN_FIN'!$D$15*'IN_FIN'!$I$15*'ENG_SCEN'!$K$32)+('IN_FIN'!$D$16*'IN_FIN'!$I$16*'ENG_SCEN'!$K$32)+('IN_FIN'!$D$17*'IN_FIN'!$I$17*'ENG_SCEN'!$K$32)+('IN_FIN'!$D$18*'IN_FIN'!$I$18*'ENG_SCEN'!$K$32)+('IN_FIN'!$D$19*'IN_FIN'!$I$19*'ENG_SCEN'!$K$32))</f>
        <v/>
      </c>
      <c r="L85" s="33">
        <f>IF('IN_MACRO'!$L$23&lt;'IN_MACRO'!$D$11,0,('IN_FIN'!$D$9*'IN_FIN'!$I$9*'ENG_SCEN'!$L$32)+('IN_FIN'!$D$10*'IN_FIN'!$I$10*'ENG_SCEN'!$L$32)+('IN_FIN'!$D$11*'IN_FIN'!$I$11*'ENG_SCEN'!$L$32)+('IN_FIN'!$D$12*'IN_FIN'!$I$12*'ENG_SCEN'!$L$32)+('IN_FIN'!$D$13*'IN_FIN'!$I$13*'ENG_SCEN'!$L$32)+('IN_FIN'!$D$14*'IN_FIN'!$I$14*'ENG_SCEN'!$L$32)+('IN_FIN'!$D$15*'IN_FIN'!$I$15*'ENG_SCEN'!$L$32)+('IN_FIN'!$D$16*'IN_FIN'!$I$16*'ENG_SCEN'!$L$32)+('IN_FIN'!$D$17*'IN_FIN'!$I$17*'ENG_SCEN'!$L$32)+('IN_FIN'!$D$18*'IN_FIN'!$I$18*'ENG_SCEN'!$L$32)+('IN_FIN'!$D$19*'IN_FIN'!$I$19*'ENG_SCEN'!$L$32))</f>
        <v/>
      </c>
      <c r="M85" s="33">
        <f>IF('IN_MACRO'!$M$23&lt;'IN_MACRO'!$D$11,0,('IN_FIN'!$D$9*'IN_FIN'!$I$9*'ENG_SCEN'!$M$32)+('IN_FIN'!$D$10*'IN_FIN'!$I$10*'ENG_SCEN'!$M$32)+('IN_FIN'!$D$11*'IN_FIN'!$I$11*'ENG_SCEN'!$M$32)+('IN_FIN'!$D$12*'IN_FIN'!$I$12*'ENG_SCEN'!$M$32)+('IN_FIN'!$D$13*'IN_FIN'!$I$13*'ENG_SCEN'!$M$32)+('IN_FIN'!$D$14*'IN_FIN'!$I$14*'ENG_SCEN'!$M$32)+('IN_FIN'!$D$15*'IN_FIN'!$I$15*'ENG_SCEN'!$M$32)+('IN_FIN'!$D$16*'IN_FIN'!$I$16*'ENG_SCEN'!$M$32)+('IN_FIN'!$D$17*'IN_FIN'!$I$17*'ENG_SCEN'!$M$32)+('IN_FIN'!$D$18*'IN_FIN'!$I$18*'ENG_SCEN'!$M$32)+('IN_FIN'!$D$19*'IN_FIN'!$I$19*'ENG_SCEN'!$M$32))</f>
        <v/>
      </c>
      <c r="N85" s="33">
        <f>IF('IN_MACRO'!$N$23&lt;'IN_MACRO'!$D$11,0,('IN_FIN'!$D$9*'IN_FIN'!$I$9*'ENG_SCEN'!$N$32)+('IN_FIN'!$D$10*'IN_FIN'!$I$10*'ENG_SCEN'!$N$32)+('IN_FIN'!$D$11*'IN_FIN'!$I$11*'ENG_SCEN'!$N$32)+('IN_FIN'!$D$12*'IN_FIN'!$I$12*'ENG_SCEN'!$N$32)+('IN_FIN'!$D$13*'IN_FIN'!$I$13*'ENG_SCEN'!$N$32)+('IN_FIN'!$D$14*'IN_FIN'!$I$14*'ENG_SCEN'!$N$32)+('IN_FIN'!$D$15*'IN_FIN'!$I$15*'ENG_SCEN'!$N$32)+('IN_FIN'!$D$16*'IN_FIN'!$I$16*'ENG_SCEN'!$N$32)+('IN_FIN'!$D$17*'IN_FIN'!$I$17*'ENG_SCEN'!$N$32)+('IN_FIN'!$D$18*'IN_FIN'!$I$18*'ENG_SCEN'!$N$32)+('IN_FIN'!$D$19*'IN_FIN'!$I$19*'ENG_SCEN'!$N$32))</f>
        <v/>
      </c>
      <c r="O85" s="33">
        <f>IF('IN_MACRO'!$O$23&lt;'IN_MACRO'!$D$11,0,('IN_FIN'!$D$9*'IN_FIN'!$I$9*'ENG_SCEN'!$O$32)+('IN_FIN'!$D$10*'IN_FIN'!$I$10*'ENG_SCEN'!$O$32)+('IN_FIN'!$D$11*'IN_FIN'!$I$11*'ENG_SCEN'!$O$32)+('IN_FIN'!$D$12*'IN_FIN'!$I$12*'ENG_SCEN'!$O$32)+('IN_FIN'!$D$13*'IN_FIN'!$I$13*'ENG_SCEN'!$O$32)+('IN_FIN'!$D$14*'IN_FIN'!$I$14*'ENG_SCEN'!$O$32)+('IN_FIN'!$D$15*'IN_FIN'!$I$15*'ENG_SCEN'!$O$32)+('IN_FIN'!$D$16*'IN_FIN'!$I$16*'ENG_SCEN'!$O$32)+('IN_FIN'!$D$17*'IN_FIN'!$I$17*'ENG_SCEN'!$O$32)+('IN_FIN'!$D$18*'IN_FIN'!$I$18*'ENG_SCEN'!$O$32)+('IN_FIN'!$D$19*'IN_FIN'!$I$19*'ENG_SCEN'!$O$32))</f>
        <v/>
      </c>
      <c r="P85" s="33">
        <f>IF('IN_MACRO'!$P$23&lt;'IN_MACRO'!$D$11,0,('IN_FIN'!$D$9*'IN_FIN'!$I$9*'ENG_SCEN'!$P$32)+('IN_FIN'!$D$10*'IN_FIN'!$I$10*'ENG_SCEN'!$P$32)+('IN_FIN'!$D$11*'IN_FIN'!$I$11*'ENG_SCEN'!$P$32)+('IN_FIN'!$D$12*'IN_FIN'!$I$12*'ENG_SCEN'!$P$32)+('IN_FIN'!$D$13*'IN_FIN'!$I$13*'ENG_SCEN'!$P$32)+('IN_FIN'!$D$14*'IN_FIN'!$I$14*'ENG_SCEN'!$P$32)+('IN_FIN'!$D$15*'IN_FIN'!$I$15*'ENG_SCEN'!$P$32)+('IN_FIN'!$D$16*'IN_FIN'!$I$16*'ENG_SCEN'!$P$32)+('IN_FIN'!$D$17*'IN_FIN'!$I$17*'ENG_SCEN'!$P$32)+('IN_FIN'!$D$18*'IN_FIN'!$I$18*'ENG_SCEN'!$P$32)+('IN_FIN'!$D$19*'IN_FIN'!$I$19*'ENG_SCEN'!$P$32))</f>
        <v/>
      </c>
    </row>
  </sheetData>
  <pageMargins left="0.75" right="0.75" top="1" bottom="1" header="0.5" footer="0.5"/>
</worksheet>
</file>

<file path=xl/worksheets/sheet12.xml><?xml version="1.0" encoding="utf-8"?>
<worksheet xmlns="http://schemas.openxmlformats.org/spreadsheetml/2006/main">
  <sheetPr>
    <tabColor rgb="00A6A6A6"/>
    <outlinePr summaryBelow="1" summaryRight="1"/>
    <pageSetUpPr/>
  </sheetPr>
  <dimension ref="A1:Q66"/>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تخصیص مراکز هزینه (تولیدی و خدماتی)</t>
        </is>
      </c>
      <c r="B1" s="2" t="inlineStr">
        <is>
          <t>موتور محاسبات</t>
        </is>
      </c>
    </row>
    <row r="2">
      <c r="A2" s="3" t="inlineStr">
        <is>
          <t>تخصیص هزینه‌های مراکز خدماتی به ایستگاه‌های ۱ تا ۶ بر اساس محرک‌های هزینه.</t>
        </is>
      </c>
    </row>
    <row r="3"/>
    <row r="4"/>
    <row r="5"/>
    <row r="6"/>
    <row r="7">
      <c r="A7" s="11" t="inlineStr">
        <is>
          <t>دوره (t)</t>
        </is>
      </c>
      <c r="D7" s="12" t="n">
        <v>0</v>
      </c>
      <c r="E7" s="12" t="n">
        <v>1</v>
      </c>
      <c r="F7" s="12" t="n">
        <v>2</v>
      </c>
      <c r="G7" s="12" t="n">
        <v>3</v>
      </c>
      <c r="H7" s="12" t="n">
        <v>4</v>
      </c>
      <c r="I7" s="12" t="n">
        <v>5</v>
      </c>
      <c r="J7" s="12" t="n">
        <v>6</v>
      </c>
      <c r="K7" s="12" t="n">
        <v>7</v>
      </c>
      <c r="L7" s="12" t="n">
        <v>8</v>
      </c>
      <c r="M7" s="12" t="n">
        <v>9</v>
      </c>
      <c r="N7" s="12" t="n">
        <v>10</v>
      </c>
      <c r="O7" s="12" t="n">
        <v>11</v>
      </c>
      <c r="P7" s="12" t="n">
        <v>12</v>
      </c>
    </row>
    <row r="8">
      <c r="A8" s="13" t="inlineStr">
        <is>
          <t>سال تقویمی</t>
        </is>
      </c>
      <c r="D8" s="14" t="n">
        <v>2026</v>
      </c>
      <c r="E8" s="14" t="n">
        <v>2027</v>
      </c>
      <c r="F8" s="14" t="n">
        <v>2028</v>
      </c>
      <c r="G8" s="14" t="n">
        <v>2029</v>
      </c>
      <c r="H8" s="14" t="n">
        <v>2030</v>
      </c>
      <c r="I8" s="14" t="n">
        <v>2031</v>
      </c>
      <c r="J8" s="14" t="n">
        <v>2032</v>
      </c>
      <c r="K8" s="14" t="n">
        <v>2033</v>
      </c>
      <c r="L8" s="14" t="n">
        <v>2034</v>
      </c>
      <c r="M8" s="14" t="n">
        <v>2035</v>
      </c>
      <c r="N8" s="14" t="n">
        <v>2036</v>
      </c>
      <c r="O8" s="14" t="n">
        <v>2037</v>
      </c>
      <c r="P8" s="14" t="n">
        <v>2038</v>
      </c>
    </row>
    <row r="9">
      <c r="A9" s="4" t="inlineStr">
        <is>
          <t>الف) هزینه مستقیم مراکز خدماتی</t>
        </is>
      </c>
      <c r="B9" s="5" t="n"/>
      <c r="C9" s="5" t="n"/>
      <c r="D9" s="5" t="n"/>
      <c r="E9" s="5" t="n"/>
      <c r="F9" s="5" t="n"/>
      <c r="G9" s="5" t="n"/>
      <c r="H9" s="5" t="n"/>
      <c r="I9" s="5" t="n"/>
      <c r="J9" s="5" t="n"/>
      <c r="K9" s="5" t="n"/>
      <c r="L9" s="5" t="n"/>
      <c r="M9" s="5" t="n"/>
      <c r="N9" s="5" t="n"/>
      <c r="O9" s="5" t="n"/>
      <c r="P9" s="5" t="n"/>
      <c r="Q9" s="5" t="n"/>
    </row>
    <row r="10">
      <c r="A10" s="15" t="inlineStr">
        <is>
          <t>هزینه مرکز 1: نگهداری و تعمیرات مرکزی</t>
        </is>
      </c>
      <c r="B10" s="16" t="inlineStr">
        <is>
          <t>ALC.cost.1</t>
        </is>
      </c>
      <c r="C10" s="17" t="inlineStr">
        <is>
          <t>میلیون ریال</t>
        </is>
      </c>
      <c r="D10" s="33">
        <f>'IN_COST'!$F$23*'ENG_SCEN'!$D$32*'IN_MACRO'!$D$34</f>
        <v/>
      </c>
      <c r="E10" s="33">
        <f>'IN_COST'!$F$23*'ENG_SCEN'!$E$32*'IN_MACRO'!$E$34</f>
        <v/>
      </c>
      <c r="F10" s="33">
        <f>'IN_COST'!$F$23*'ENG_SCEN'!$F$32*'IN_MACRO'!$F$34</f>
        <v/>
      </c>
      <c r="G10" s="33">
        <f>'IN_COST'!$F$23*'ENG_SCEN'!$G$32*'IN_MACRO'!$G$34</f>
        <v/>
      </c>
      <c r="H10" s="33">
        <f>'IN_COST'!$F$23*'ENG_SCEN'!$H$32*'IN_MACRO'!$H$34</f>
        <v/>
      </c>
      <c r="I10" s="33">
        <f>'IN_COST'!$F$23*'ENG_SCEN'!$I$32*'IN_MACRO'!$I$34</f>
        <v/>
      </c>
      <c r="J10" s="33">
        <f>'IN_COST'!$F$23*'ENG_SCEN'!$J$32*'IN_MACRO'!$J$34</f>
        <v/>
      </c>
      <c r="K10" s="33">
        <f>'IN_COST'!$F$23*'ENG_SCEN'!$K$32*'IN_MACRO'!$K$34</f>
        <v/>
      </c>
      <c r="L10" s="33">
        <f>'IN_COST'!$F$23*'ENG_SCEN'!$L$32*'IN_MACRO'!$L$34</f>
        <v/>
      </c>
      <c r="M10" s="33">
        <f>'IN_COST'!$F$23*'ENG_SCEN'!$M$32*'IN_MACRO'!$M$34</f>
        <v/>
      </c>
      <c r="N10" s="33">
        <f>'IN_COST'!$F$23*'ENG_SCEN'!$N$32*'IN_MACRO'!$N$34</f>
        <v/>
      </c>
      <c r="O10" s="33">
        <f>'IN_COST'!$F$23*'ENG_SCEN'!$O$32*'IN_MACRO'!$O$34</f>
        <v/>
      </c>
      <c r="P10" s="33">
        <f>'IN_COST'!$F$23*'ENG_SCEN'!$P$32*'IN_MACRO'!$P$34</f>
        <v/>
      </c>
    </row>
    <row r="11">
      <c r="A11" s="15" t="inlineStr">
        <is>
          <t>هزینه مرکز 2: منابع انسانی و خدمات پشتیبانی</t>
        </is>
      </c>
      <c r="B11" s="16" t="inlineStr">
        <is>
          <t>ALC.cost.2</t>
        </is>
      </c>
      <c r="C11" s="17" t="inlineStr">
        <is>
          <t>میلیون ریال</t>
        </is>
      </c>
      <c r="D11" s="33">
        <f>'IN_COST'!$F$24*'ENG_SCEN'!$D$32*'IN_MACRO'!$D$34</f>
        <v/>
      </c>
      <c r="E11" s="33">
        <f>'IN_COST'!$F$24*'ENG_SCEN'!$E$32*'IN_MACRO'!$E$34</f>
        <v/>
      </c>
      <c r="F11" s="33">
        <f>'IN_COST'!$F$24*'ENG_SCEN'!$F$32*'IN_MACRO'!$F$34</f>
        <v/>
      </c>
      <c r="G11" s="33">
        <f>'IN_COST'!$F$24*'ENG_SCEN'!$G$32*'IN_MACRO'!$G$34</f>
        <v/>
      </c>
      <c r="H11" s="33">
        <f>'IN_COST'!$F$24*'ENG_SCEN'!$H$32*'IN_MACRO'!$H$34</f>
        <v/>
      </c>
      <c r="I11" s="33">
        <f>'IN_COST'!$F$24*'ENG_SCEN'!$I$32*'IN_MACRO'!$I$34</f>
        <v/>
      </c>
      <c r="J11" s="33">
        <f>'IN_COST'!$F$24*'ENG_SCEN'!$J$32*'IN_MACRO'!$J$34</f>
        <v/>
      </c>
      <c r="K11" s="33">
        <f>'IN_COST'!$F$24*'ENG_SCEN'!$K$32*'IN_MACRO'!$K$34</f>
        <v/>
      </c>
      <c r="L11" s="33">
        <f>'IN_COST'!$F$24*'ENG_SCEN'!$L$32*'IN_MACRO'!$L$34</f>
        <v/>
      </c>
      <c r="M11" s="33">
        <f>'IN_COST'!$F$24*'ENG_SCEN'!$M$32*'IN_MACRO'!$M$34</f>
        <v/>
      </c>
      <c r="N11" s="33">
        <f>'IN_COST'!$F$24*'ENG_SCEN'!$N$32*'IN_MACRO'!$N$34</f>
        <v/>
      </c>
      <c r="O11" s="33">
        <f>'IN_COST'!$F$24*'ENG_SCEN'!$O$32*'IN_MACRO'!$O$34</f>
        <v/>
      </c>
      <c r="P11" s="33">
        <f>'IN_COST'!$F$24*'ENG_SCEN'!$P$32*'IN_MACRO'!$P$34</f>
        <v/>
      </c>
    </row>
    <row r="12">
      <c r="A12" s="15" t="inlineStr">
        <is>
          <t>هزینه مرکز 3: لجستیک و انبارداری</t>
        </is>
      </c>
      <c r="B12" s="16" t="inlineStr">
        <is>
          <t>ALC.cost.3</t>
        </is>
      </c>
      <c r="C12" s="17" t="inlineStr">
        <is>
          <t>میلیون ریال</t>
        </is>
      </c>
      <c r="D12" s="33">
        <f>'IN_COST'!$F$25*'ENG_SCEN'!$D$32*'IN_MACRO'!$D$34</f>
        <v/>
      </c>
      <c r="E12" s="33">
        <f>'IN_COST'!$F$25*'ENG_SCEN'!$E$32*'IN_MACRO'!$E$34</f>
        <v/>
      </c>
      <c r="F12" s="33">
        <f>'IN_COST'!$F$25*'ENG_SCEN'!$F$32*'IN_MACRO'!$F$34</f>
        <v/>
      </c>
      <c r="G12" s="33">
        <f>'IN_COST'!$F$25*'ENG_SCEN'!$G$32*'IN_MACRO'!$G$34</f>
        <v/>
      </c>
      <c r="H12" s="33">
        <f>'IN_COST'!$F$25*'ENG_SCEN'!$H$32*'IN_MACRO'!$H$34</f>
        <v/>
      </c>
      <c r="I12" s="33">
        <f>'IN_COST'!$F$25*'ENG_SCEN'!$I$32*'IN_MACRO'!$I$34</f>
        <v/>
      </c>
      <c r="J12" s="33">
        <f>'IN_COST'!$F$25*'ENG_SCEN'!$J$32*'IN_MACRO'!$J$34</f>
        <v/>
      </c>
      <c r="K12" s="33">
        <f>'IN_COST'!$F$25*'ENG_SCEN'!$K$32*'IN_MACRO'!$K$34</f>
        <v/>
      </c>
      <c r="L12" s="33">
        <f>'IN_COST'!$F$25*'ENG_SCEN'!$L$32*'IN_MACRO'!$L$34</f>
        <v/>
      </c>
      <c r="M12" s="33">
        <f>'IN_COST'!$F$25*'ENG_SCEN'!$M$32*'IN_MACRO'!$M$34</f>
        <v/>
      </c>
      <c r="N12" s="33">
        <f>'IN_COST'!$F$25*'ENG_SCEN'!$N$32*'IN_MACRO'!$N$34</f>
        <v/>
      </c>
      <c r="O12" s="33">
        <f>'IN_COST'!$F$25*'ENG_SCEN'!$O$32*'IN_MACRO'!$O$34</f>
        <v/>
      </c>
      <c r="P12" s="33">
        <f>'IN_COST'!$F$25*'ENG_SCEN'!$P$32*'IN_MACRO'!$P$34</f>
        <v/>
      </c>
    </row>
    <row r="13">
      <c r="A13" s="15" t="inlineStr">
        <is>
          <t>هزینه مرکز 4: تصفیه‌خانه و محیط‌زیست</t>
        </is>
      </c>
      <c r="B13" s="16" t="inlineStr">
        <is>
          <t>ALC.cost.4</t>
        </is>
      </c>
      <c r="C13" s="17" t="inlineStr">
        <is>
          <t>میلیون ریال</t>
        </is>
      </c>
      <c r="D13" s="33">
        <f>'IN_COST'!$F$26*'ENG_SCEN'!$D$32*'IN_MACRO'!$D$34</f>
        <v/>
      </c>
      <c r="E13" s="33">
        <f>'IN_COST'!$F$26*'ENG_SCEN'!$E$32*'IN_MACRO'!$E$34</f>
        <v/>
      </c>
      <c r="F13" s="33">
        <f>'IN_COST'!$F$26*'ENG_SCEN'!$F$32*'IN_MACRO'!$F$34</f>
        <v/>
      </c>
      <c r="G13" s="33">
        <f>'IN_COST'!$F$26*'ENG_SCEN'!$G$32*'IN_MACRO'!$G$34</f>
        <v/>
      </c>
      <c r="H13" s="33">
        <f>'IN_COST'!$F$26*'ENG_SCEN'!$H$32*'IN_MACRO'!$H$34</f>
        <v/>
      </c>
      <c r="I13" s="33">
        <f>'IN_COST'!$F$26*'ENG_SCEN'!$I$32*'IN_MACRO'!$I$34</f>
        <v/>
      </c>
      <c r="J13" s="33">
        <f>'IN_COST'!$F$26*'ENG_SCEN'!$J$32*'IN_MACRO'!$J$34</f>
        <v/>
      </c>
      <c r="K13" s="33">
        <f>'IN_COST'!$F$26*'ENG_SCEN'!$K$32*'IN_MACRO'!$K$34</f>
        <v/>
      </c>
      <c r="L13" s="33">
        <f>'IN_COST'!$F$26*'ENG_SCEN'!$L$32*'IN_MACRO'!$L$34</f>
        <v/>
      </c>
      <c r="M13" s="33">
        <f>'IN_COST'!$F$26*'ENG_SCEN'!$M$32*'IN_MACRO'!$M$34</f>
        <v/>
      </c>
      <c r="N13" s="33">
        <f>'IN_COST'!$F$26*'ENG_SCEN'!$N$32*'IN_MACRO'!$N$34</f>
        <v/>
      </c>
      <c r="O13" s="33">
        <f>'IN_COST'!$F$26*'ENG_SCEN'!$O$32*'IN_MACRO'!$O$34</f>
        <v/>
      </c>
      <c r="P13" s="33">
        <f>'IN_COST'!$F$26*'ENG_SCEN'!$P$32*'IN_MACRO'!$P$34</f>
        <v/>
      </c>
    </row>
    <row r="14">
      <c r="A14" s="15" t="inlineStr">
        <is>
          <t>هزینه مرکز 5: آزمایشگاه و کنترل کیفیت</t>
        </is>
      </c>
      <c r="B14" s="16" t="inlineStr">
        <is>
          <t>ALC.cost.5</t>
        </is>
      </c>
      <c r="C14" s="17" t="inlineStr">
        <is>
          <t>میلیون ریال</t>
        </is>
      </c>
      <c r="D14" s="33">
        <f>'IN_COST'!$F$27*'ENG_SCEN'!$D$32*'IN_MACRO'!$D$34</f>
        <v/>
      </c>
      <c r="E14" s="33">
        <f>'IN_COST'!$F$27*'ENG_SCEN'!$E$32*'IN_MACRO'!$E$34</f>
        <v/>
      </c>
      <c r="F14" s="33">
        <f>'IN_COST'!$F$27*'ENG_SCEN'!$F$32*'IN_MACRO'!$F$34</f>
        <v/>
      </c>
      <c r="G14" s="33">
        <f>'IN_COST'!$F$27*'ENG_SCEN'!$G$32*'IN_MACRO'!$G$34</f>
        <v/>
      </c>
      <c r="H14" s="33">
        <f>'IN_COST'!$F$27*'ENG_SCEN'!$H$32*'IN_MACRO'!$H$34</f>
        <v/>
      </c>
      <c r="I14" s="33">
        <f>'IN_COST'!$F$27*'ENG_SCEN'!$I$32*'IN_MACRO'!$I$34</f>
        <v/>
      </c>
      <c r="J14" s="33">
        <f>'IN_COST'!$F$27*'ENG_SCEN'!$J$32*'IN_MACRO'!$J$34</f>
        <v/>
      </c>
      <c r="K14" s="33">
        <f>'IN_COST'!$F$27*'ENG_SCEN'!$K$32*'IN_MACRO'!$K$34</f>
        <v/>
      </c>
      <c r="L14" s="33">
        <f>'IN_COST'!$F$27*'ENG_SCEN'!$L$32*'IN_MACRO'!$L$34</f>
        <v/>
      </c>
      <c r="M14" s="33">
        <f>'IN_COST'!$F$27*'ENG_SCEN'!$M$32*'IN_MACRO'!$M$34</f>
        <v/>
      </c>
      <c r="N14" s="33">
        <f>'IN_COST'!$F$27*'ENG_SCEN'!$N$32*'IN_MACRO'!$N$34</f>
        <v/>
      </c>
      <c r="O14" s="33">
        <f>'IN_COST'!$F$27*'ENG_SCEN'!$O$32*'IN_MACRO'!$O$34</f>
        <v/>
      </c>
      <c r="P14" s="33">
        <f>'IN_COST'!$F$27*'ENG_SCEN'!$P$32*'IN_MACRO'!$P$34</f>
        <v/>
      </c>
    </row>
    <row r="15"/>
    <row r="16">
      <c r="A16" s="4" t="inlineStr">
        <is>
          <t>ب) جمع محرک و وزن تخصیص هر مرکز</t>
        </is>
      </c>
      <c r="B16" s="5" t="n"/>
      <c r="C16" s="5" t="n"/>
      <c r="D16" s="5" t="n"/>
      <c r="E16" s="5" t="n"/>
      <c r="F16" s="5" t="n"/>
      <c r="G16" s="5" t="n"/>
      <c r="H16" s="5" t="n"/>
      <c r="I16" s="5" t="n"/>
      <c r="J16" s="5" t="n"/>
      <c r="K16" s="5" t="n"/>
      <c r="L16" s="5" t="n"/>
      <c r="M16" s="5" t="n"/>
      <c r="N16" s="5" t="n"/>
      <c r="O16" s="5" t="n"/>
      <c r="P16" s="5" t="n"/>
      <c r="Q16" s="5" t="n"/>
    </row>
    <row r="17">
      <c r="A17" s="15" t="inlineStr">
        <is>
          <t>جمع محرک مرکز 1</t>
        </is>
      </c>
      <c r="B17" s="16" t="inlineStr">
        <is>
          <t>ALC.dtot.1</t>
        </is>
      </c>
      <c r="C17" s="17" t="inlineStr">
        <is>
          <t>─</t>
        </is>
      </c>
      <c r="D17" s="33">
        <f>SUM(INDEX('IN_TECH'!$D$47:$I$52,MATCH('IN_COST'!$E$23,'IN_TECH'!$B$47:$B$52,0),0))</f>
        <v/>
      </c>
    </row>
    <row r="18">
      <c r="A18" s="15" t="inlineStr">
        <is>
          <t>جمع محرک مرکز 2</t>
        </is>
      </c>
      <c r="B18" s="16" t="inlineStr">
        <is>
          <t>ALC.dtot.2</t>
        </is>
      </c>
      <c r="C18" s="17" t="inlineStr">
        <is>
          <t>─</t>
        </is>
      </c>
      <c r="D18" s="33">
        <f>SUM(INDEX('IN_TECH'!$D$47:$I$52,MATCH('IN_COST'!$E$24,'IN_TECH'!$B$47:$B$52,0),0))</f>
        <v/>
      </c>
    </row>
    <row r="19">
      <c r="A19" s="15" t="inlineStr">
        <is>
          <t>جمع محرک مرکز 3</t>
        </is>
      </c>
      <c r="B19" s="16" t="inlineStr">
        <is>
          <t>ALC.dtot.3</t>
        </is>
      </c>
      <c r="C19" s="17" t="inlineStr">
        <is>
          <t>─</t>
        </is>
      </c>
      <c r="D19" s="33">
        <f>SUM(INDEX('IN_TECH'!$D$47:$I$52,MATCH('IN_COST'!$E$25,'IN_TECH'!$B$47:$B$52,0),0))</f>
        <v/>
      </c>
    </row>
    <row r="20">
      <c r="A20" s="15" t="inlineStr">
        <is>
          <t>جمع محرک مرکز 4</t>
        </is>
      </c>
      <c r="B20" s="16" t="inlineStr">
        <is>
          <t>ALC.dtot.4</t>
        </is>
      </c>
      <c r="C20" s="17" t="inlineStr">
        <is>
          <t>─</t>
        </is>
      </c>
      <c r="D20" s="33">
        <f>SUM(INDEX('IN_TECH'!$D$47:$I$52,MATCH('IN_COST'!$E$26,'IN_TECH'!$B$47:$B$52,0),0))</f>
        <v/>
      </c>
    </row>
    <row r="21">
      <c r="A21" s="15" t="inlineStr">
        <is>
          <t>جمع محرک مرکز 5</t>
        </is>
      </c>
      <c r="B21" s="16" t="inlineStr">
        <is>
          <t>ALC.dtot.5</t>
        </is>
      </c>
      <c r="C21" s="17" t="inlineStr">
        <is>
          <t>─</t>
        </is>
      </c>
      <c r="D21" s="33">
        <f>SUM(INDEX('IN_TECH'!$D$47:$I$52,MATCH('IN_COST'!$E$27,'IN_TECH'!$B$47:$B$52,0),0))</f>
        <v/>
      </c>
    </row>
    <row r="22">
      <c r="A22" s="15" t="inlineStr">
        <is>
          <t>وزن تخصیص مرکز 1 به ایستگاه‌ها</t>
        </is>
      </c>
      <c r="B22" s="16" t="inlineStr">
        <is>
          <t>ALC.w.1</t>
        </is>
      </c>
      <c r="C22" s="17" t="inlineStr">
        <is>
          <t>درصد</t>
        </is>
      </c>
      <c r="D22" s="32">
        <f>IFERROR(INDEX('IN_TECH'!$D$47:$I$52,MATCH('IN_COST'!$E$23,'IN_TECH'!$B$47:$B$52,0),1)/'ENG_ALLOC'!$D$17,0)</f>
        <v/>
      </c>
      <c r="E22" s="32">
        <f>IFERROR(INDEX('IN_TECH'!$D$47:$I$52,MATCH('IN_COST'!$E$23,'IN_TECH'!$B$47:$B$52,0),2)/'ENG_ALLOC'!$D$17,0)</f>
        <v/>
      </c>
      <c r="F22" s="32">
        <f>IFERROR(INDEX('IN_TECH'!$D$47:$I$52,MATCH('IN_COST'!$E$23,'IN_TECH'!$B$47:$B$52,0),3)/'ENG_ALLOC'!$D$17,0)</f>
        <v/>
      </c>
      <c r="G22" s="32">
        <f>IFERROR(INDEX('IN_TECH'!$D$47:$I$52,MATCH('IN_COST'!$E$23,'IN_TECH'!$B$47:$B$52,0),4)/'ENG_ALLOC'!$D$17,0)</f>
        <v/>
      </c>
      <c r="H22" s="32">
        <f>IFERROR(INDEX('IN_TECH'!$D$47:$I$52,MATCH('IN_COST'!$E$23,'IN_TECH'!$B$47:$B$52,0),5)/'ENG_ALLOC'!$D$17,0)</f>
        <v/>
      </c>
      <c r="I22" s="32">
        <f>IFERROR(INDEX('IN_TECH'!$D$47:$I$52,MATCH('IN_COST'!$E$23,'IN_TECH'!$B$47:$B$52,0),6)/'ENG_ALLOC'!$D$17,0)</f>
        <v/>
      </c>
    </row>
    <row r="23">
      <c r="A23" s="15" t="inlineStr">
        <is>
          <t>وزن تخصیص مرکز 2 به ایستگاه‌ها</t>
        </is>
      </c>
      <c r="B23" s="16" t="inlineStr">
        <is>
          <t>ALC.w.2</t>
        </is>
      </c>
      <c r="C23" s="17" t="inlineStr">
        <is>
          <t>درصد</t>
        </is>
      </c>
      <c r="D23" s="32">
        <f>IFERROR(INDEX('IN_TECH'!$D$47:$I$52,MATCH('IN_COST'!$E$24,'IN_TECH'!$B$47:$B$52,0),1)/'ENG_ALLOC'!$D$18,0)</f>
        <v/>
      </c>
      <c r="E23" s="32">
        <f>IFERROR(INDEX('IN_TECH'!$D$47:$I$52,MATCH('IN_COST'!$E$24,'IN_TECH'!$B$47:$B$52,0),2)/'ENG_ALLOC'!$D$18,0)</f>
        <v/>
      </c>
      <c r="F23" s="32">
        <f>IFERROR(INDEX('IN_TECH'!$D$47:$I$52,MATCH('IN_COST'!$E$24,'IN_TECH'!$B$47:$B$52,0),3)/'ENG_ALLOC'!$D$18,0)</f>
        <v/>
      </c>
      <c r="G23" s="32">
        <f>IFERROR(INDEX('IN_TECH'!$D$47:$I$52,MATCH('IN_COST'!$E$24,'IN_TECH'!$B$47:$B$52,0),4)/'ENG_ALLOC'!$D$18,0)</f>
        <v/>
      </c>
      <c r="H23" s="32">
        <f>IFERROR(INDEX('IN_TECH'!$D$47:$I$52,MATCH('IN_COST'!$E$24,'IN_TECH'!$B$47:$B$52,0),5)/'ENG_ALLOC'!$D$18,0)</f>
        <v/>
      </c>
      <c r="I23" s="32">
        <f>IFERROR(INDEX('IN_TECH'!$D$47:$I$52,MATCH('IN_COST'!$E$24,'IN_TECH'!$B$47:$B$52,0),6)/'ENG_ALLOC'!$D$18,0)</f>
        <v/>
      </c>
    </row>
    <row r="24">
      <c r="A24" s="15" t="inlineStr">
        <is>
          <t>وزن تخصیص مرکز 3 به ایستگاه‌ها</t>
        </is>
      </c>
      <c r="B24" s="16" t="inlineStr">
        <is>
          <t>ALC.w.3</t>
        </is>
      </c>
      <c r="C24" s="17" t="inlineStr">
        <is>
          <t>درصد</t>
        </is>
      </c>
      <c r="D24" s="32">
        <f>IFERROR(INDEX('IN_TECH'!$D$47:$I$52,MATCH('IN_COST'!$E$25,'IN_TECH'!$B$47:$B$52,0),1)/'ENG_ALLOC'!$D$19,0)</f>
        <v/>
      </c>
      <c r="E24" s="32">
        <f>IFERROR(INDEX('IN_TECH'!$D$47:$I$52,MATCH('IN_COST'!$E$25,'IN_TECH'!$B$47:$B$52,0),2)/'ENG_ALLOC'!$D$19,0)</f>
        <v/>
      </c>
      <c r="F24" s="32">
        <f>IFERROR(INDEX('IN_TECH'!$D$47:$I$52,MATCH('IN_COST'!$E$25,'IN_TECH'!$B$47:$B$52,0),3)/'ENG_ALLOC'!$D$19,0)</f>
        <v/>
      </c>
      <c r="G24" s="32">
        <f>IFERROR(INDEX('IN_TECH'!$D$47:$I$52,MATCH('IN_COST'!$E$25,'IN_TECH'!$B$47:$B$52,0),4)/'ENG_ALLOC'!$D$19,0)</f>
        <v/>
      </c>
      <c r="H24" s="32">
        <f>IFERROR(INDEX('IN_TECH'!$D$47:$I$52,MATCH('IN_COST'!$E$25,'IN_TECH'!$B$47:$B$52,0),5)/'ENG_ALLOC'!$D$19,0)</f>
        <v/>
      </c>
      <c r="I24" s="32">
        <f>IFERROR(INDEX('IN_TECH'!$D$47:$I$52,MATCH('IN_COST'!$E$25,'IN_TECH'!$B$47:$B$52,0),6)/'ENG_ALLOC'!$D$19,0)</f>
        <v/>
      </c>
    </row>
    <row r="25">
      <c r="A25" s="15" t="inlineStr">
        <is>
          <t>وزن تخصیص مرکز 4 به ایستگاه‌ها</t>
        </is>
      </c>
      <c r="B25" s="16" t="inlineStr">
        <is>
          <t>ALC.w.4</t>
        </is>
      </c>
      <c r="C25" s="17" t="inlineStr">
        <is>
          <t>درصد</t>
        </is>
      </c>
      <c r="D25" s="32">
        <f>IFERROR(INDEX('IN_TECH'!$D$47:$I$52,MATCH('IN_COST'!$E$26,'IN_TECH'!$B$47:$B$52,0),1)/'ENG_ALLOC'!$D$20,0)</f>
        <v/>
      </c>
      <c r="E25" s="32">
        <f>IFERROR(INDEX('IN_TECH'!$D$47:$I$52,MATCH('IN_COST'!$E$26,'IN_TECH'!$B$47:$B$52,0),2)/'ENG_ALLOC'!$D$20,0)</f>
        <v/>
      </c>
      <c r="F25" s="32">
        <f>IFERROR(INDEX('IN_TECH'!$D$47:$I$52,MATCH('IN_COST'!$E$26,'IN_TECH'!$B$47:$B$52,0),3)/'ENG_ALLOC'!$D$20,0)</f>
        <v/>
      </c>
      <c r="G25" s="32">
        <f>IFERROR(INDEX('IN_TECH'!$D$47:$I$52,MATCH('IN_COST'!$E$26,'IN_TECH'!$B$47:$B$52,0),4)/'ENG_ALLOC'!$D$20,0)</f>
        <v/>
      </c>
      <c r="H25" s="32">
        <f>IFERROR(INDEX('IN_TECH'!$D$47:$I$52,MATCH('IN_COST'!$E$26,'IN_TECH'!$B$47:$B$52,0),5)/'ENG_ALLOC'!$D$20,0)</f>
        <v/>
      </c>
      <c r="I25" s="32">
        <f>IFERROR(INDEX('IN_TECH'!$D$47:$I$52,MATCH('IN_COST'!$E$26,'IN_TECH'!$B$47:$B$52,0),6)/'ENG_ALLOC'!$D$20,0)</f>
        <v/>
      </c>
    </row>
    <row r="26">
      <c r="A26" s="15" t="inlineStr">
        <is>
          <t>وزن تخصیص مرکز 5 به ایستگاه‌ها</t>
        </is>
      </c>
      <c r="B26" s="16" t="inlineStr">
        <is>
          <t>ALC.w.5</t>
        </is>
      </c>
      <c r="C26" s="17" t="inlineStr">
        <is>
          <t>درصد</t>
        </is>
      </c>
      <c r="D26" s="32">
        <f>IFERROR(INDEX('IN_TECH'!$D$47:$I$52,MATCH('IN_COST'!$E$27,'IN_TECH'!$B$47:$B$52,0),1)/'ENG_ALLOC'!$D$21,0)</f>
        <v/>
      </c>
      <c r="E26" s="32">
        <f>IFERROR(INDEX('IN_TECH'!$D$47:$I$52,MATCH('IN_COST'!$E$27,'IN_TECH'!$B$47:$B$52,0),2)/'ENG_ALLOC'!$D$21,0)</f>
        <v/>
      </c>
      <c r="F26" s="32">
        <f>IFERROR(INDEX('IN_TECH'!$D$47:$I$52,MATCH('IN_COST'!$E$27,'IN_TECH'!$B$47:$B$52,0),3)/'ENG_ALLOC'!$D$21,0)</f>
        <v/>
      </c>
      <c r="G26" s="32">
        <f>IFERROR(INDEX('IN_TECH'!$D$47:$I$52,MATCH('IN_COST'!$E$27,'IN_TECH'!$B$47:$B$52,0),4)/'ENG_ALLOC'!$D$21,0)</f>
        <v/>
      </c>
      <c r="H26" s="32">
        <f>IFERROR(INDEX('IN_TECH'!$D$47:$I$52,MATCH('IN_COST'!$E$27,'IN_TECH'!$B$47:$B$52,0),5)/'ENG_ALLOC'!$D$21,0)</f>
        <v/>
      </c>
      <c r="I26" s="32">
        <f>IFERROR(INDEX('IN_TECH'!$D$47:$I$52,MATCH('IN_COST'!$E$27,'IN_TECH'!$B$47:$B$52,0),6)/'ENG_ALLOC'!$D$21,0)</f>
        <v/>
      </c>
    </row>
    <row r="27"/>
    <row r="28">
      <c r="A28" s="4" t="inlineStr">
        <is>
          <t>ج) ماتریس تخصیص (مرکز × ایستگاه × سال)</t>
        </is>
      </c>
      <c r="B28" s="5" t="n"/>
      <c r="C28" s="5" t="n"/>
      <c r="D28" s="5" t="n"/>
      <c r="E28" s="5" t="n"/>
      <c r="F28" s="5" t="n"/>
      <c r="G28" s="5" t="n"/>
      <c r="H28" s="5" t="n"/>
      <c r="I28" s="5" t="n"/>
      <c r="J28" s="5" t="n"/>
      <c r="K28" s="5" t="n"/>
      <c r="L28" s="5" t="n"/>
      <c r="M28" s="5" t="n"/>
      <c r="N28" s="5" t="n"/>
      <c r="O28" s="5" t="n"/>
      <c r="P28" s="5" t="n"/>
      <c r="Q28" s="5" t="n"/>
    </row>
    <row r="29">
      <c r="A29" s="15" t="inlineStr">
        <is>
          <t>مرکز 1 ← ایستگاه 1</t>
        </is>
      </c>
      <c r="B29" s="16" t="inlineStr"/>
      <c r="C29" s="17" t="inlineStr">
        <is>
          <t>میلیون ریال</t>
        </is>
      </c>
      <c r="D29" s="33">
        <f>'ENG_ALLOC'!$D$10*'ENG_ALLOC'!$D$22</f>
        <v/>
      </c>
      <c r="E29" s="33">
        <f>'ENG_ALLOC'!$E$10*'ENG_ALLOC'!$D$22</f>
        <v/>
      </c>
      <c r="F29" s="33">
        <f>'ENG_ALLOC'!$F$10*'ENG_ALLOC'!$D$22</f>
        <v/>
      </c>
      <c r="G29" s="33">
        <f>'ENG_ALLOC'!$G$10*'ENG_ALLOC'!$D$22</f>
        <v/>
      </c>
      <c r="H29" s="33">
        <f>'ENG_ALLOC'!$H$10*'ENG_ALLOC'!$D$22</f>
        <v/>
      </c>
      <c r="I29" s="33">
        <f>'ENG_ALLOC'!$I$10*'ENG_ALLOC'!$D$22</f>
        <v/>
      </c>
      <c r="J29" s="33">
        <f>'ENG_ALLOC'!$J$10*'ENG_ALLOC'!$D$22</f>
        <v/>
      </c>
      <c r="K29" s="33">
        <f>'ENG_ALLOC'!$K$10*'ENG_ALLOC'!$D$22</f>
        <v/>
      </c>
      <c r="L29" s="33">
        <f>'ENG_ALLOC'!$L$10*'ENG_ALLOC'!$D$22</f>
        <v/>
      </c>
      <c r="M29" s="33">
        <f>'ENG_ALLOC'!$M$10*'ENG_ALLOC'!$D$22</f>
        <v/>
      </c>
      <c r="N29" s="33">
        <f>'ENG_ALLOC'!$N$10*'ENG_ALLOC'!$D$22</f>
        <v/>
      </c>
      <c r="O29" s="33">
        <f>'ENG_ALLOC'!$O$10*'ENG_ALLOC'!$D$22</f>
        <v/>
      </c>
      <c r="P29" s="33">
        <f>'ENG_ALLOC'!$P$10*'ENG_ALLOC'!$D$22</f>
        <v/>
      </c>
    </row>
    <row r="30">
      <c r="A30" s="15" t="inlineStr">
        <is>
          <t>مرکز 1 ← ایستگاه 2</t>
        </is>
      </c>
      <c r="B30" s="16" t="inlineStr"/>
      <c r="C30" s="17" t="inlineStr">
        <is>
          <t>میلیون ریال</t>
        </is>
      </c>
      <c r="D30" s="33">
        <f>'ENG_ALLOC'!$D$10*'ENG_ALLOC'!$E$22</f>
        <v/>
      </c>
      <c r="E30" s="33">
        <f>'ENG_ALLOC'!$E$10*'ENG_ALLOC'!$E$22</f>
        <v/>
      </c>
      <c r="F30" s="33">
        <f>'ENG_ALLOC'!$F$10*'ENG_ALLOC'!$E$22</f>
        <v/>
      </c>
      <c r="G30" s="33">
        <f>'ENG_ALLOC'!$G$10*'ENG_ALLOC'!$E$22</f>
        <v/>
      </c>
      <c r="H30" s="33">
        <f>'ENG_ALLOC'!$H$10*'ENG_ALLOC'!$E$22</f>
        <v/>
      </c>
      <c r="I30" s="33">
        <f>'ENG_ALLOC'!$I$10*'ENG_ALLOC'!$E$22</f>
        <v/>
      </c>
      <c r="J30" s="33">
        <f>'ENG_ALLOC'!$J$10*'ENG_ALLOC'!$E$22</f>
        <v/>
      </c>
      <c r="K30" s="33">
        <f>'ENG_ALLOC'!$K$10*'ENG_ALLOC'!$E$22</f>
        <v/>
      </c>
      <c r="L30" s="33">
        <f>'ENG_ALLOC'!$L$10*'ENG_ALLOC'!$E$22</f>
        <v/>
      </c>
      <c r="M30" s="33">
        <f>'ENG_ALLOC'!$M$10*'ENG_ALLOC'!$E$22</f>
        <v/>
      </c>
      <c r="N30" s="33">
        <f>'ENG_ALLOC'!$N$10*'ENG_ALLOC'!$E$22</f>
        <v/>
      </c>
      <c r="O30" s="33">
        <f>'ENG_ALLOC'!$O$10*'ENG_ALLOC'!$E$22</f>
        <v/>
      </c>
      <c r="P30" s="33">
        <f>'ENG_ALLOC'!$P$10*'ENG_ALLOC'!$E$22</f>
        <v/>
      </c>
    </row>
    <row r="31">
      <c r="A31" s="15" t="inlineStr">
        <is>
          <t>مرکز 1 ← ایستگاه 3</t>
        </is>
      </c>
      <c r="B31" s="16" t="inlineStr"/>
      <c r="C31" s="17" t="inlineStr">
        <is>
          <t>میلیون ریال</t>
        </is>
      </c>
      <c r="D31" s="33">
        <f>'ENG_ALLOC'!$D$10*'ENG_ALLOC'!$F$22</f>
        <v/>
      </c>
      <c r="E31" s="33">
        <f>'ENG_ALLOC'!$E$10*'ENG_ALLOC'!$F$22</f>
        <v/>
      </c>
      <c r="F31" s="33">
        <f>'ENG_ALLOC'!$F$10*'ENG_ALLOC'!$F$22</f>
        <v/>
      </c>
      <c r="G31" s="33">
        <f>'ENG_ALLOC'!$G$10*'ENG_ALLOC'!$F$22</f>
        <v/>
      </c>
      <c r="H31" s="33">
        <f>'ENG_ALLOC'!$H$10*'ENG_ALLOC'!$F$22</f>
        <v/>
      </c>
      <c r="I31" s="33">
        <f>'ENG_ALLOC'!$I$10*'ENG_ALLOC'!$F$22</f>
        <v/>
      </c>
      <c r="J31" s="33">
        <f>'ENG_ALLOC'!$J$10*'ENG_ALLOC'!$F$22</f>
        <v/>
      </c>
      <c r="K31" s="33">
        <f>'ENG_ALLOC'!$K$10*'ENG_ALLOC'!$F$22</f>
        <v/>
      </c>
      <c r="L31" s="33">
        <f>'ENG_ALLOC'!$L$10*'ENG_ALLOC'!$F$22</f>
        <v/>
      </c>
      <c r="M31" s="33">
        <f>'ENG_ALLOC'!$M$10*'ENG_ALLOC'!$F$22</f>
        <v/>
      </c>
      <c r="N31" s="33">
        <f>'ENG_ALLOC'!$N$10*'ENG_ALLOC'!$F$22</f>
        <v/>
      </c>
      <c r="O31" s="33">
        <f>'ENG_ALLOC'!$O$10*'ENG_ALLOC'!$F$22</f>
        <v/>
      </c>
      <c r="P31" s="33">
        <f>'ENG_ALLOC'!$P$10*'ENG_ALLOC'!$F$22</f>
        <v/>
      </c>
    </row>
    <row r="32">
      <c r="A32" s="15" t="inlineStr">
        <is>
          <t>مرکز 1 ← ایستگاه 4</t>
        </is>
      </c>
      <c r="B32" s="16" t="inlineStr"/>
      <c r="C32" s="17" t="inlineStr">
        <is>
          <t>میلیون ریال</t>
        </is>
      </c>
      <c r="D32" s="33">
        <f>'ENG_ALLOC'!$D$10*'ENG_ALLOC'!$G$22</f>
        <v/>
      </c>
      <c r="E32" s="33">
        <f>'ENG_ALLOC'!$E$10*'ENG_ALLOC'!$G$22</f>
        <v/>
      </c>
      <c r="F32" s="33">
        <f>'ENG_ALLOC'!$F$10*'ENG_ALLOC'!$G$22</f>
        <v/>
      </c>
      <c r="G32" s="33">
        <f>'ENG_ALLOC'!$G$10*'ENG_ALLOC'!$G$22</f>
        <v/>
      </c>
      <c r="H32" s="33">
        <f>'ENG_ALLOC'!$H$10*'ENG_ALLOC'!$G$22</f>
        <v/>
      </c>
      <c r="I32" s="33">
        <f>'ENG_ALLOC'!$I$10*'ENG_ALLOC'!$G$22</f>
        <v/>
      </c>
      <c r="J32" s="33">
        <f>'ENG_ALLOC'!$J$10*'ENG_ALLOC'!$G$22</f>
        <v/>
      </c>
      <c r="K32" s="33">
        <f>'ENG_ALLOC'!$K$10*'ENG_ALLOC'!$G$22</f>
        <v/>
      </c>
      <c r="L32" s="33">
        <f>'ENG_ALLOC'!$L$10*'ENG_ALLOC'!$G$22</f>
        <v/>
      </c>
      <c r="M32" s="33">
        <f>'ENG_ALLOC'!$M$10*'ENG_ALLOC'!$G$22</f>
        <v/>
      </c>
      <c r="N32" s="33">
        <f>'ENG_ALLOC'!$N$10*'ENG_ALLOC'!$G$22</f>
        <v/>
      </c>
      <c r="O32" s="33">
        <f>'ENG_ALLOC'!$O$10*'ENG_ALLOC'!$G$22</f>
        <v/>
      </c>
      <c r="P32" s="33">
        <f>'ENG_ALLOC'!$P$10*'ENG_ALLOC'!$G$22</f>
        <v/>
      </c>
    </row>
    <row r="33">
      <c r="A33" s="15" t="inlineStr">
        <is>
          <t>مرکز 1 ← ایستگاه 5</t>
        </is>
      </c>
      <c r="B33" s="16" t="inlineStr"/>
      <c r="C33" s="17" t="inlineStr">
        <is>
          <t>میلیون ریال</t>
        </is>
      </c>
      <c r="D33" s="33">
        <f>'ENG_ALLOC'!$D$10*'ENG_ALLOC'!$H$22</f>
        <v/>
      </c>
      <c r="E33" s="33">
        <f>'ENG_ALLOC'!$E$10*'ENG_ALLOC'!$H$22</f>
        <v/>
      </c>
      <c r="F33" s="33">
        <f>'ENG_ALLOC'!$F$10*'ENG_ALLOC'!$H$22</f>
        <v/>
      </c>
      <c r="G33" s="33">
        <f>'ENG_ALLOC'!$G$10*'ENG_ALLOC'!$H$22</f>
        <v/>
      </c>
      <c r="H33" s="33">
        <f>'ENG_ALLOC'!$H$10*'ENG_ALLOC'!$H$22</f>
        <v/>
      </c>
      <c r="I33" s="33">
        <f>'ENG_ALLOC'!$I$10*'ENG_ALLOC'!$H$22</f>
        <v/>
      </c>
      <c r="J33" s="33">
        <f>'ENG_ALLOC'!$J$10*'ENG_ALLOC'!$H$22</f>
        <v/>
      </c>
      <c r="K33" s="33">
        <f>'ENG_ALLOC'!$K$10*'ENG_ALLOC'!$H$22</f>
        <v/>
      </c>
      <c r="L33" s="33">
        <f>'ENG_ALLOC'!$L$10*'ENG_ALLOC'!$H$22</f>
        <v/>
      </c>
      <c r="M33" s="33">
        <f>'ENG_ALLOC'!$M$10*'ENG_ALLOC'!$H$22</f>
        <v/>
      </c>
      <c r="N33" s="33">
        <f>'ENG_ALLOC'!$N$10*'ENG_ALLOC'!$H$22</f>
        <v/>
      </c>
      <c r="O33" s="33">
        <f>'ENG_ALLOC'!$O$10*'ENG_ALLOC'!$H$22</f>
        <v/>
      </c>
      <c r="P33" s="33">
        <f>'ENG_ALLOC'!$P$10*'ENG_ALLOC'!$H$22</f>
        <v/>
      </c>
    </row>
    <row r="34">
      <c r="A34" s="15" t="inlineStr">
        <is>
          <t>مرکز 1 ← ایستگاه 6</t>
        </is>
      </c>
      <c r="B34" s="16" t="inlineStr"/>
      <c r="C34" s="17" t="inlineStr">
        <is>
          <t>میلیون ریال</t>
        </is>
      </c>
      <c r="D34" s="33">
        <f>'ENG_ALLOC'!$D$10*'ENG_ALLOC'!$I$22</f>
        <v/>
      </c>
      <c r="E34" s="33">
        <f>'ENG_ALLOC'!$E$10*'ENG_ALLOC'!$I$22</f>
        <v/>
      </c>
      <c r="F34" s="33">
        <f>'ENG_ALLOC'!$F$10*'ENG_ALLOC'!$I$22</f>
        <v/>
      </c>
      <c r="G34" s="33">
        <f>'ENG_ALLOC'!$G$10*'ENG_ALLOC'!$I$22</f>
        <v/>
      </c>
      <c r="H34" s="33">
        <f>'ENG_ALLOC'!$H$10*'ENG_ALLOC'!$I$22</f>
        <v/>
      </c>
      <c r="I34" s="33">
        <f>'ENG_ALLOC'!$I$10*'ENG_ALLOC'!$I$22</f>
        <v/>
      </c>
      <c r="J34" s="33">
        <f>'ENG_ALLOC'!$J$10*'ENG_ALLOC'!$I$22</f>
        <v/>
      </c>
      <c r="K34" s="33">
        <f>'ENG_ALLOC'!$K$10*'ENG_ALLOC'!$I$22</f>
        <v/>
      </c>
      <c r="L34" s="33">
        <f>'ENG_ALLOC'!$L$10*'ENG_ALLOC'!$I$22</f>
        <v/>
      </c>
      <c r="M34" s="33">
        <f>'ENG_ALLOC'!$M$10*'ENG_ALLOC'!$I$22</f>
        <v/>
      </c>
      <c r="N34" s="33">
        <f>'ENG_ALLOC'!$N$10*'ENG_ALLOC'!$I$22</f>
        <v/>
      </c>
      <c r="O34" s="33">
        <f>'ENG_ALLOC'!$O$10*'ENG_ALLOC'!$I$22</f>
        <v/>
      </c>
      <c r="P34" s="33">
        <f>'ENG_ALLOC'!$P$10*'ENG_ALLOC'!$I$22</f>
        <v/>
      </c>
    </row>
    <row r="35">
      <c r="A35" s="15" t="inlineStr">
        <is>
          <t>مرکز 2 ← ایستگاه 1</t>
        </is>
      </c>
      <c r="B35" s="16" t="inlineStr"/>
      <c r="C35" s="17" t="inlineStr">
        <is>
          <t>میلیون ریال</t>
        </is>
      </c>
      <c r="D35" s="33">
        <f>'ENG_ALLOC'!$D$11*'ENG_ALLOC'!$D$23</f>
        <v/>
      </c>
      <c r="E35" s="33">
        <f>'ENG_ALLOC'!$E$11*'ENG_ALLOC'!$D$23</f>
        <v/>
      </c>
      <c r="F35" s="33">
        <f>'ENG_ALLOC'!$F$11*'ENG_ALLOC'!$D$23</f>
        <v/>
      </c>
      <c r="G35" s="33">
        <f>'ENG_ALLOC'!$G$11*'ENG_ALLOC'!$D$23</f>
        <v/>
      </c>
      <c r="H35" s="33">
        <f>'ENG_ALLOC'!$H$11*'ENG_ALLOC'!$D$23</f>
        <v/>
      </c>
      <c r="I35" s="33">
        <f>'ENG_ALLOC'!$I$11*'ENG_ALLOC'!$D$23</f>
        <v/>
      </c>
      <c r="J35" s="33">
        <f>'ENG_ALLOC'!$J$11*'ENG_ALLOC'!$D$23</f>
        <v/>
      </c>
      <c r="K35" s="33">
        <f>'ENG_ALLOC'!$K$11*'ENG_ALLOC'!$D$23</f>
        <v/>
      </c>
      <c r="L35" s="33">
        <f>'ENG_ALLOC'!$L$11*'ENG_ALLOC'!$D$23</f>
        <v/>
      </c>
      <c r="M35" s="33">
        <f>'ENG_ALLOC'!$M$11*'ENG_ALLOC'!$D$23</f>
        <v/>
      </c>
      <c r="N35" s="33">
        <f>'ENG_ALLOC'!$N$11*'ENG_ALLOC'!$D$23</f>
        <v/>
      </c>
      <c r="O35" s="33">
        <f>'ENG_ALLOC'!$O$11*'ENG_ALLOC'!$D$23</f>
        <v/>
      </c>
      <c r="P35" s="33">
        <f>'ENG_ALLOC'!$P$11*'ENG_ALLOC'!$D$23</f>
        <v/>
      </c>
    </row>
    <row r="36">
      <c r="A36" s="15" t="inlineStr">
        <is>
          <t>مرکز 2 ← ایستگاه 2</t>
        </is>
      </c>
      <c r="B36" s="16" t="inlineStr"/>
      <c r="C36" s="17" t="inlineStr">
        <is>
          <t>میلیون ریال</t>
        </is>
      </c>
      <c r="D36" s="33">
        <f>'ENG_ALLOC'!$D$11*'ENG_ALLOC'!$E$23</f>
        <v/>
      </c>
      <c r="E36" s="33">
        <f>'ENG_ALLOC'!$E$11*'ENG_ALLOC'!$E$23</f>
        <v/>
      </c>
      <c r="F36" s="33">
        <f>'ENG_ALLOC'!$F$11*'ENG_ALLOC'!$E$23</f>
        <v/>
      </c>
      <c r="G36" s="33">
        <f>'ENG_ALLOC'!$G$11*'ENG_ALLOC'!$E$23</f>
        <v/>
      </c>
      <c r="H36" s="33">
        <f>'ENG_ALLOC'!$H$11*'ENG_ALLOC'!$E$23</f>
        <v/>
      </c>
      <c r="I36" s="33">
        <f>'ENG_ALLOC'!$I$11*'ENG_ALLOC'!$E$23</f>
        <v/>
      </c>
      <c r="J36" s="33">
        <f>'ENG_ALLOC'!$J$11*'ENG_ALLOC'!$E$23</f>
        <v/>
      </c>
      <c r="K36" s="33">
        <f>'ENG_ALLOC'!$K$11*'ENG_ALLOC'!$E$23</f>
        <v/>
      </c>
      <c r="L36" s="33">
        <f>'ENG_ALLOC'!$L$11*'ENG_ALLOC'!$E$23</f>
        <v/>
      </c>
      <c r="M36" s="33">
        <f>'ENG_ALLOC'!$M$11*'ENG_ALLOC'!$E$23</f>
        <v/>
      </c>
      <c r="N36" s="33">
        <f>'ENG_ALLOC'!$N$11*'ENG_ALLOC'!$E$23</f>
        <v/>
      </c>
      <c r="O36" s="33">
        <f>'ENG_ALLOC'!$O$11*'ENG_ALLOC'!$E$23</f>
        <v/>
      </c>
      <c r="P36" s="33">
        <f>'ENG_ALLOC'!$P$11*'ENG_ALLOC'!$E$23</f>
        <v/>
      </c>
    </row>
    <row r="37">
      <c r="A37" s="15" t="inlineStr">
        <is>
          <t>مرکز 2 ← ایستگاه 3</t>
        </is>
      </c>
      <c r="B37" s="16" t="inlineStr"/>
      <c r="C37" s="17" t="inlineStr">
        <is>
          <t>میلیون ریال</t>
        </is>
      </c>
      <c r="D37" s="33">
        <f>'ENG_ALLOC'!$D$11*'ENG_ALLOC'!$F$23</f>
        <v/>
      </c>
      <c r="E37" s="33">
        <f>'ENG_ALLOC'!$E$11*'ENG_ALLOC'!$F$23</f>
        <v/>
      </c>
      <c r="F37" s="33">
        <f>'ENG_ALLOC'!$F$11*'ENG_ALLOC'!$F$23</f>
        <v/>
      </c>
      <c r="G37" s="33">
        <f>'ENG_ALLOC'!$G$11*'ENG_ALLOC'!$F$23</f>
        <v/>
      </c>
      <c r="H37" s="33">
        <f>'ENG_ALLOC'!$H$11*'ENG_ALLOC'!$F$23</f>
        <v/>
      </c>
      <c r="I37" s="33">
        <f>'ENG_ALLOC'!$I$11*'ENG_ALLOC'!$F$23</f>
        <v/>
      </c>
      <c r="J37" s="33">
        <f>'ENG_ALLOC'!$J$11*'ENG_ALLOC'!$F$23</f>
        <v/>
      </c>
      <c r="K37" s="33">
        <f>'ENG_ALLOC'!$K$11*'ENG_ALLOC'!$F$23</f>
        <v/>
      </c>
      <c r="L37" s="33">
        <f>'ENG_ALLOC'!$L$11*'ENG_ALLOC'!$F$23</f>
        <v/>
      </c>
      <c r="M37" s="33">
        <f>'ENG_ALLOC'!$M$11*'ENG_ALLOC'!$F$23</f>
        <v/>
      </c>
      <c r="N37" s="33">
        <f>'ENG_ALLOC'!$N$11*'ENG_ALLOC'!$F$23</f>
        <v/>
      </c>
      <c r="O37" s="33">
        <f>'ENG_ALLOC'!$O$11*'ENG_ALLOC'!$F$23</f>
        <v/>
      </c>
      <c r="P37" s="33">
        <f>'ENG_ALLOC'!$P$11*'ENG_ALLOC'!$F$23</f>
        <v/>
      </c>
    </row>
    <row r="38">
      <c r="A38" s="15" t="inlineStr">
        <is>
          <t>مرکز 2 ← ایستگاه 4</t>
        </is>
      </c>
      <c r="B38" s="16" t="inlineStr"/>
      <c r="C38" s="17" t="inlineStr">
        <is>
          <t>میلیون ریال</t>
        </is>
      </c>
      <c r="D38" s="33">
        <f>'ENG_ALLOC'!$D$11*'ENG_ALLOC'!$G$23</f>
        <v/>
      </c>
      <c r="E38" s="33">
        <f>'ENG_ALLOC'!$E$11*'ENG_ALLOC'!$G$23</f>
        <v/>
      </c>
      <c r="F38" s="33">
        <f>'ENG_ALLOC'!$F$11*'ENG_ALLOC'!$G$23</f>
        <v/>
      </c>
      <c r="G38" s="33">
        <f>'ENG_ALLOC'!$G$11*'ENG_ALLOC'!$G$23</f>
        <v/>
      </c>
      <c r="H38" s="33">
        <f>'ENG_ALLOC'!$H$11*'ENG_ALLOC'!$G$23</f>
        <v/>
      </c>
      <c r="I38" s="33">
        <f>'ENG_ALLOC'!$I$11*'ENG_ALLOC'!$G$23</f>
        <v/>
      </c>
      <c r="J38" s="33">
        <f>'ENG_ALLOC'!$J$11*'ENG_ALLOC'!$G$23</f>
        <v/>
      </c>
      <c r="K38" s="33">
        <f>'ENG_ALLOC'!$K$11*'ENG_ALLOC'!$G$23</f>
        <v/>
      </c>
      <c r="L38" s="33">
        <f>'ENG_ALLOC'!$L$11*'ENG_ALLOC'!$G$23</f>
        <v/>
      </c>
      <c r="M38" s="33">
        <f>'ENG_ALLOC'!$M$11*'ENG_ALLOC'!$G$23</f>
        <v/>
      </c>
      <c r="N38" s="33">
        <f>'ENG_ALLOC'!$N$11*'ENG_ALLOC'!$G$23</f>
        <v/>
      </c>
      <c r="O38" s="33">
        <f>'ENG_ALLOC'!$O$11*'ENG_ALLOC'!$G$23</f>
        <v/>
      </c>
      <c r="P38" s="33">
        <f>'ENG_ALLOC'!$P$11*'ENG_ALLOC'!$G$23</f>
        <v/>
      </c>
    </row>
    <row r="39">
      <c r="A39" s="15" t="inlineStr">
        <is>
          <t>مرکز 2 ← ایستگاه 5</t>
        </is>
      </c>
      <c r="B39" s="16" t="inlineStr"/>
      <c r="C39" s="17" t="inlineStr">
        <is>
          <t>میلیون ریال</t>
        </is>
      </c>
      <c r="D39" s="33">
        <f>'ENG_ALLOC'!$D$11*'ENG_ALLOC'!$H$23</f>
        <v/>
      </c>
      <c r="E39" s="33">
        <f>'ENG_ALLOC'!$E$11*'ENG_ALLOC'!$H$23</f>
        <v/>
      </c>
      <c r="F39" s="33">
        <f>'ENG_ALLOC'!$F$11*'ENG_ALLOC'!$H$23</f>
        <v/>
      </c>
      <c r="G39" s="33">
        <f>'ENG_ALLOC'!$G$11*'ENG_ALLOC'!$H$23</f>
        <v/>
      </c>
      <c r="H39" s="33">
        <f>'ENG_ALLOC'!$H$11*'ENG_ALLOC'!$H$23</f>
        <v/>
      </c>
      <c r="I39" s="33">
        <f>'ENG_ALLOC'!$I$11*'ENG_ALLOC'!$H$23</f>
        <v/>
      </c>
      <c r="J39" s="33">
        <f>'ENG_ALLOC'!$J$11*'ENG_ALLOC'!$H$23</f>
        <v/>
      </c>
      <c r="K39" s="33">
        <f>'ENG_ALLOC'!$K$11*'ENG_ALLOC'!$H$23</f>
        <v/>
      </c>
      <c r="L39" s="33">
        <f>'ENG_ALLOC'!$L$11*'ENG_ALLOC'!$H$23</f>
        <v/>
      </c>
      <c r="M39" s="33">
        <f>'ENG_ALLOC'!$M$11*'ENG_ALLOC'!$H$23</f>
        <v/>
      </c>
      <c r="N39" s="33">
        <f>'ENG_ALLOC'!$N$11*'ENG_ALLOC'!$H$23</f>
        <v/>
      </c>
      <c r="O39" s="33">
        <f>'ENG_ALLOC'!$O$11*'ENG_ALLOC'!$H$23</f>
        <v/>
      </c>
      <c r="P39" s="33">
        <f>'ENG_ALLOC'!$P$11*'ENG_ALLOC'!$H$23</f>
        <v/>
      </c>
    </row>
    <row r="40">
      <c r="A40" s="15" t="inlineStr">
        <is>
          <t>مرکز 2 ← ایستگاه 6</t>
        </is>
      </c>
      <c r="B40" s="16" t="inlineStr"/>
      <c r="C40" s="17" t="inlineStr">
        <is>
          <t>میلیون ریال</t>
        </is>
      </c>
      <c r="D40" s="33">
        <f>'ENG_ALLOC'!$D$11*'ENG_ALLOC'!$I$23</f>
        <v/>
      </c>
      <c r="E40" s="33">
        <f>'ENG_ALLOC'!$E$11*'ENG_ALLOC'!$I$23</f>
        <v/>
      </c>
      <c r="F40" s="33">
        <f>'ENG_ALLOC'!$F$11*'ENG_ALLOC'!$I$23</f>
        <v/>
      </c>
      <c r="G40" s="33">
        <f>'ENG_ALLOC'!$G$11*'ENG_ALLOC'!$I$23</f>
        <v/>
      </c>
      <c r="H40" s="33">
        <f>'ENG_ALLOC'!$H$11*'ENG_ALLOC'!$I$23</f>
        <v/>
      </c>
      <c r="I40" s="33">
        <f>'ENG_ALLOC'!$I$11*'ENG_ALLOC'!$I$23</f>
        <v/>
      </c>
      <c r="J40" s="33">
        <f>'ENG_ALLOC'!$J$11*'ENG_ALLOC'!$I$23</f>
        <v/>
      </c>
      <c r="K40" s="33">
        <f>'ENG_ALLOC'!$K$11*'ENG_ALLOC'!$I$23</f>
        <v/>
      </c>
      <c r="L40" s="33">
        <f>'ENG_ALLOC'!$L$11*'ENG_ALLOC'!$I$23</f>
        <v/>
      </c>
      <c r="M40" s="33">
        <f>'ENG_ALLOC'!$M$11*'ENG_ALLOC'!$I$23</f>
        <v/>
      </c>
      <c r="N40" s="33">
        <f>'ENG_ALLOC'!$N$11*'ENG_ALLOC'!$I$23</f>
        <v/>
      </c>
      <c r="O40" s="33">
        <f>'ENG_ALLOC'!$O$11*'ENG_ALLOC'!$I$23</f>
        <v/>
      </c>
      <c r="P40" s="33">
        <f>'ENG_ALLOC'!$P$11*'ENG_ALLOC'!$I$23</f>
        <v/>
      </c>
    </row>
    <row r="41">
      <c r="A41" s="15" t="inlineStr">
        <is>
          <t>مرکز 3 ← ایستگاه 1</t>
        </is>
      </c>
      <c r="B41" s="16" t="inlineStr"/>
      <c r="C41" s="17" t="inlineStr">
        <is>
          <t>میلیون ریال</t>
        </is>
      </c>
      <c r="D41" s="33">
        <f>'ENG_ALLOC'!$D$12*'ENG_ALLOC'!$D$24</f>
        <v/>
      </c>
      <c r="E41" s="33">
        <f>'ENG_ALLOC'!$E$12*'ENG_ALLOC'!$D$24</f>
        <v/>
      </c>
      <c r="F41" s="33">
        <f>'ENG_ALLOC'!$F$12*'ENG_ALLOC'!$D$24</f>
        <v/>
      </c>
      <c r="G41" s="33">
        <f>'ENG_ALLOC'!$G$12*'ENG_ALLOC'!$D$24</f>
        <v/>
      </c>
      <c r="H41" s="33">
        <f>'ENG_ALLOC'!$H$12*'ENG_ALLOC'!$D$24</f>
        <v/>
      </c>
      <c r="I41" s="33">
        <f>'ENG_ALLOC'!$I$12*'ENG_ALLOC'!$D$24</f>
        <v/>
      </c>
      <c r="J41" s="33">
        <f>'ENG_ALLOC'!$J$12*'ENG_ALLOC'!$D$24</f>
        <v/>
      </c>
      <c r="K41" s="33">
        <f>'ENG_ALLOC'!$K$12*'ENG_ALLOC'!$D$24</f>
        <v/>
      </c>
      <c r="L41" s="33">
        <f>'ENG_ALLOC'!$L$12*'ENG_ALLOC'!$D$24</f>
        <v/>
      </c>
      <c r="M41" s="33">
        <f>'ENG_ALLOC'!$M$12*'ENG_ALLOC'!$D$24</f>
        <v/>
      </c>
      <c r="N41" s="33">
        <f>'ENG_ALLOC'!$N$12*'ENG_ALLOC'!$D$24</f>
        <v/>
      </c>
      <c r="O41" s="33">
        <f>'ENG_ALLOC'!$O$12*'ENG_ALLOC'!$D$24</f>
        <v/>
      </c>
      <c r="P41" s="33">
        <f>'ENG_ALLOC'!$P$12*'ENG_ALLOC'!$D$24</f>
        <v/>
      </c>
    </row>
    <row r="42">
      <c r="A42" s="15" t="inlineStr">
        <is>
          <t>مرکز 3 ← ایستگاه 2</t>
        </is>
      </c>
      <c r="B42" s="16" t="inlineStr"/>
      <c r="C42" s="17" t="inlineStr">
        <is>
          <t>میلیون ریال</t>
        </is>
      </c>
      <c r="D42" s="33">
        <f>'ENG_ALLOC'!$D$12*'ENG_ALLOC'!$E$24</f>
        <v/>
      </c>
      <c r="E42" s="33">
        <f>'ENG_ALLOC'!$E$12*'ENG_ALLOC'!$E$24</f>
        <v/>
      </c>
      <c r="F42" s="33">
        <f>'ENG_ALLOC'!$F$12*'ENG_ALLOC'!$E$24</f>
        <v/>
      </c>
      <c r="G42" s="33">
        <f>'ENG_ALLOC'!$G$12*'ENG_ALLOC'!$E$24</f>
        <v/>
      </c>
      <c r="H42" s="33">
        <f>'ENG_ALLOC'!$H$12*'ENG_ALLOC'!$E$24</f>
        <v/>
      </c>
      <c r="I42" s="33">
        <f>'ENG_ALLOC'!$I$12*'ENG_ALLOC'!$E$24</f>
        <v/>
      </c>
      <c r="J42" s="33">
        <f>'ENG_ALLOC'!$J$12*'ENG_ALLOC'!$E$24</f>
        <v/>
      </c>
      <c r="K42" s="33">
        <f>'ENG_ALLOC'!$K$12*'ENG_ALLOC'!$E$24</f>
        <v/>
      </c>
      <c r="L42" s="33">
        <f>'ENG_ALLOC'!$L$12*'ENG_ALLOC'!$E$24</f>
        <v/>
      </c>
      <c r="M42" s="33">
        <f>'ENG_ALLOC'!$M$12*'ENG_ALLOC'!$E$24</f>
        <v/>
      </c>
      <c r="N42" s="33">
        <f>'ENG_ALLOC'!$N$12*'ENG_ALLOC'!$E$24</f>
        <v/>
      </c>
      <c r="O42" s="33">
        <f>'ENG_ALLOC'!$O$12*'ENG_ALLOC'!$E$24</f>
        <v/>
      </c>
      <c r="P42" s="33">
        <f>'ENG_ALLOC'!$P$12*'ENG_ALLOC'!$E$24</f>
        <v/>
      </c>
    </row>
    <row r="43">
      <c r="A43" s="15" t="inlineStr">
        <is>
          <t>مرکز 3 ← ایستگاه 3</t>
        </is>
      </c>
      <c r="B43" s="16" t="inlineStr"/>
      <c r="C43" s="17" t="inlineStr">
        <is>
          <t>میلیون ریال</t>
        </is>
      </c>
      <c r="D43" s="33">
        <f>'ENG_ALLOC'!$D$12*'ENG_ALLOC'!$F$24</f>
        <v/>
      </c>
      <c r="E43" s="33">
        <f>'ENG_ALLOC'!$E$12*'ENG_ALLOC'!$F$24</f>
        <v/>
      </c>
      <c r="F43" s="33">
        <f>'ENG_ALLOC'!$F$12*'ENG_ALLOC'!$F$24</f>
        <v/>
      </c>
      <c r="G43" s="33">
        <f>'ENG_ALLOC'!$G$12*'ENG_ALLOC'!$F$24</f>
        <v/>
      </c>
      <c r="H43" s="33">
        <f>'ENG_ALLOC'!$H$12*'ENG_ALLOC'!$F$24</f>
        <v/>
      </c>
      <c r="I43" s="33">
        <f>'ENG_ALLOC'!$I$12*'ENG_ALLOC'!$F$24</f>
        <v/>
      </c>
      <c r="J43" s="33">
        <f>'ENG_ALLOC'!$J$12*'ENG_ALLOC'!$F$24</f>
        <v/>
      </c>
      <c r="K43" s="33">
        <f>'ENG_ALLOC'!$K$12*'ENG_ALLOC'!$F$24</f>
        <v/>
      </c>
      <c r="L43" s="33">
        <f>'ENG_ALLOC'!$L$12*'ENG_ALLOC'!$F$24</f>
        <v/>
      </c>
      <c r="M43" s="33">
        <f>'ENG_ALLOC'!$M$12*'ENG_ALLOC'!$F$24</f>
        <v/>
      </c>
      <c r="N43" s="33">
        <f>'ENG_ALLOC'!$N$12*'ENG_ALLOC'!$F$24</f>
        <v/>
      </c>
      <c r="O43" s="33">
        <f>'ENG_ALLOC'!$O$12*'ENG_ALLOC'!$F$24</f>
        <v/>
      </c>
      <c r="P43" s="33">
        <f>'ENG_ALLOC'!$P$12*'ENG_ALLOC'!$F$24</f>
        <v/>
      </c>
    </row>
    <row r="44">
      <c r="A44" s="15" t="inlineStr">
        <is>
          <t>مرکز 3 ← ایستگاه 4</t>
        </is>
      </c>
      <c r="B44" s="16" t="inlineStr"/>
      <c r="C44" s="17" t="inlineStr">
        <is>
          <t>میلیون ریال</t>
        </is>
      </c>
      <c r="D44" s="33">
        <f>'ENG_ALLOC'!$D$12*'ENG_ALLOC'!$G$24</f>
        <v/>
      </c>
      <c r="E44" s="33">
        <f>'ENG_ALLOC'!$E$12*'ENG_ALLOC'!$G$24</f>
        <v/>
      </c>
      <c r="F44" s="33">
        <f>'ENG_ALLOC'!$F$12*'ENG_ALLOC'!$G$24</f>
        <v/>
      </c>
      <c r="G44" s="33">
        <f>'ENG_ALLOC'!$G$12*'ENG_ALLOC'!$G$24</f>
        <v/>
      </c>
      <c r="H44" s="33">
        <f>'ENG_ALLOC'!$H$12*'ENG_ALLOC'!$G$24</f>
        <v/>
      </c>
      <c r="I44" s="33">
        <f>'ENG_ALLOC'!$I$12*'ENG_ALLOC'!$G$24</f>
        <v/>
      </c>
      <c r="J44" s="33">
        <f>'ENG_ALLOC'!$J$12*'ENG_ALLOC'!$G$24</f>
        <v/>
      </c>
      <c r="K44" s="33">
        <f>'ENG_ALLOC'!$K$12*'ENG_ALLOC'!$G$24</f>
        <v/>
      </c>
      <c r="L44" s="33">
        <f>'ENG_ALLOC'!$L$12*'ENG_ALLOC'!$G$24</f>
        <v/>
      </c>
      <c r="M44" s="33">
        <f>'ENG_ALLOC'!$M$12*'ENG_ALLOC'!$G$24</f>
        <v/>
      </c>
      <c r="N44" s="33">
        <f>'ENG_ALLOC'!$N$12*'ENG_ALLOC'!$G$24</f>
        <v/>
      </c>
      <c r="O44" s="33">
        <f>'ENG_ALLOC'!$O$12*'ENG_ALLOC'!$G$24</f>
        <v/>
      </c>
      <c r="P44" s="33">
        <f>'ENG_ALLOC'!$P$12*'ENG_ALLOC'!$G$24</f>
        <v/>
      </c>
    </row>
    <row r="45">
      <c r="A45" s="15" t="inlineStr">
        <is>
          <t>مرکز 3 ← ایستگاه 5</t>
        </is>
      </c>
      <c r="B45" s="16" t="inlineStr"/>
      <c r="C45" s="17" t="inlineStr">
        <is>
          <t>میلیون ریال</t>
        </is>
      </c>
      <c r="D45" s="33">
        <f>'ENG_ALLOC'!$D$12*'ENG_ALLOC'!$H$24</f>
        <v/>
      </c>
      <c r="E45" s="33">
        <f>'ENG_ALLOC'!$E$12*'ENG_ALLOC'!$H$24</f>
        <v/>
      </c>
      <c r="F45" s="33">
        <f>'ENG_ALLOC'!$F$12*'ENG_ALLOC'!$H$24</f>
        <v/>
      </c>
      <c r="G45" s="33">
        <f>'ENG_ALLOC'!$G$12*'ENG_ALLOC'!$H$24</f>
        <v/>
      </c>
      <c r="H45" s="33">
        <f>'ENG_ALLOC'!$H$12*'ENG_ALLOC'!$H$24</f>
        <v/>
      </c>
      <c r="I45" s="33">
        <f>'ENG_ALLOC'!$I$12*'ENG_ALLOC'!$H$24</f>
        <v/>
      </c>
      <c r="J45" s="33">
        <f>'ENG_ALLOC'!$J$12*'ENG_ALLOC'!$H$24</f>
        <v/>
      </c>
      <c r="K45" s="33">
        <f>'ENG_ALLOC'!$K$12*'ENG_ALLOC'!$H$24</f>
        <v/>
      </c>
      <c r="L45" s="33">
        <f>'ENG_ALLOC'!$L$12*'ENG_ALLOC'!$H$24</f>
        <v/>
      </c>
      <c r="M45" s="33">
        <f>'ENG_ALLOC'!$M$12*'ENG_ALLOC'!$H$24</f>
        <v/>
      </c>
      <c r="N45" s="33">
        <f>'ENG_ALLOC'!$N$12*'ENG_ALLOC'!$H$24</f>
        <v/>
      </c>
      <c r="O45" s="33">
        <f>'ENG_ALLOC'!$O$12*'ENG_ALLOC'!$H$24</f>
        <v/>
      </c>
      <c r="P45" s="33">
        <f>'ENG_ALLOC'!$P$12*'ENG_ALLOC'!$H$24</f>
        <v/>
      </c>
    </row>
    <row r="46">
      <c r="A46" s="15" t="inlineStr">
        <is>
          <t>مرکز 3 ← ایستگاه 6</t>
        </is>
      </c>
      <c r="B46" s="16" t="inlineStr"/>
      <c r="C46" s="17" t="inlineStr">
        <is>
          <t>میلیون ریال</t>
        </is>
      </c>
      <c r="D46" s="33">
        <f>'ENG_ALLOC'!$D$12*'ENG_ALLOC'!$I$24</f>
        <v/>
      </c>
      <c r="E46" s="33">
        <f>'ENG_ALLOC'!$E$12*'ENG_ALLOC'!$I$24</f>
        <v/>
      </c>
      <c r="F46" s="33">
        <f>'ENG_ALLOC'!$F$12*'ENG_ALLOC'!$I$24</f>
        <v/>
      </c>
      <c r="G46" s="33">
        <f>'ENG_ALLOC'!$G$12*'ENG_ALLOC'!$I$24</f>
        <v/>
      </c>
      <c r="H46" s="33">
        <f>'ENG_ALLOC'!$H$12*'ENG_ALLOC'!$I$24</f>
        <v/>
      </c>
      <c r="I46" s="33">
        <f>'ENG_ALLOC'!$I$12*'ENG_ALLOC'!$I$24</f>
        <v/>
      </c>
      <c r="J46" s="33">
        <f>'ENG_ALLOC'!$J$12*'ENG_ALLOC'!$I$24</f>
        <v/>
      </c>
      <c r="K46" s="33">
        <f>'ENG_ALLOC'!$K$12*'ENG_ALLOC'!$I$24</f>
        <v/>
      </c>
      <c r="L46" s="33">
        <f>'ENG_ALLOC'!$L$12*'ENG_ALLOC'!$I$24</f>
        <v/>
      </c>
      <c r="M46" s="33">
        <f>'ENG_ALLOC'!$M$12*'ENG_ALLOC'!$I$24</f>
        <v/>
      </c>
      <c r="N46" s="33">
        <f>'ENG_ALLOC'!$N$12*'ENG_ALLOC'!$I$24</f>
        <v/>
      </c>
      <c r="O46" s="33">
        <f>'ENG_ALLOC'!$O$12*'ENG_ALLOC'!$I$24</f>
        <v/>
      </c>
      <c r="P46" s="33">
        <f>'ENG_ALLOC'!$P$12*'ENG_ALLOC'!$I$24</f>
        <v/>
      </c>
    </row>
    <row r="47">
      <c r="A47" s="15" t="inlineStr">
        <is>
          <t>مرکز 4 ← ایستگاه 1</t>
        </is>
      </c>
      <c r="B47" s="16" t="inlineStr"/>
      <c r="C47" s="17" t="inlineStr">
        <is>
          <t>میلیون ریال</t>
        </is>
      </c>
      <c r="D47" s="33">
        <f>'ENG_ALLOC'!$D$13*'ENG_ALLOC'!$D$25</f>
        <v/>
      </c>
      <c r="E47" s="33">
        <f>'ENG_ALLOC'!$E$13*'ENG_ALLOC'!$D$25</f>
        <v/>
      </c>
      <c r="F47" s="33">
        <f>'ENG_ALLOC'!$F$13*'ENG_ALLOC'!$D$25</f>
        <v/>
      </c>
      <c r="G47" s="33">
        <f>'ENG_ALLOC'!$G$13*'ENG_ALLOC'!$D$25</f>
        <v/>
      </c>
      <c r="H47" s="33">
        <f>'ENG_ALLOC'!$H$13*'ENG_ALLOC'!$D$25</f>
        <v/>
      </c>
      <c r="I47" s="33">
        <f>'ENG_ALLOC'!$I$13*'ENG_ALLOC'!$D$25</f>
        <v/>
      </c>
      <c r="J47" s="33">
        <f>'ENG_ALLOC'!$J$13*'ENG_ALLOC'!$D$25</f>
        <v/>
      </c>
      <c r="K47" s="33">
        <f>'ENG_ALLOC'!$K$13*'ENG_ALLOC'!$D$25</f>
        <v/>
      </c>
      <c r="L47" s="33">
        <f>'ENG_ALLOC'!$L$13*'ENG_ALLOC'!$D$25</f>
        <v/>
      </c>
      <c r="M47" s="33">
        <f>'ENG_ALLOC'!$M$13*'ENG_ALLOC'!$D$25</f>
        <v/>
      </c>
      <c r="N47" s="33">
        <f>'ENG_ALLOC'!$N$13*'ENG_ALLOC'!$D$25</f>
        <v/>
      </c>
      <c r="O47" s="33">
        <f>'ENG_ALLOC'!$O$13*'ENG_ALLOC'!$D$25</f>
        <v/>
      </c>
      <c r="P47" s="33">
        <f>'ENG_ALLOC'!$P$13*'ENG_ALLOC'!$D$25</f>
        <v/>
      </c>
    </row>
    <row r="48">
      <c r="A48" s="15" t="inlineStr">
        <is>
          <t>مرکز 4 ← ایستگاه 2</t>
        </is>
      </c>
      <c r="B48" s="16" t="inlineStr"/>
      <c r="C48" s="17" t="inlineStr">
        <is>
          <t>میلیون ریال</t>
        </is>
      </c>
      <c r="D48" s="33">
        <f>'ENG_ALLOC'!$D$13*'ENG_ALLOC'!$E$25</f>
        <v/>
      </c>
      <c r="E48" s="33">
        <f>'ENG_ALLOC'!$E$13*'ENG_ALLOC'!$E$25</f>
        <v/>
      </c>
      <c r="F48" s="33">
        <f>'ENG_ALLOC'!$F$13*'ENG_ALLOC'!$E$25</f>
        <v/>
      </c>
      <c r="G48" s="33">
        <f>'ENG_ALLOC'!$G$13*'ENG_ALLOC'!$E$25</f>
        <v/>
      </c>
      <c r="H48" s="33">
        <f>'ENG_ALLOC'!$H$13*'ENG_ALLOC'!$E$25</f>
        <v/>
      </c>
      <c r="I48" s="33">
        <f>'ENG_ALLOC'!$I$13*'ENG_ALLOC'!$E$25</f>
        <v/>
      </c>
      <c r="J48" s="33">
        <f>'ENG_ALLOC'!$J$13*'ENG_ALLOC'!$E$25</f>
        <v/>
      </c>
      <c r="K48" s="33">
        <f>'ENG_ALLOC'!$K$13*'ENG_ALLOC'!$E$25</f>
        <v/>
      </c>
      <c r="L48" s="33">
        <f>'ENG_ALLOC'!$L$13*'ENG_ALLOC'!$E$25</f>
        <v/>
      </c>
      <c r="M48" s="33">
        <f>'ENG_ALLOC'!$M$13*'ENG_ALLOC'!$E$25</f>
        <v/>
      </c>
      <c r="N48" s="33">
        <f>'ENG_ALLOC'!$N$13*'ENG_ALLOC'!$E$25</f>
        <v/>
      </c>
      <c r="O48" s="33">
        <f>'ENG_ALLOC'!$O$13*'ENG_ALLOC'!$E$25</f>
        <v/>
      </c>
      <c r="P48" s="33">
        <f>'ENG_ALLOC'!$P$13*'ENG_ALLOC'!$E$25</f>
        <v/>
      </c>
    </row>
    <row r="49">
      <c r="A49" s="15" t="inlineStr">
        <is>
          <t>مرکز 4 ← ایستگاه 3</t>
        </is>
      </c>
      <c r="B49" s="16" t="inlineStr"/>
      <c r="C49" s="17" t="inlineStr">
        <is>
          <t>میلیون ریال</t>
        </is>
      </c>
      <c r="D49" s="33">
        <f>'ENG_ALLOC'!$D$13*'ENG_ALLOC'!$F$25</f>
        <v/>
      </c>
      <c r="E49" s="33">
        <f>'ENG_ALLOC'!$E$13*'ENG_ALLOC'!$F$25</f>
        <v/>
      </c>
      <c r="F49" s="33">
        <f>'ENG_ALLOC'!$F$13*'ENG_ALLOC'!$F$25</f>
        <v/>
      </c>
      <c r="G49" s="33">
        <f>'ENG_ALLOC'!$G$13*'ENG_ALLOC'!$F$25</f>
        <v/>
      </c>
      <c r="H49" s="33">
        <f>'ENG_ALLOC'!$H$13*'ENG_ALLOC'!$F$25</f>
        <v/>
      </c>
      <c r="I49" s="33">
        <f>'ENG_ALLOC'!$I$13*'ENG_ALLOC'!$F$25</f>
        <v/>
      </c>
      <c r="J49" s="33">
        <f>'ENG_ALLOC'!$J$13*'ENG_ALLOC'!$F$25</f>
        <v/>
      </c>
      <c r="K49" s="33">
        <f>'ENG_ALLOC'!$K$13*'ENG_ALLOC'!$F$25</f>
        <v/>
      </c>
      <c r="L49" s="33">
        <f>'ENG_ALLOC'!$L$13*'ENG_ALLOC'!$F$25</f>
        <v/>
      </c>
      <c r="M49" s="33">
        <f>'ENG_ALLOC'!$M$13*'ENG_ALLOC'!$F$25</f>
        <v/>
      </c>
      <c r="N49" s="33">
        <f>'ENG_ALLOC'!$N$13*'ENG_ALLOC'!$F$25</f>
        <v/>
      </c>
      <c r="O49" s="33">
        <f>'ENG_ALLOC'!$O$13*'ENG_ALLOC'!$F$25</f>
        <v/>
      </c>
      <c r="P49" s="33">
        <f>'ENG_ALLOC'!$P$13*'ENG_ALLOC'!$F$25</f>
        <v/>
      </c>
    </row>
    <row r="50">
      <c r="A50" s="15" t="inlineStr">
        <is>
          <t>مرکز 4 ← ایستگاه 4</t>
        </is>
      </c>
      <c r="B50" s="16" t="inlineStr"/>
      <c r="C50" s="17" t="inlineStr">
        <is>
          <t>میلیون ریال</t>
        </is>
      </c>
      <c r="D50" s="33">
        <f>'ENG_ALLOC'!$D$13*'ENG_ALLOC'!$G$25</f>
        <v/>
      </c>
      <c r="E50" s="33">
        <f>'ENG_ALLOC'!$E$13*'ENG_ALLOC'!$G$25</f>
        <v/>
      </c>
      <c r="F50" s="33">
        <f>'ENG_ALLOC'!$F$13*'ENG_ALLOC'!$G$25</f>
        <v/>
      </c>
      <c r="G50" s="33">
        <f>'ENG_ALLOC'!$G$13*'ENG_ALLOC'!$G$25</f>
        <v/>
      </c>
      <c r="H50" s="33">
        <f>'ENG_ALLOC'!$H$13*'ENG_ALLOC'!$G$25</f>
        <v/>
      </c>
      <c r="I50" s="33">
        <f>'ENG_ALLOC'!$I$13*'ENG_ALLOC'!$G$25</f>
        <v/>
      </c>
      <c r="J50" s="33">
        <f>'ENG_ALLOC'!$J$13*'ENG_ALLOC'!$G$25</f>
        <v/>
      </c>
      <c r="K50" s="33">
        <f>'ENG_ALLOC'!$K$13*'ENG_ALLOC'!$G$25</f>
        <v/>
      </c>
      <c r="L50" s="33">
        <f>'ENG_ALLOC'!$L$13*'ENG_ALLOC'!$G$25</f>
        <v/>
      </c>
      <c r="M50" s="33">
        <f>'ENG_ALLOC'!$M$13*'ENG_ALLOC'!$G$25</f>
        <v/>
      </c>
      <c r="N50" s="33">
        <f>'ENG_ALLOC'!$N$13*'ENG_ALLOC'!$G$25</f>
        <v/>
      </c>
      <c r="O50" s="33">
        <f>'ENG_ALLOC'!$O$13*'ENG_ALLOC'!$G$25</f>
        <v/>
      </c>
      <c r="P50" s="33">
        <f>'ENG_ALLOC'!$P$13*'ENG_ALLOC'!$G$25</f>
        <v/>
      </c>
    </row>
    <row r="51">
      <c r="A51" s="15" t="inlineStr">
        <is>
          <t>مرکز 4 ← ایستگاه 5</t>
        </is>
      </c>
      <c r="B51" s="16" t="inlineStr"/>
      <c r="C51" s="17" t="inlineStr">
        <is>
          <t>میلیون ریال</t>
        </is>
      </c>
      <c r="D51" s="33">
        <f>'ENG_ALLOC'!$D$13*'ENG_ALLOC'!$H$25</f>
        <v/>
      </c>
      <c r="E51" s="33">
        <f>'ENG_ALLOC'!$E$13*'ENG_ALLOC'!$H$25</f>
        <v/>
      </c>
      <c r="F51" s="33">
        <f>'ENG_ALLOC'!$F$13*'ENG_ALLOC'!$H$25</f>
        <v/>
      </c>
      <c r="G51" s="33">
        <f>'ENG_ALLOC'!$G$13*'ENG_ALLOC'!$H$25</f>
        <v/>
      </c>
      <c r="H51" s="33">
        <f>'ENG_ALLOC'!$H$13*'ENG_ALLOC'!$H$25</f>
        <v/>
      </c>
      <c r="I51" s="33">
        <f>'ENG_ALLOC'!$I$13*'ENG_ALLOC'!$H$25</f>
        <v/>
      </c>
      <c r="J51" s="33">
        <f>'ENG_ALLOC'!$J$13*'ENG_ALLOC'!$H$25</f>
        <v/>
      </c>
      <c r="K51" s="33">
        <f>'ENG_ALLOC'!$K$13*'ENG_ALLOC'!$H$25</f>
        <v/>
      </c>
      <c r="L51" s="33">
        <f>'ENG_ALLOC'!$L$13*'ENG_ALLOC'!$H$25</f>
        <v/>
      </c>
      <c r="M51" s="33">
        <f>'ENG_ALLOC'!$M$13*'ENG_ALLOC'!$H$25</f>
        <v/>
      </c>
      <c r="N51" s="33">
        <f>'ENG_ALLOC'!$N$13*'ENG_ALLOC'!$H$25</f>
        <v/>
      </c>
      <c r="O51" s="33">
        <f>'ENG_ALLOC'!$O$13*'ENG_ALLOC'!$H$25</f>
        <v/>
      </c>
      <c r="P51" s="33">
        <f>'ENG_ALLOC'!$P$13*'ENG_ALLOC'!$H$25</f>
        <v/>
      </c>
    </row>
    <row r="52">
      <c r="A52" s="15" t="inlineStr">
        <is>
          <t>مرکز 4 ← ایستگاه 6</t>
        </is>
      </c>
      <c r="B52" s="16" t="inlineStr"/>
      <c r="C52" s="17" t="inlineStr">
        <is>
          <t>میلیون ریال</t>
        </is>
      </c>
      <c r="D52" s="33">
        <f>'ENG_ALLOC'!$D$13*'ENG_ALLOC'!$I$25</f>
        <v/>
      </c>
      <c r="E52" s="33">
        <f>'ENG_ALLOC'!$E$13*'ENG_ALLOC'!$I$25</f>
        <v/>
      </c>
      <c r="F52" s="33">
        <f>'ENG_ALLOC'!$F$13*'ENG_ALLOC'!$I$25</f>
        <v/>
      </c>
      <c r="G52" s="33">
        <f>'ENG_ALLOC'!$G$13*'ENG_ALLOC'!$I$25</f>
        <v/>
      </c>
      <c r="H52" s="33">
        <f>'ENG_ALLOC'!$H$13*'ENG_ALLOC'!$I$25</f>
        <v/>
      </c>
      <c r="I52" s="33">
        <f>'ENG_ALLOC'!$I$13*'ENG_ALLOC'!$I$25</f>
        <v/>
      </c>
      <c r="J52" s="33">
        <f>'ENG_ALLOC'!$J$13*'ENG_ALLOC'!$I$25</f>
        <v/>
      </c>
      <c r="K52" s="33">
        <f>'ENG_ALLOC'!$K$13*'ENG_ALLOC'!$I$25</f>
        <v/>
      </c>
      <c r="L52" s="33">
        <f>'ENG_ALLOC'!$L$13*'ENG_ALLOC'!$I$25</f>
        <v/>
      </c>
      <c r="M52" s="33">
        <f>'ENG_ALLOC'!$M$13*'ENG_ALLOC'!$I$25</f>
        <v/>
      </c>
      <c r="N52" s="33">
        <f>'ENG_ALLOC'!$N$13*'ENG_ALLOC'!$I$25</f>
        <v/>
      </c>
      <c r="O52" s="33">
        <f>'ENG_ALLOC'!$O$13*'ENG_ALLOC'!$I$25</f>
        <v/>
      </c>
      <c r="P52" s="33">
        <f>'ENG_ALLOC'!$P$13*'ENG_ALLOC'!$I$25</f>
        <v/>
      </c>
    </row>
    <row r="53">
      <c r="A53" s="15" t="inlineStr">
        <is>
          <t>مرکز 5 ← ایستگاه 1</t>
        </is>
      </c>
      <c r="B53" s="16" t="inlineStr"/>
      <c r="C53" s="17" t="inlineStr">
        <is>
          <t>میلیون ریال</t>
        </is>
      </c>
      <c r="D53" s="33">
        <f>'ENG_ALLOC'!$D$14*'ENG_ALLOC'!$D$26</f>
        <v/>
      </c>
      <c r="E53" s="33">
        <f>'ENG_ALLOC'!$E$14*'ENG_ALLOC'!$D$26</f>
        <v/>
      </c>
      <c r="F53" s="33">
        <f>'ENG_ALLOC'!$F$14*'ENG_ALLOC'!$D$26</f>
        <v/>
      </c>
      <c r="G53" s="33">
        <f>'ENG_ALLOC'!$G$14*'ENG_ALLOC'!$D$26</f>
        <v/>
      </c>
      <c r="H53" s="33">
        <f>'ENG_ALLOC'!$H$14*'ENG_ALLOC'!$D$26</f>
        <v/>
      </c>
      <c r="I53" s="33">
        <f>'ENG_ALLOC'!$I$14*'ENG_ALLOC'!$D$26</f>
        <v/>
      </c>
      <c r="J53" s="33">
        <f>'ENG_ALLOC'!$J$14*'ENG_ALLOC'!$D$26</f>
        <v/>
      </c>
      <c r="K53" s="33">
        <f>'ENG_ALLOC'!$K$14*'ENG_ALLOC'!$D$26</f>
        <v/>
      </c>
      <c r="L53" s="33">
        <f>'ENG_ALLOC'!$L$14*'ENG_ALLOC'!$D$26</f>
        <v/>
      </c>
      <c r="M53" s="33">
        <f>'ENG_ALLOC'!$M$14*'ENG_ALLOC'!$D$26</f>
        <v/>
      </c>
      <c r="N53" s="33">
        <f>'ENG_ALLOC'!$N$14*'ENG_ALLOC'!$D$26</f>
        <v/>
      </c>
      <c r="O53" s="33">
        <f>'ENG_ALLOC'!$O$14*'ENG_ALLOC'!$D$26</f>
        <v/>
      </c>
      <c r="P53" s="33">
        <f>'ENG_ALLOC'!$P$14*'ENG_ALLOC'!$D$26</f>
        <v/>
      </c>
    </row>
    <row r="54">
      <c r="A54" s="15" t="inlineStr">
        <is>
          <t>مرکز 5 ← ایستگاه 2</t>
        </is>
      </c>
      <c r="B54" s="16" t="inlineStr"/>
      <c r="C54" s="17" t="inlineStr">
        <is>
          <t>میلیون ریال</t>
        </is>
      </c>
      <c r="D54" s="33">
        <f>'ENG_ALLOC'!$D$14*'ENG_ALLOC'!$E$26</f>
        <v/>
      </c>
      <c r="E54" s="33">
        <f>'ENG_ALLOC'!$E$14*'ENG_ALLOC'!$E$26</f>
        <v/>
      </c>
      <c r="F54" s="33">
        <f>'ENG_ALLOC'!$F$14*'ENG_ALLOC'!$E$26</f>
        <v/>
      </c>
      <c r="G54" s="33">
        <f>'ENG_ALLOC'!$G$14*'ENG_ALLOC'!$E$26</f>
        <v/>
      </c>
      <c r="H54" s="33">
        <f>'ENG_ALLOC'!$H$14*'ENG_ALLOC'!$E$26</f>
        <v/>
      </c>
      <c r="I54" s="33">
        <f>'ENG_ALLOC'!$I$14*'ENG_ALLOC'!$E$26</f>
        <v/>
      </c>
      <c r="J54" s="33">
        <f>'ENG_ALLOC'!$J$14*'ENG_ALLOC'!$E$26</f>
        <v/>
      </c>
      <c r="K54" s="33">
        <f>'ENG_ALLOC'!$K$14*'ENG_ALLOC'!$E$26</f>
        <v/>
      </c>
      <c r="L54" s="33">
        <f>'ENG_ALLOC'!$L$14*'ENG_ALLOC'!$E$26</f>
        <v/>
      </c>
      <c r="M54" s="33">
        <f>'ENG_ALLOC'!$M$14*'ENG_ALLOC'!$E$26</f>
        <v/>
      </c>
      <c r="N54" s="33">
        <f>'ENG_ALLOC'!$N$14*'ENG_ALLOC'!$E$26</f>
        <v/>
      </c>
      <c r="O54" s="33">
        <f>'ENG_ALLOC'!$O$14*'ENG_ALLOC'!$E$26</f>
        <v/>
      </c>
      <c r="P54" s="33">
        <f>'ENG_ALLOC'!$P$14*'ENG_ALLOC'!$E$26</f>
        <v/>
      </c>
    </row>
    <row r="55">
      <c r="A55" s="15" t="inlineStr">
        <is>
          <t>مرکز 5 ← ایستگاه 3</t>
        </is>
      </c>
      <c r="B55" s="16" t="inlineStr"/>
      <c r="C55" s="17" t="inlineStr">
        <is>
          <t>میلیون ریال</t>
        </is>
      </c>
      <c r="D55" s="33">
        <f>'ENG_ALLOC'!$D$14*'ENG_ALLOC'!$F$26</f>
        <v/>
      </c>
      <c r="E55" s="33">
        <f>'ENG_ALLOC'!$E$14*'ENG_ALLOC'!$F$26</f>
        <v/>
      </c>
      <c r="F55" s="33">
        <f>'ENG_ALLOC'!$F$14*'ENG_ALLOC'!$F$26</f>
        <v/>
      </c>
      <c r="G55" s="33">
        <f>'ENG_ALLOC'!$G$14*'ENG_ALLOC'!$F$26</f>
        <v/>
      </c>
      <c r="H55" s="33">
        <f>'ENG_ALLOC'!$H$14*'ENG_ALLOC'!$F$26</f>
        <v/>
      </c>
      <c r="I55" s="33">
        <f>'ENG_ALLOC'!$I$14*'ENG_ALLOC'!$F$26</f>
        <v/>
      </c>
      <c r="J55" s="33">
        <f>'ENG_ALLOC'!$J$14*'ENG_ALLOC'!$F$26</f>
        <v/>
      </c>
      <c r="K55" s="33">
        <f>'ENG_ALLOC'!$K$14*'ENG_ALLOC'!$F$26</f>
        <v/>
      </c>
      <c r="L55" s="33">
        <f>'ENG_ALLOC'!$L$14*'ENG_ALLOC'!$F$26</f>
        <v/>
      </c>
      <c r="M55" s="33">
        <f>'ENG_ALLOC'!$M$14*'ENG_ALLOC'!$F$26</f>
        <v/>
      </c>
      <c r="N55" s="33">
        <f>'ENG_ALLOC'!$N$14*'ENG_ALLOC'!$F$26</f>
        <v/>
      </c>
      <c r="O55" s="33">
        <f>'ENG_ALLOC'!$O$14*'ENG_ALLOC'!$F$26</f>
        <v/>
      </c>
      <c r="P55" s="33">
        <f>'ENG_ALLOC'!$P$14*'ENG_ALLOC'!$F$26</f>
        <v/>
      </c>
    </row>
    <row r="56">
      <c r="A56" s="15" t="inlineStr">
        <is>
          <t>مرکز 5 ← ایستگاه 4</t>
        </is>
      </c>
      <c r="B56" s="16" t="inlineStr"/>
      <c r="C56" s="17" t="inlineStr">
        <is>
          <t>میلیون ریال</t>
        </is>
      </c>
      <c r="D56" s="33">
        <f>'ENG_ALLOC'!$D$14*'ENG_ALLOC'!$G$26</f>
        <v/>
      </c>
      <c r="E56" s="33">
        <f>'ENG_ALLOC'!$E$14*'ENG_ALLOC'!$G$26</f>
        <v/>
      </c>
      <c r="F56" s="33">
        <f>'ENG_ALLOC'!$F$14*'ENG_ALLOC'!$G$26</f>
        <v/>
      </c>
      <c r="G56" s="33">
        <f>'ENG_ALLOC'!$G$14*'ENG_ALLOC'!$G$26</f>
        <v/>
      </c>
      <c r="H56" s="33">
        <f>'ENG_ALLOC'!$H$14*'ENG_ALLOC'!$G$26</f>
        <v/>
      </c>
      <c r="I56" s="33">
        <f>'ENG_ALLOC'!$I$14*'ENG_ALLOC'!$G$26</f>
        <v/>
      </c>
      <c r="J56" s="33">
        <f>'ENG_ALLOC'!$J$14*'ENG_ALLOC'!$G$26</f>
        <v/>
      </c>
      <c r="K56" s="33">
        <f>'ENG_ALLOC'!$K$14*'ENG_ALLOC'!$G$26</f>
        <v/>
      </c>
      <c r="L56" s="33">
        <f>'ENG_ALLOC'!$L$14*'ENG_ALLOC'!$G$26</f>
        <v/>
      </c>
      <c r="M56" s="33">
        <f>'ENG_ALLOC'!$M$14*'ENG_ALLOC'!$G$26</f>
        <v/>
      </c>
      <c r="N56" s="33">
        <f>'ENG_ALLOC'!$N$14*'ENG_ALLOC'!$G$26</f>
        <v/>
      </c>
      <c r="O56" s="33">
        <f>'ENG_ALLOC'!$O$14*'ENG_ALLOC'!$G$26</f>
        <v/>
      </c>
      <c r="P56" s="33">
        <f>'ENG_ALLOC'!$P$14*'ENG_ALLOC'!$G$26</f>
        <v/>
      </c>
    </row>
    <row r="57">
      <c r="A57" s="15" t="inlineStr">
        <is>
          <t>مرکز 5 ← ایستگاه 5</t>
        </is>
      </c>
      <c r="B57" s="16" t="inlineStr"/>
      <c r="C57" s="17" t="inlineStr">
        <is>
          <t>میلیون ریال</t>
        </is>
      </c>
      <c r="D57" s="33">
        <f>'ENG_ALLOC'!$D$14*'ENG_ALLOC'!$H$26</f>
        <v/>
      </c>
      <c r="E57" s="33">
        <f>'ENG_ALLOC'!$E$14*'ENG_ALLOC'!$H$26</f>
        <v/>
      </c>
      <c r="F57" s="33">
        <f>'ENG_ALLOC'!$F$14*'ENG_ALLOC'!$H$26</f>
        <v/>
      </c>
      <c r="G57" s="33">
        <f>'ENG_ALLOC'!$G$14*'ENG_ALLOC'!$H$26</f>
        <v/>
      </c>
      <c r="H57" s="33">
        <f>'ENG_ALLOC'!$H$14*'ENG_ALLOC'!$H$26</f>
        <v/>
      </c>
      <c r="I57" s="33">
        <f>'ENG_ALLOC'!$I$14*'ENG_ALLOC'!$H$26</f>
        <v/>
      </c>
      <c r="J57" s="33">
        <f>'ENG_ALLOC'!$J$14*'ENG_ALLOC'!$H$26</f>
        <v/>
      </c>
      <c r="K57" s="33">
        <f>'ENG_ALLOC'!$K$14*'ENG_ALLOC'!$H$26</f>
        <v/>
      </c>
      <c r="L57" s="33">
        <f>'ENG_ALLOC'!$L$14*'ENG_ALLOC'!$H$26</f>
        <v/>
      </c>
      <c r="M57" s="33">
        <f>'ENG_ALLOC'!$M$14*'ENG_ALLOC'!$H$26</f>
        <v/>
      </c>
      <c r="N57" s="33">
        <f>'ENG_ALLOC'!$N$14*'ENG_ALLOC'!$H$26</f>
        <v/>
      </c>
      <c r="O57" s="33">
        <f>'ENG_ALLOC'!$O$14*'ENG_ALLOC'!$H$26</f>
        <v/>
      </c>
      <c r="P57" s="33">
        <f>'ENG_ALLOC'!$P$14*'ENG_ALLOC'!$H$26</f>
        <v/>
      </c>
    </row>
    <row r="58">
      <c r="A58" s="15" t="inlineStr">
        <is>
          <t>مرکز 5 ← ایستگاه 6</t>
        </is>
      </c>
      <c r="B58" s="16" t="inlineStr"/>
      <c r="C58" s="17" t="inlineStr">
        <is>
          <t>میلیون ریال</t>
        </is>
      </c>
      <c r="D58" s="33">
        <f>'ENG_ALLOC'!$D$14*'ENG_ALLOC'!$I$26</f>
        <v/>
      </c>
      <c r="E58" s="33">
        <f>'ENG_ALLOC'!$E$14*'ENG_ALLOC'!$I$26</f>
        <v/>
      </c>
      <c r="F58" s="33">
        <f>'ENG_ALLOC'!$F$14*'ENG_ALLOC'!$I$26</f>
        <v/>
      </c>
      <c r="G58" s="33">
        <f>'ENG_ALLOC'!$G$14*'ENG_ALLOC'!$I$26</f>
        <v/>
      </c>
      <c r="H58" s="33">
        <f>'ENG_ALLOC'!$H$14*'ENG_ALLOC'!$I$26</f>
        <v/>
      </c>
      <c r="I58" s="33">
        <f>'ENG_ALLOC'!$I$14*'ENG_ALLOC'!$I$26</f>
        <v/>
      </c>
      <c r="J58" s="33">
        <f>'ENG_ALLOC'!$J$14*'ENG_ALLOC'!$I$26</f>
        <v/>
      </c>
      <c r="K58" s="33">
        <f>'ENG_ALLOC'!$K$14*'ENG_ALLOC'!$I$26</f>
        <v/>
      </c>
      <c r="L58" s="33">
        <f>'ENG_ALLOC'!$L$14*'ENG_ALLOC'!$I$26</f>
        <v/>
      </c>
      <c r="M58" s="33">
        <f>'ENG_ALLOC'!$M$14*'ENG_ALLOC'!$I$26</f>
        <v/>
      </c>
      <c r="N58" s="33">
        <f>'ENG_ALLOC'!$N$14*'ENG_ALLOC'!$I$26</f>
        <v/>
      </c>
      <c r="O58" s="33">
        <f>'ENG_ALLOC'!$O$14*'ENG_ALLOC'!$I$26</f>
        <v/>
      </c>
      <c r="P58" s="33">
        <f>'ENG_ALLOC'!$P$14*'ENG_ALLOC'!$I$26</f>
        <v/>
      </c>
    </row>
    <row r="59"/>
    <row r="60">
      <c r="A60" s="4" t="inlineStr">
        <is>
          <t>د) جمع تخصیص‌یافته به هر ایستگاه</t>
        </is>
      </c>
      <c r="B60" s="5" t="n"/>
      <c r="C60" s="5" t="n"/>
      <c r="D60" s="5" t="n"/>
      <c r="E60" s="5" t="n"/>
      <c r="F60" s="5" t="n"/>
      <c r="G60" s="5" t="n"/>
      <c r="H60" s="5" t="n"/>
      <c r="I60" s="5" t="n"/>
      <c r="J60" s="5" t="n"/>
      <c r="K60" s="5" t="n"/>
      <c r="L60" s="5" t="n"/>
      <c r="M60" s="5" t="n"/>
      <c r="N60" s="5" t="n"/>
      <c r="O60" s="5" t="n"/>
      <c r="P60" s="5" t="n"/>
      <c r="Q60" s="5" t="n"/>
    </row>
    <row r="61">
      <c r="A61" s="15" t="inlineStr">
        <is>
          <t>سهم ایستگاه 1 از مراکز خدماتی</t>
        </is>
      </c>
      <c r="B61" s="16" t="inlineStr">
        <is>
          <t>ALC.station.0</t>
        </is>
      </c>
      <c r="C61" s="17" t="inlineStr">
        <is>
          <t>میلیون ریال</t>
        </is>
      </c>
      <c r="D61" s="33">
        <f>D29+D35+D41+D47+D53</f>
        <v/>
      </c>
      <c r="E61" s="33">
        <f>E29+E35+E41+E47+E53</f>
        <v/>
      </c>
      <c r="F61" s="33">
        <f>F29+F35+F41+F47+F53</f>
        <v/>
      </c>
      <c r="G61" s="33">
        <f>G29+G35+G41+G47+G53</f>
        <v/>
      </c>
      <c r="H61" s="33">
        <f>H29+H35+H41+H47+H53</f>
        <v/>
      </c>
      <c r="I61" s="33">
        <f>I29+I35+I41+I47+I53</f>
        <v/>
      </c>
      <c r="J61" s="33">
        <f>J29+J35+J41+J47+J53</f>
        <v/>
      </c>
      <c r="K61" s="33">
        <f>K29+K35+K41+K47+K53</f>
        <v/>
      </c>
      <c r="L61" s="33">
        <f>L29+L35+L41+L47+L53</f>
        <v/>
      </c>
      <c r="M61" s="33">
        <f>M29+M35+M41+M47+M53</f>
        <v/>
      </c>
      <c r="N61" s="33">
        <f>N29+N35+N41+N47+N53</f>
        <v/>
      </c>
      <c r="O61" s="33">
        <f>O29+O35+O41+O47+O53</f>
        <v/>
      </c>
      <c r="P61" s="33">
        <f>P29+P35+P41+P47+P53</f>
        <v/>
      </c>
    </row>
    <row r="62">
      <c r="A62" s="15" t="inlineStr">
        <is>
          <t>سهم ایستگاه 2 از مراکز خدماتی</t>
        </is>
      </c>
      <c r="B62" s="16" t="inlineStr">
        <is>
          <t>ALC.station.1</t>
        </is>
      </c>
      <c r="C62" s="17" t="inlineStr">
        <is>
          <t>میلیون ریال</t>
        </is>
      </c>
      <c r="D62" s="33">
        <f>D30+D36+D42+D48+D54</f>
        <v/>
      </c>
      <c r="E62" s="33">
        <f>E30+E36+E42+E48+E54</f>
        <v/>
      </c>
      <c r="F62" s="33">
        <f>F30+F36+F42+F48+F54</f>
        <v/>
      </c>
      <c r="G62" s="33">
        <f>G30+G36+G42+G48+G54</f>
        <v/>
      </c>
      <c r="H62" s="33">
        <f>H30+H36+H42+H48+H54</f>
        <v/>
      </c>
      <c r="I62" s="33">
        <f>I30+I36+I42+I48+I54</f>
        <v/>
      </c>
      <c r="J62" s="33">
        <f>J30+J36+J42+J48+J54</f>
        <v/>
      </c>
      <c r="K62" s="33">
        <f>K30+K36+K42+K48+K54</f>
        <v/>
      </c>
      <c r="L62" s="33">
        <f>L30+L36+L42+L48+L54</f>
        <v/>
      </c>
      <c r="M62" s="33">
        <f>M30+M36+M42+M48+M54</f>
        <v/>
      </c>
      <c r="N62" s="33">
        <f>N30+N36+N42+N48+N54</f>
        <v/>
      </c>
      <c r="O62" s="33">
        <f>O30+O36+O42+O48+O54</f>
        <v/>
      </c>
      <c r="P62" s="33">
        <f>P30+P36+P42+P48+P54</f>
        <v/>
      </c>
    </row>
    <row r="63">
      <c r="A63" s="15" t="inlineStr">
        <is>
          <t>سهم ایستگاه 3 از مراکز خدماتی</t>
        </is>
      </c>
      <c r="B63" s="16" t="inlineStr">
        <is>
          <t>ALC.station.2</t>
        </is>
      </c>
      <c r="C63" s="17" t="inlineStr">
        <is>
          <t>میلیون ریال</t>
        </is>
      </c>
      <c r="D63" s="33">
        <f>D31+D37+D43+D49+D55</f>
        <v/>
      </c>
      <c r="E63" s="33">
        <f>E31+E37+E43+E49+E55</f>
        <v/>
      </c>
      <c r="F63" s="33">
        <f>F31+F37+F43+F49+F55</f>
        <v/>
      </c>
      <c r="G63" s="33">
        <f>G31+G37+G43+G49+G55</f>
        <v/>
      </c>
      <c r="H63" s="33">
        <f>H31+H37+H43+H49+H55</f>
        <v/>
      </c>
      <c r="I63" s="33">
        <f>I31+I37+I43+I49+I55</f>
        <v/>
      </c>
      <c r="J63" s="33">
        <f>J31+J37+J43+J49+J55</f>
        <v/>
      </c>
      <c r="K63" s="33">
        <f>K31+K37+K43+K49+K55</f>
        <v/>
      </c>
      <c r="L63" s="33">
        <f>L31+L37+L43+L49+L55</f>
        <v/>
      </c>
      <c r="M63" s="33">
        <f>M31+M37+M43+M49+M55</f>
        <v/>
      </c>
      <c r="N63" s="33">
        <f>N31+N37+N43+N49+N55</f>
        <v/>
      </c>
      <c r="O63" s="33">
        <f>O31+O37+O43+O49+O55</f>
        <v/>
      </c>
      <c r="P63" s="33">
        <f>P31+P37+P43+P49+P55</f>
        <v/>
      </c>
    </row>
    <row r="64">
      <c r="A64" s="15" t="inlineStr">
        <is>
          <t>سهم ایستگاه 4 از مراکز خدماتی</t>
        </is>
      </c>
      <c r="B64" s="16" t="inlineStr">
        <is>
          <t>ALC.station.3</t>
        </is>
      </c>
      <c r="C64" s="17" t="inlineStr">
        <is>
          <t>میلیون ریال</t>
        </is>
      </c>
      <c r="D64" s="33">
        <f>D32+D38+D44+D50+D56</f>
        <v/>
      </c>
      <c r="E64" s="33">
        <f>E32+E38+E44+E50+E56</f>
        <v/>
      </c>
      <c r="F64" s="33">
        <f>F32+F38+F44+F50+F56</f>
        <v/>
      </c>
      <c r="G64" s="33">
        <f>G32+G38+G44+G50+G56</f>
        <v/>
      </c>
      <c r="H64" s="33">
        <f>H32+H38+H44+H50+H56</f>
        <v/>
      </c>
      <c r="I64" s="33">
        <f>I32+I38+I44+I50+I56</f>
        <v/>
      </c>
      <c r="J64" s="33">
        <f>J32+J38+J44+J50+J56</f>
        <v/>
      </c>
      <c r="K64" s="33">
        <f>K32+K38+K44+K50+K56</f>
        <v/>
      </c>
      <c r="L64" s="33">
        <f>L32+L38+L44+L50+L56</f>
        <v/>
      </c>
      <c r="M64" s="33">
        <f>M32+M38+M44+M50+M56</f>
        <v/>
      </c>
      <c r="N64" s="33">
        <f>N32+N38+N44+N50+N56</f>
        <v/>
      </c>
      <c r="O64" s="33">
        <f>O32+O38+O44+O50+O56</f>
        <v/>
      </c>
      <c r="P64" s="33">
        <f>P32+P38+P44+P50+P56</f>
        <v/>
      </c>
    </row>
    <row r="65">
      <c r="A65" s="15" t="inlineStr">
        <is>
          <t>سهم ایستگاه 5 از مراکز خدماتی</t>
        </is>
      </c>
      <c r="B65" s="16" t="inlineStr">
        <is>
          <t>ALC.station.4</t>
        </is>
      </c>
      <c r="C65" s="17" t="inlineStr">
        <is>
          <t>میلیون ریال</t>
        </is>
      </c>
      <c r="D65" s="33">
        <f>D33+D39+D45+D51+D57</f>
        <v/>
      </c>
      <c r="E65" s="33">
        <f>E33+E39+E45+E51+E57</f>
        <v/>
      </c>
      <c r="F65" s="33">
        <f>F33+F39+F45+F51+F57</f>
        <v/>
      </c>
      <c r="G65" s="33">
        <f>G33+G39+G45+G51+G57</f>
        <v/>
      </c>
      <c r="H65" s="33">
        <f>H33+H39+H45+H51+H57</f>
        <v/>
      </c>
      <c r="I65" s="33">
        <f>I33+I39+I45+I51+I57</f>
        <v/>
      </c>
      <c r="J65" s="33">
        <f>J33+J39+J45+J51+J57</f>
        <v/>
      </c>
      <c r="K65" s="33">
        <f>K33+K39+K45+K51+K57</f>
        <v/>
      </c>
      <c r="L65" s="33">
        <f>L33+L39+L45+L51+L57</f>
        <v/>
      </c>
      <c r="M65" s="33">
        <f>M33+M39+M45+M51+M57</f>
        <v/>
      </c>
      <c r="N65" s="33">
        <f>N33+N39+N45+N51+N57</f>
        <v/>
      </c>
      <c r="O65" s="33">
        <f>O33+O39+O45+O51+O57</f>
        <v/>
      </c>
      <c r="P65" s="33">
        <f>P33+P39+P45+P51+P57</f>
        <v/>
      </c>
    </row>
    <row r="66">
      <c r="A66" s="15" t="inlineStr">
        <is>
          <t>سهم ایستگاه 6 از مراکز خدماتی</t>
        </is>
      </c>
      <c r="B66" s="16" t="inlineStr">
        <is>
          <t>ALC.station.5</t>
        </is>
      </c>
      <c r="C66" s="17" t="inlineStr">
        <is>
          <t>میلیون ریال</t>
        </is>
      </c>
      <c r="D66" s="33">
        <f>D34+D40+D46+D52+D58</f>
        <v/>
      </c>
      <c r="E66" s="33">
        <f>E34+E40+E46+E52+E58</f>
        <v/>
      </c>
      <c r="F66" s="33">
        <f>F34+F40+F46+F52+F58</f>
        <v/>
      </c>
      <c r="G66" s="33">
        <f>G34+G40+G46+G52+G58</f>
        <v/>
      </c>
      <c r="H66" s="33">
        <f>H34+H40+H46+H52+H58</f>
        <v/>
      </c>
      <c r="I66" s="33">
        <f>I34+I40+I46+I52+I58</f>
        <v/>
      </c>
      <c r="J66" s="33">
        <f>J34+J40+J46+J52+J58</f>
        <v/>
      </c>
      <c r="K66" s="33">
        <f>K34+K40+K46+K52+K58</f>
        <v/>
      </c>
      <c r="L66" s="33">
        <f>L34+L40+L46+L52+L58</f>
        <v/>
      </c>
      <c r="M66" s="33">
        <f>M34+M40+M46+M52+M58</f>
        <v/>
      </c>
      <c r="N66" s="33">
        <f>N34+N40+N46+N52+N58</f>
        <v/>
      </c>
      <c r="O66" s="33">
        <f>O34+O40+O46+O52+O58</f>
        <v/>
      </c>
      <c r="P66" s="33">
        <f>P34+P40+P46+P52+P58</f>
        <v/>
      </c>
    </row>
  </sheetData>
  <pageMargins left="0.75" right="0.75" top="1" bottom="1" header="0.5" footer="0.5"/>
</worksheet>
</file>

<file path=xl/worksheets/sheet13.xml><?xml version="1.0" encoding="utf-8"?>
<worksheet xmlns="http://schemas.openxmlformats.org/spreadsheetml/2006/main">
  <sheetPr>
    <tabColor rgb="00A6A6A6"/>
    <outlinePr summaryBelow="1" summaryRight="1"/>
    <pageSetUpPr/>
  </sheetPr>
  <dimension ref="A1:Q278"/>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تفکیک سه‌لایه‌ای هزینه‌ها (FPC / OPC / DPC)</t>
        </is>
      </c>
      <c r="B1" s="2" t="inlineStr">
        <is>
          <t>موتور محاسبات</t>
        </is>
      </c>
    </row>
    <row r="2">
      <c r="A2" s="3" t="inlineStr">
        <is>
          <t>ساخت ماتریس هزینه به تفکیک طبقه، ایستگاه و سال و محاسبهٔ بهای تمام‌شدهٔ هر واحد.</t>
        </is>
      </c>
    </row>
    <row r="3"/>
    <row r="4"/>
    <row r="5"/>
    <row r="6"/>
    <row r="7">
      <c r="A7" s="11" t="inlineStr">
        <is>
          <t>دوره (t)</t>
        </is>
      </c>
      <c r="D7" s="12" t="n">
        <v>0</v>
      </c>
      <c r="E7" s="12" t="n">
        <v>1</v>
      </c>
      <c r="F7" s="12" t="n">
        <v>2</v>
      </c>
      <c r="G7" s="12" t="n">
        <v>3</v>
      </c>
      <c r="H7" s="12" t="n">
        <v>4</v>
      </c>
      <c r="I7" s="12" t="n">
        <v>5</v>
      </c>
      <c r="J7" s="12" t="n">
        <v>6</v>
      </c>
      <c r="K7" s="12" t="n">
        <v>7</v>
      </c>
      <c r="L7" s="12" t="n">
        <v>8</v>
      </c>
      <c r="M7" s="12" t="n">
        <v>9</v>
      </c>
      <c r="N7" s="12" t="n">
        <v>10</v>
      </c>
      <c r="O7" s="12" t="n">
        <v>11</v>
      </c>
      <c r="P7" s="12" t="n">
        <v>12</v>
      </c>
    </row>
    <row r="8">
      <c r="A8" s="13" t="inlineStr">
        <is>
          <t>سال تقویمی</t>
        </is>
      </c>
      <c r="D8" s="14" t="n">
        <v>2026</v>
      </c>
      <c r="E8" s="14" t="n">
        <v>2027</v>
      </c>
      <c r="F8" s="14" t="n">
        <v>2028</v>
      </c>
      <c r="G8" s="14" t="n">
        <v>2029</v>
      </c>
      <c r="H8" s="14" t="n">
        <v>2030</v>
      </c>
      <c r="I8" s="14" t="n">
        <v>2031</v>
      </c>
      <c r="J8" s="14" t="n">
        <v>2032</v>
      </c>
      <c r="K8" s="14" t="n">
        <v>2033</v>
      </c>
      <c r="L8" s="14" t="n">
        <v>2034</v>
      </c>
      <c r="M8" s="14" t="n">
        <v>2035</v>
      </c>
      <c r="N8" s="14" t="n">
        <v>2036</v>
      </c>
      <c r="O8" s="14" t="n">
        <v>2037</v>
      </c>
      <c r="P8" s="14" t="n">
        <v>2038</v>
      </c>
    </row>
    <row r="9">
      <c r="A9" s="4" t="inlineStr">
        <is>
          <t>الف) جدول محرک‌های تخصیص (بازتاب از لایهٔ ورودی)</t>
        </is>
      </c>
      <c r="B9" s="5" t="n"/>
      <c r="C9" s="5" t="n"/>
      <c r="D9" s="5" t="n"/>
      <c r="E9" s="5" t="n"/>
      <c r="F9" s="5" t="n"/>
      <c r="G9" s="5" t="n"/>
      <c r="H9" s="5" t="n"/>
      <c r="I9" s="5" t="n"/>
      <c r="J9" s="5" t="n"/>
      <c r="K9" s="5" t="n"/>
      <c r="L9" s="5" t="n"/>
      <c r="M9" s="5" t="n"/>
      <c r="N9" s="5" t="n"/>
      <c r="O9" s="5" t="n"/>
      <c r="P9" s="5" t="n"/>
      <c r="Q9" s="5" t="n"/>
    </row>
    <row r="10">
      <c r="A10" s="15" t="inlineStr">
        <is>
          <t>جریان مواد (تن/سال در ظرفیت طراحی)</t>
        </is>
      </c>
      <c r="B10" s="16" t="inlineStr">
        <is>
          <t>THROUGHPUT</t>
        </is>
      </c>
      <c r="C10" s="17" t="inlineStr">
        <is>
          <t>تن/سال</t>
        </is>
      </c>
      <c r="D10" s="33">
        <f>'IN_TECH'!$D$47</f>
        <v/>
      </c>
      <c r="E10" s="33">
        <f>'IN_TECH'!$E$47</f>
        <v/>
      </c>
      <c r="F10" s="33">
        <f>'IN_TECH'!$F$47</f>
        <v/>
      </c>
      <c r="G10" s="33">
        <f>'IN_TECH'!$G$47</f>
        <v/>
      </c>
      <c r="H10" s="33">
        <f>'IN_TECH'!$H$47</f>
        <v/>
      </c>
      <c r="I10" s="33">
        <f>'IN_TECH'!$I$47</f>
        <v/>
      </c>
      <c r="J10" s="36">
        <f>SUM(D10:I10)</f>
        <v/>
      </c>
    </row>
    <row r="11">
      <c r="A11" s="15" t="inlineStr">
        <is>
          <t>ساعت کار ماشین در سال (طراحی)</t>
        </is>
      </c>
      <c r="B11" s="16" t="inlineStr">
        <is>
          <t>MACHINE_HOURS</t>
        </is>
      </c>
      <c r="C11" s="17" t="inlineStr">
        <is>
          <t>ساعت/سال</t>
        </is>
      </c>
      <c r="D11" s="33">
        <f>'IN_TECH'!$D$48</f>
        <v/>
      </c>
      <c r="E11" s="33">
        <f>'IN_TECH'!$E$48</f>
        <v/>
      </c>
      <c r="F11" s="33">
        <f>'IN_TECH'!$F$48</f>
        <v/>
      </c>
      <c r="G11" s="33">
        <f>'IN_TECH'!$G$48</f>
        <v/>
      </c>
      <c r="H11" s="33">
        <f>'IN_TECH'!$H$48</f>
        <v/>
      </c>
      <c r="I11" s="33">
        <f>'IN_TECH'!$I$48</f>
        <v/>
      </c>
      <c r="J11" s="36">
        <f>SUM(D11:I11)</f>
        <v/>
      </c>
    </row>
    <row r="12">
      <c r="A12" s="15" t="inlineStr">
        <is>
          <t>تعداد نیروی انسانی مستقر</t>
        </is>
      </c>
      <c r="B12" s="16" t="inlineStr">
        <is>
          <t>HEADCOUNT</t>
        </is>
      </c>
      <c r="C12" s="17" t="inlineStr">
        <is>
          <t>نفر</t>
        </is>
      </c>
      <c r="D12" s="33">
        <f>'IN_TECH'!$D$49</f>
        <v/>
      </c>
      <c r="E12" s="33">
        <f>'IN_TECH'!$E$49</f>
        <v/>
      </c>
      <c r="F12" s="33">
        <f>'IN_TECH'!$F$49</f>
        <v/>
      </c>
      <c r="G12" s="33">
        <f>'IN_TECH'!$G$49</f>
        <v/>
      </c>
      <c r="H12" s="33">
        <f>'IN_TECH'!$H$49</f>
        <v/>
      </c>
      <c r="I12" s="33">
        <f>'IN_TECH'!$I$49</f>
        <v/>
      </c>
      <c r="J12" s="36">
        <f>SUM(D12:I12)</f>
        <v/>
      </c>
    </row>
    <row r="13">
      <c r="A13" s="15" t="inlineStr">
        <is>
          <t>توان نصب‌شده</t>
        </is>
      </c>
      <c r="B13" s="16" t="inlineStr">
        <is>
          <t>POWER</t>
        </is>
      </c>
      <c r="C13" s="17" t="inlineStr">
        <is>
          <t>کیلووات</t>
        </is>
      </c>
      <c r="D13" s="33">
        <f>'IN_TECH'!$D$50</f>
        <v/>
      </c>
      <c r="E13" s="33">
        <f>'IN_TECH'!$E$50</f>
        <v/>
      </c>
      <c r="F13" s="33">
        <f>'IN_TECH'!$F$50</f>
        <v/>
      </c>
      <c r="G13" s="33">
        <f>'IN_TECH'!$G$50</f>
        <v/>
      </c>
      <c r="H13" s="33">
        <f>'IN_TECH'!$H$50</f>
        <v/>
      </c>
      <c r="I13" s="33">
        <f>'IN_TECH'!$I$50</f>
        <v/>
      </c>
      <c r="J13" s="36">
        <f>SUM(D13:I13)</f>
        <v/>
      </c>
    </row>
    <row r="14">
      <c r="A14" s="15" t="inlineStr">
        <is>
          <t>مساحت اشغالی</t>
        </is>
      </c>
      <c r="B14" s="16" t="inlineStr">
        <is>
          <t>AREA</t>
        </is>
      </c>
      <c r="C14" s="17" t="inlineStr">
        <is>
          <t>m2</t>
        </is>
      </c>
      <c r="D14" s="33">
        <f>'IN_TECH'!$D$51</f>
        <v/>
      </c>
      <c r="E14" s="33">
        <f>'IN_TECH'!$E$51</f>
        <v/>
      </c>
      <c r="F14" s="33">
        <f>'IN_TECH'!$F$51</f>
        <v/>
      </c>
      <c r="G14" s="33">
        <f>'IN_TECH'!$G$51</f>
        <v/>
      </c>
      <c r="H14" s="33">
        <f>'IN_TECH'!$H$51</f>
        <v/>
      </c>
      <c r="I14" s="33">
        <f>'IN_TECH'!$I$51</f>
        <v/>
      </c>
      <c r="J14" s="36">
        <f>SUM(D14:I14)</f>
        <v/>
      </c>
    </row>
    <row r="15">
      <c r="A15" s="15" t="inlineStr">
        <is>
          <t>مصرف آب در سال (طراحی)</t>
        </is>
      </c>
      <c r="B15" s="16" t="inlineStr">
        <is>
          <t>WATER</t>
        </is>
      </c>
      <c r="C15" s="17" t="inlineStr">
        <is>
          <t>m3/سال</t>
        </is>
      </c>
      <c r="D15" s="33">
        <f>'IN_TECH'!$D$52</f>
        <v/>
      </c>
      <c r="E15" s="33">
        <f>'IN_TECH'!$E$52</f>
        <v/>
      </c>
      <c r="F15" s="33">
        <f>'IN_TECH'!$F$52</f>
        <v/>
      </c>
      <c r="G15" s="33">
        <f>'IN_TECH'!$G$52</f>
        <v/>
      </c>
      <c r="H15" s="33">
        <f>'IN_TECH'!$H$52</f>
        <v/>
      </c>
      <c r="I15" s="33">
        <f>'IN_TECH'!$I$52</f>
        <v/>
      </c>
      <c r="J15" s="36">
        <f>SUM(D15:I15)</f>
        <v/>
      </c>
    </row>
    <row r="16"/>
    <row r="17">
      <c r="A17" s="4" t="inlineStr">
        <is>
          <t>ب) وزن تخصیص هر قلم هزینه به ایستگاه‌ها</t>
        </is>
      </c>
      <c r="B17" s="5" t="n"/>
      <c r="C17" s="5" t="n"/>
      <c r="D17" s="5" t="n"/>
      <c r="E17" s="5" t="n"/>
      <c r="F17" s="5" t="n"/>
      <c r="G17" s="5" t="n"/>
      <c r="H17" s="5" t="n"/>
      <c r="I17" s="5" t="n"/>
      <c r="J17" s="5" t="n"/>
      <c r="K17" s="5" t="n"/>
      <c r="L17" s="5" t="n"/>
      <c r="M17" s="5" t="n"/>
      <c r="N17" s="5" t="n"/>
      <c r="O17" s="5" t="n"/>
      <c r="P17" s="5" t="n"/>
      <c r="Q17" s="5" t="n"/>
    </row>
    <row r="18">
      <c r="A18" s="15" t="inlineStr">
        <is>
          <t>وزن DPC-01</t>
        </is>
      </c>
      <c r="B18" s="16" t="inlineStr">
        <is>
          <t>EC.w.0</t>
        </is>
      </c>
      <c r="C18" s="17" t="inlineStr">
        <is>
          <t>درصد</t>
        </is>
      </c>
      <c r="D18" s="32">
        <f>IF('IN_COST'!$H$33="SRV",0,IFERROR(INDEX('ENG_COST'!$D$10:$I$15,MATCH('IN_COST'!$H$33,'ENG_COST'!$B$10:$B$15,0),1)/INDEX('ENG_COST'!$J$10:$J$15,MATCH('IN_COST'!$H$33,'ENG_COST'!$B$10:$B$15,0)),0))</f>
        <v/>
      </c>
      <c r="E18" s="32">
        <f>IF('IN_COST'!$H$33="SRV",0,IFERROR(INDEX('ENG_COST'!$D$10:$I$15,MATCH('IN_COST'!$H$33,'ENG_COST'!$B$10:$B$15,0),2)/INDEX('ENG_COST'!$J$10:$J$15,MATCH('IN_COST'!$H$33,'ENG_COST'!$B$10:$B$15,0)),0))</f>
        <v/>
      </c>
      <c r="F18" s="32">
        <f>IF('IN_COST'!$H$33="SRV",0,IFERROR(INDEX('ENG_COST'!$D$10:$I$15,MATCH('IN_COST'!$H$33,'ENG_COST'!$B$10:$B$15,0),3)/INDEX('ENG_COST'!$J$10:$J$15,MATCH('IN_COST'!$H$33,'ENG_COST'!$B$10:$B$15,0)),0))</f>
        <v/>
      </c>
      <c r="G18" s="32">
        <f>IF('IN_COST'!$H$33="SRV",0,IFERROR(INDEX('ENG_COST'!$D$10:$I$15,MATCH('IN_COST'!$H$33,'ENG_COST'!$B$10:$B$15,0),4)/INDEX('ENG_COST'!$J$10:$J$15,MATCH('IN_COST'!$H$33,'ENG_COST'!$B$10:$B$15,0)),0))</f>
        <v/>
      </c>
      <c r="H18" s="32">
        <f>IF('IN_COST'!$H$33="SRV",0,IFERROR(INDEX('ENG_COST'!$D$10:$I$15,MATCH('IN_COST'!$H$33,'ENG_COST'!$B$10:$B$15,0),5)/INDEX('ENG_COST'!$J$10:$J$15,MATCH('IN_COST'!$H$33,'ENG_COST'!$B$10:$B$15,0)),0))</f>
        <v/>
      </c>
      <c r="I18" s="32">
        <f>IF('IN_COST'!$H$33="SRV",0,IFERROR(INDEX('ENG_COST'!$D$10:$I$15,MATCH('IN_COST'!$H$33,'ENG_COST'!$B$10:$B$15,0),6)/INDEX('ENG_COST'!$J$10:$J$15,MATCH('IN_COST'!$H$33,'ENG_COST'!$B$10:$B$15,0)),0))</f>
        <v/>
      </c>
    </row>
    <row r="19">
      <c r="A19" s="15" t="inlineStr">
        <is>
          <t>وزن DPC-02</t>
        </is>
      </c>
      <c r="B19" s="16" t="inlineStr">
        <is>
          <t>EC.w.1</t>
        </is>
      </c>
      <c r="C19" s="17" t="inlineStr">
        <is>
          <t>درصد</t>
        </is>
      </c>
      <c r="D19" s="32">
        <f>IF('IN_COST'!$H$34="SRV",0,IFERROR(INDEX('ENG_COST'!$D$10:$I$15,MATCH('IN_COST'!$H$34,'ENG_COST'!$B$10:$B$15,0),1)/INDEX('ENG_COST'!$J$10:$J$15,MATCH('IN_COST'!$H$34,'ENG_COST'!$B$10:$B$15,0)),0))</f>
        <v/>
      </c>
      <c r="E19" s="32">
        <f>IF('IN_COST'!$H$34="SRV",0,IFERROR(INDEX('ENG_COST'!$D$10:$I$15,MATCH('IN_COST'!$H$34,'ENG_COST'!$B$10:$B$15,0),2)/INDEX('ENG_COST'!$J$10:$J$15,MATCH('IN_COST'!$H$34,'ENG_COST'!$B$10:$B$15,0)),0))</f>
        <v/>
      </c>
      <c r="F19" s="32">
        <f>IF('IN_COST'!$H$34="SRV",0,IFERROR(INDEX('ENG_COST'!$D$10:$I$15,MATCH('IN_COST'!$H$34,'ENG_COST'!$B$10:$B$15,0),3)/INDEX('ENG_COST'!$J$10:$J$15,MATCH('IN_COST'!$H$34,'ENG_COST'!$B$10:$B$15,0)),0))</f>
        <v/>
      </c>
      <c r="G19" s="32">
        <f>IF('IN_COST'!$H$34="SRV",0,IFERROR(INDEX('ENG_COST'!$D$10:$I$15,MATCH('IN_COST'!$H$34,'ENG_COST'!$B$10:$B$15,0),4)/INDEX('ENG_COST'!$J$10:$J$15,MATCH('IN_COST'!$H$34,'ENG_COST'!$B$10:$B$15,0)),0))</f>
        <v/>
      </c>
      <c r="H19" s="32">
        <f>IF('IN_COST'!$H$34="SRV",0,IFERROR(INDEX('ENG_COST'!$D$10:$I$15,MATCH('IN_COST'!$H$34,'ENG_COST'!$B$10:$B$15,0),5)/INDEX('ENG_COST'!$J$10:$J$15,MATCH('IN_COST'!$H$34,'ENG_COST'!$B$10:$B$15,0)),0))</f>
        <v/>
      </c>
      <c r="I19" s="32">
        <f>IF('IN_COST'!$H$34="SRV",0,IFERROR(INDEX('ENG_COST'!$D$10:$I$15,MATCH('IN_COST'!$H$34,'ENG_COST'!$B$10:$B$15,0),6)/INDEX('ENG_COST'!$J$10:$J$15,MATCH('IN_COST'!$H$34,'ENG_COST'!$B$10:$B$15,0)),0))</f>
        <v/>
      </c>
    </row>
    <row r="20">
      <c r="A20" s="15" t="inlineStr">
        <is>
          <t>وزن DPC-03</t>
        </is>
      </c>
      <c r="B20" s="16" t="inlineStr">
        <is>
          <t>EC.w.2</t>
        </is>
      </c>
      <c r="C20" s="17" t="inlineStr">
        <is>
          <t>درصد</t>
        </is>
      </c>
      <c r="D20" s="32">
        <f>IF('IN_COST'!$H$35="SRV",0,IFERROR(INDEX('ENG_COST'!$D$10:$I$15,MATCH('IN_COST'!$H$35,'ENG_COST'!$B$10:$B$15,0),1)/INDEX('ENG_COST'!$J$10:$J$15,MATCH('IN_COST'!$H$35,'ENG_COST'!$B$10:$B$15,0)),0))</f>
        <v/>
      </c>
      <c r="E20" s="32">
        <f>IF('IN_COST'!$H$35="SRV",0,IFERROR(INDEX('ENG_COST'!$D$10:$I$15,MATCH('IN_COST'!$H$35,'ENG_COST'!$B$10:$B$15,0),2)/INDEX('ENG_COST'!$J$10:$J$15,MATCH('IN_COST'!$H$35,'ENG_COST'!$B$10:$B$15,0)),0))</f>
        <v/>
      </c>
      <c r="F20" s="32">
        <f>IF('IN_COST'!$H$35="SRV",0,IFERROR(INDEX('ENG_COST'!$D$10:$I$15,MATCH('IN_COST'!$H$35,'ENG_COST'!$B$10:$B$15,0),3)/INDEX('ENG_COST'!$J$10:$J$15,MATCH('IN_COST'!$H$35,'ENG_COST'!$B$10:$B$15,0)),0))</f>
        <v/>
      </c>
      <c r="G20" s="32">
        <f>IF('IN_COST'!$H$35="SRV",0,IFERROR(INDEX('ENG_COST'!$D$10:$I$15,MATCH('IN_COST'!$H$35,'ENG_COST'!$B$10:$B$15,0),4)/INDEX('ENG_COST'!$J$10:$J$15,MATCH('IN_COST'!$H$35,'ENG_COST'!$B$10:$B$15,0)),0))</f>
        <v/>
      </c>
      <c r="H20" s="32">
        <f>IF('IN_COST'!$H$35="SRV",0,IFERROR(INDEX('ENG_COST'!$D$10:$I$15,MATCH('IN_COST'!$H$35,'ENG_COST'!$B$10:$B$15,0),5)/INDEX('ENG_COST'!$J$10:$J$15,MATCH('IN_COST'!$H$35,'ENG_COST'!$B$10:$B$15,0)),0))</f>
        <v/>
      </c>
      <c r="I20" s="32">
        <f>IF('IN_COST'!$H$35="SRV",0,IFERROR(INDEX('ENG_COST'!$D$10:$I$15,MATCH('IN_COST'!$H$35,'ENG_COST'!$B$10:$B$15,0),6)/INDEX('ENG_COST'!$J$10:$J$15,MATCH('IN_COST'!$H$35,'ENG_COST'!$B$10:$B$15,0)),0))</f>
        <v/>
      </c>
    </row>
    <row r="21">
      <c r="A21" s="15" t="inlineStr">
        <is>
          <t>وزن DPC-04</t>
        </is>
      </c>
      <c r="B21" s="16" t="inlineStr">
        <is>
          <t>EC.w.3</t>
        </is>
      </c>
      <c r="C21" s="17" t="inlineStr">
        <is>
          <t>درصد</t>
        </is>
      </c>
      <c r="D21" s="32">
        <f>IF('IN_COST'!$H$36="SRV",0,IFERROR(INDEX('ENG_COST'!$D$10:$I$15,MATCH('IN_COST'!$H$36,'ENG_COST'!$B$10:$B$15,0),1)/INDEX('ENG_COST'!$J$10:$J$15,MATCH('IN_COST'!$H$36,'ENG_COST'!$B$10:$B$15,0)),0))</f>
        <v/>
      </c>
      <c r="E21" s="32">
        <f>IF('IN_COST'!$H$36="SRV",0,IFERROR(INDEX('ENG_COST'!$D$10:$I$15,MATCH('IN_COST'!$H$36,'ENG_COST'!$B$10:$B$15,0),2)/INDEX('ENG_COST'!$J$10:$J$15,MATCH('IN_COST'!$H$36,'ENG_COST'!$B$10:$B$15,0)),0))</f>
        <v/>
      </c>
      <c r="F21" s="32">
        <f>IF('IN_COST'!$H$36="SRV",0,IFERROR(INDEX('ENG_COST'!$D$10:$I$15,MATCH('IN_COST'!$H$36,'ENG_COST'!$B$10:$B$15,0),3)/INDEX('ENG_COST'!$J$10:$J$15,MATCH('IN_COST'!$H$36,'ENG_COST'!$B$10:$B$15,0)),0))</f>
        <v/>
      </c>
      <c r="G21" s="32">
        <f>IF('IN_COST'!$H$36="SRV",0,IFERROR(INDEX('ENG_COST'!$D$10:$I$15,MATCH('IN_COST'!$H$36,'ENG_COST'!$B$10:$B$15,0),4)/INDEX('ENG_COST'!$J$10:$J$15,MATCH('IN_COST'!$H$36,'ENG_COST'!$B$10:$B$15,0)),0))</f>
        <v/>
      </c>
      <c r="H21" s="32">
        <f>IF('IN_COST'!$H$36="SRV",0,IFERROR(INDEX('ENG_COST'!$D$10:$I$15,MATCH('IN_COST'!$H$36,'ENG_COST'!$B$10:$B$15,0),5)/INDEX('ENG_COST'!$J$10:$J$15,MATCH('IN_COST'!$H$36,'ENG_COST'!$B$10:$B$15,0)),0))</f>
        <v/>
      </c>
      <c r="I21" s="32">
        <f>IF('IN_COST'!$H$36="SRV",0,IFERROR(INDEX('ENG_COST'!$D$10:$I$15,MATCH('IN_COST'!$H$36,'ENG_COST'!$B$10:$B$15,0),6)/INDEX('ENG_COST'!$J$10:$J$15,MATCH('IN_COST'!$H$36,'ENG_COST'!$B$10:$B$15,0)),0))</f>
        <v/>
      </c>
    </row>
    <row r="22">
      <c r="A22" s="15" t="inlineStr">
        <is>
          <t>وزن DPC-05</t>
        </is>
      </c>
      <c r="B22" s="16" t="inlineStr">
        <is>
          <t>EC.w.4</t>
        </is>
      </c>
      <c r="C22" s="17" t="inlineStr">
        <is>
          <t>درصد</t>
        </is>
      </c>
      <c r="D22" s="32">
        <f>IF('IN_COST'!$H$37="SRV",0,IFERROR(INDEX('ENG_COST'!$D$10:$I$15,MATCH('IN_COST'!$H$37,'ENG_COST'!$B$10:$B$15,0),1)/INDEX('ENG_COST'!$J$10:$J$15,MATCH('IN_COST'!$H$37,'ENG_COST'!$B$10:$B$15,0)),0))</f>
        <v/>
      </c>
      <c r="E22" s="32">
        <f>IF('IN_COST'!$H$37="SRV",0,IFERROR(INDEX('ENG_COST'!$D$10:$I$15,MATCH('IN_COST'!$H$37,'ENG_COST'!$B$10:$B$15,0),2)/INDEX('ENG_COST'!$J$10:$J$15,MATCH('IN_COST'!$H$37,'ENG_COST'!$B$10:$B$15,0)),0))</f>
        <v/>
      </c>
      <c r="F22" s="32">
        <f>IF('IN_COST'!$H$37="SRV",0,IFERROR(INDEX('ENG_COST'!$D$10:$I$15,MATCH('IN_COST'!$H$37,'ENG_COST'!$B$10:$B$15,0),3)/INDEX('ENG_COST'!$J$10:$J$15,MATCH('IN_COST'!$H$37,'ENG_COST'!$B$10:$B$15,0)),0))</f>
        <v/>
      </c>
      <c r="G22" s="32">
        <f>IF('IN_COST'!$H$37="SRV",0,IFERROR(INDEX('ENG_COST'!$D$10:$I$15,MATCH('IN_COST'!$H$37,'ENG_COST'!$B$10:$B$15,0),4)/INDEX('ENG_COST'!$J$10:$J$15,MATCH('IN_COST'!$H$37,'ENG_COST'!$B$10:$B$15,0)),0))</f>
        <v/>
      </c>
      <c r="H22" s="32">
        <f>IF('IN_COST'!$H$37="SRV",0,IFERROR(INDEX('ENG_COST'!$D$10:$I$15,MATCH('IN_COST'!$H$37,'ENG_COST'!$B$10:$B$15,0),5)/INDEX('ENG_COST'!$J$10:$J$15,MATCH('IN_COST'!$H$37,'ENG_COST'!$B$10:$B$15,0)),0))</f>
        <v/>
      </c>
      <c r="I22" s="32">
        <f>IF('IN_COST'!$H$37="SRV",0,IFERROR(INDEX('ENG_COST'!$D$10:$I$15,MATCH('IN_COST'!$H$37,'ENG_COST'!$B$10:$B$15,0),6)/INDEX('ENG_COST'!$J$10:$J$15,MATCH('IN_COST'!$H$37,'ENG_COST'!$B$10:$B$15,0)),0))</f>
        <v/>
      </c>
    </row>
    <row r="23">
      <c r="A23" s="15" t="inlineStr">
        <is>
          <t>وزن DPC-06</t>
        </is>
      </c>
      <c r="B23" s="16" t="inlineStr">
        <is>
          <t>EC.w.5</t>
        </is>
      </c>
      <c r="C23" s="17" t="inlineStr">
        <is>
          <t>درصد</t>
        </is>
      </c>
      <c r="D23" s="32">
        <f>IF('IN_COST'!$H$38="SRV",0,IFERROR(INDEX('ENG_COST'!$D$10:$I$15,MATCH('IN_COST'!$H$38,'ENG_COST'!$B$10:$B$15,0),1)/INDEX('ENG_COST'!$J$10:$J$15,MATCH('IN_COST'!$H$38,'ENG_COST'!$B$10:$B$15,0)),0))</f>
        <v/>
      </c>
      <c r="E23" s="32">
        <f>IF('IN_COST'!$H$38="SRV",0,IFERROR(INDEX('ENG_COST'!$D$10:$I$15,MATCH('IN_COST'!$H$38,'ENG_COST'!$B$10:$B$15,0),2)/INDEX('ENG_COST'!$J$10:$J$15,MATCH('IN_COST'!$H$38,'ENG_COST'!$B$10:$B$15,0)),0))</f>
        <v/>
      </c>
      <c r="F23" s="32">
        <f>IF('IN_COST'!$H$38="SRV",0,IFERROR(INDEX('ENG_COST'!$D$10:$I$15,MATCH('IN_COST'!$H$38,'ENG_COST'!$B$10:$B$15,0),3)/INDEX('ENG_COST'!$J$10:$J$15,MATCH('IN_COST'!$H$38,'ENG_COST'!$B$10:$B$15,0)),0))</f>
        <v/>
      </c>
      <c r="G23" s="32">
        <f>IF('IN_COST'!$H$38="SRV",0,IFERROR(INDEX('ENG_COST'!$D$10:$I$15,MATCH('IN_COST'!$H$38,'ENG_COST'!$B$10:$B$15,0),4)/INDEX('ENG_COST'!$J$10:$J$15,MATCH('IN_COST'!$H$38,'ENG_COST'!$B$10:$B$15,0)),0))</f>
        <v/>
      </c>
      <c r="H23" s="32">
        <f>IF('IN_COST'!$H$38="SRV",0,IFERROR(INDEX('ENG_COST'!$D$10:$I$15,MATCH('IN_COST'!$H$38,'ENG_COST'!$B$10:$B$15,0),5)/INDEX('ENG_COST'!$J$10:$J$15,MATCH('IN_COST'!$H$38,'ENG_COST'!$B$10:$B$15,0)),0))</f>
        <v/>
      </c>
      <c r="I23" s="32">
        <f>IF('IN_COST'!$H$38="SRV",0,IFERROR(INDEX('ENG_COST'!$D$10:$I$15,MATCH('IN_COST'!$H$38,'ENG_COST'!$B$10:$B$15,0),6)/INDEX('ENG_COST'!$J$10:$J$15,MATCH('IN_COST'!$H$38,'ENG_COST'!$B$10:$B$15,0)),0))</f>
        <v/>
      </c>
    </row>
    <row r="24">
      <c r="A24" s="15" t="inlineStr">
        <is>
          <t>وزن OPC-01</t>
        </is>
      </c>
      <c r="B24" s="16" t="inlineStr">
        <is>
          <t>EC.w.6</t>
        </is>
      </c>
      <c r="C24" s="17" t="inlineStr">
        <is>
          <t>درصد</t>
        </is>
      </c>
      <c r="D24" s="32">
        <f>IF('IN_COST'!$H$39="SRV",0,IFERROR(INDEX('ENG_COST'!$D$10:$I$15,MATCH('IN_COST'!$H$39,'ENG_COST'!$B$10:$B$15,0),1)/INDEX('ENG_COST'!$J$10:$J$15,MATCH('IN_COST'!$H$39,'ENG_COST'!$B$10:$B$15,0)),0))</f>
        <v/>
      </c>
      <c r="E24" s="32">
        <f>IF('IN_COST'!$H$39="SRV",0,IFERROR(INDEX('ENG_COST'!$D$10:$I$15,MATCH('IN_COST'!$H$39,'ENG_COST'!$B$10:$B$15,0),2)/INDEX('ENG_COST'!$J$10:$J$15,MATCH('IN_COST'!$H$39,'ENG_COST'!$B$10:$B$15,0)),0))</f>
        <v/>
      </c>
      <c r="F24" s="32">
        <f>IF('IN_COST'!$H$39="SRV",0,IFERROR(INDEX('ENG_COST'!$D$10:$I$15,MATCH('IN_COST'!$H$39,'ENG_COST'!$B$10:$B$15,0),3)/INDEX('ENG_COST'!$J$10:$J$15,MATCH('IN_COST'!$H$39,'ENG_COST'!$B$10:$B$15,0)),0))</f>
        <v/>
      </c>
      <c r="G24" s="32">
        <f>IF('IN_COST'!$H$39="SRV",0,IFERROR(INDEX('ENG_COST'!$D$10:$I$15,MATCH('IN_COST'!$H$39,'ENG_COST'!$B$10:$B$15,0),4)/INDEX('ENG_COST'!$J$10:$J$15,MATCH('IN_COST'!$H$39,'ENG_COST'!$B$10:$B$15,0)),0))</f>
        <v/>
      </c>
      <c r="H24" s="32">
        <f>IF('IN_COST'!$H$39="SRV",0,IFERROR(INDEX('ENG_COST'!$D$10:$I$15,MATCH('IN_COST'!$H$39,'ENG_COST'!$B$10:$B$15,0),5)/INDEX('ENG_COST'!$J$10:$J$15,MATCH('IN_COST'!$H$39,'ENG_COST'!$B$10:$B$15,0)),0))</f>
        <v/>
      </c>
      <c r="I24" s="32">
        <f>IF('IN_COST'!$H$39="SRV",0,IFERROR(INDEX('ENG_COST'!$D$10:$I$15,MATCH('IN_COST'!$H$39,'ENG_COST'!$B$10:$B$15,0),6)/INDEX('ENG_COST'!$J$10:$J$15,MATCH('IN_COST'!$H$39,'ENG_COST'!$B$10:$B$15,0)),0))</f>
        <v/>
      </c>
    </row>
    <row r="25">
      <c r="A25" s="15" t="inlineStr">
        <is>
          <t>وزن OPC-02</t>
        </is>
      </c>
      <c r="B25" s="16" t="inlineStr">
        <is>
          <t>EC.w.7</t>
        </is>
      </c>
      <c r="C25" s="17" t="inlineStr">
        <is>
          <t>درصد</t>
        </is>
      </c>
      <c r="D25" s="32">
        <f>IF('IN_COST'!$H$40="SRV",0,IFERROR(INDEX('ENG_COST'!$D$10:$I$15,MATCH('IN_COST'!$H$40,'ENG_COST'!$B$10:$B$15,0),1)/INDEX('ENG_COST'!$J$10:$J$15,MATCH('IN_COST'!$H$40,'ENG_COST'!$B$10:$B$15,0)),0))</f>
        <v/>
      </c>
      <c r="E25" s="32">
        <f>IF('IN_COST'!$H$40="SRV",0,IFERROR(INDEX('ENG_COST'!$D$10:$I$15,MATCH('IN_COST'!$H$40,'ENG_COST'!$B$10:$B$15,0),2)/INDEX('ENG_COST'!$J$10:$J$15,MATCH('IN_COST'!$H$40,'ENG_COST'!$B$10:$B$15,0)),0))</f>
        <v/>
      </c>
      <c r="F25" s="32">
        <f>IF('IN_COST'!$H$40="SRV",0,IFERROR(INDEX('ENG_COST'!$D$10:$I$15,MATCH('IN_COST'!$H$40,'ENG_COST'!$B$10:$B$15,0),3)/INDEX('ENG_COST'!$J$10:$J$15,MATCH('IN_COST'!$H$40,'ENG_COST'!$B$10:$B$15,0)),0))</f>
        <v/>
      </c>
      <c r="G25" s="32">
        <f>IF('IN_COST'!$H$40="SRV",0,IFERROR(INDEX('ENG_COST'!$D$10:$I$15,MATCH('IN_COST'!$H$40,'ENG_COST'!$B$10:$B$15,0),4)/INDEX('ENG_COST'!$J$10:$J$15,MATCH('IN_COST'!$H$40,'ENG_COST'!$B$10:$B$15,0)),0))</f>
        <v/>
      </c>
      <c r="H25" s="32">
        <f>IF('IN_COST'!$H$40="SRV",0,IFERROR(INDEX('ENG_COST'!$D$10:$I$15,MATCH('IN_COST'!$H$40,'ENG_COST'!$B$10:$B$15,0),5)/INDEX('ENG_COST'!$J$10:$J$15,MATCH('IN_COST'!$H$40,'ENG_COST'!$B$10:$B$15,0)),0))</f>
        <v/>
      </c>
      <c r="I25" s="32">
        <f>IF('IN_COST'!$H$40="SRV",0,IFERROR(INDEX('ENG_COST'!$D$10:$I$15,MATCH('IN_COST'!$H$40,'ENG_COST'!$B$10:$B$15,0),6)/INDEX('ENG_COST'!$J$10:$J$15,MATCH('IN_COST'!$H$40,'ENG_COST'!$B$10:$B$15,0)),0))</f>
        <v/>
      </c>
    </row>
    <row r="26">
      <c r="A26" s="15" t="inlineStr">
        <is>
          <t>وزن OPC-03</t>
        </is>
      </c>
      <c r="B26" s="16" t="inlineStr">
        <is>
          <t>EC.w.8</t>
        </is>
      </c>
      <c r="C26" s="17" t="inlineStr">
        <is>
          <t>درصد</t>
        </is>
      </c>
      <c r="D26" s="32">
        <f>IF('IN_COST'!$H$41="SRV",0,IFERROR(INDEX('ENG_COST'!$D$10:$I$15,MATCH('IN_COST'!$H$41,'ENG_COST'!$B$10:$B$15,0),1)/INDEX('ENG_COST'!$J$10:$J$15,MATCH('IN_COST'!$H$41,'ENG_COST'!$B$10:$B$15,0)),0))</f>
        <v/>
      </c>
      <c r="E26" s="32">
        <f>IF('IN_COST'!$H$41="SRV",0,IFERROR(INDEX('ENG_COST'!$D$10:$I$15,MATCH('IN_COST'!$H$41,'ENG_COST'!$B$10:$B$15,0),2)/INDEX('ENG_COST'!$J$10:$J$15,MATCH('IN_COST'!$H$41,'ENG_COST'!$B$10:$B$15,0)),0))</f>
        <v/>
      </c>
      <c r="F26" s="32">
        <f>IF('IN_COST'!$H$41="SRV",0,IFERROR(INDEX('ENG_COST'!$D$10:$I$15,MATCH('IN_COST'!$H$41,'ENG_COST'!$B$10:$B$15,0),3)/INDEX('ENG_COST'!$J$10:$J$15,MATCH('IN_COST'!$H$41,'ENG_COST'!$B$10:$B$15,0)),0))</f>
        <v/>
      </c>
      <c r="G26" s="32">
        <f>IF('IN_COST'!$H$41="SRV",0,IFERROR(INDEX('ENG_COST'!$D$10:$I$15,MATCH('IN_COST'!$H$41,'ENG_COST'!$B$10:$B$15,0),4)/INDEX('ENG_COST'!$J$10:$J$15,MATCH('IN_COST'!$H$41,'ENG_COST'!$B$10:$B$15,0)),0))</f>
        <v/>
      </c>
      <c r="H26" s="32">
        <f>IF('IN_COST'!$H$41="SRV",0,IFERROR(INDEX('ENG_COST'!$D$10:$I$15,MATCH('IN_COST'!$H$41,'ENG_COST'!$B$10:$B$15,0),5)/INDEX('ENG_COST'!$J$10:$J$15,MATCH('IN_COST'!$H$41,'ENG_COST'!$B$10:$B$15,0)),0))</f>
        <v/>
      </c>
      <c r="I26" s="32">
        <f>IF('IN_COST'!$H$41="SRV",0,IFERROR(INDEX('ENG_COST'!$D$10:$I$15,MATCH('IN_COST'!$H$41,'ENG_COST'!$B$10:$B$15,0),6)/INDEX('ENG_COST'!$J$10:$J$15,MATCH('IN_COST'!$H$41,'ENG_COST'!$B$10:$B$15,0)),0))</f>
        <v/>
      </c>
    </row>
    <row r="27">
      <c r="A27" s="15" t="inlineStr">
        <is>
          <t>وزن OPC-04</t>
        </is>
      </c>
      <c r="B27" s="16" t="inlineStr">
        <is>
          <t>EC.w.9</t>
        </is>
      </c>
      <c r="C27" s="17" t="inlineStr">
        <is>
          <t>درصد</t>
        </is>
      </c>
      <c r="D27" s="32">
        <f>IF('IN_COST'!$H$42="SRV",0,IFERROR(INDEX('ENG_COST'!$D$10:$I$15,MATCH('IN_COST'!$H$42,'ENG_COST'!$B$10:$B$15,0),1)/INDEX('ENG_COST'!$J$10:$J$15,MATCH('IN_COST'!$H$42,'ENG_COST'!$B$10:$B$15,0)),0))</f>
        <v/>
      </c>
      <c r="E27" s="32">
        <f>IF('IN_COST'!$H$42="SRV",0,IFERROR(INDEX('ENG_COST'!$D$10:$I$15,MATCH('IN_COST'!$H$42,'ENG_COST'!$B$10:$B$15,0),2)/INDEX('ENG_COST'!$J$10:$J$15,MATCH('IN_COST'!$H$42,'ENG_COST'!$B$10:$B$15,0)),0))</f>
        <v/>
      </c>
      <c r="F27" s="32">
        <f>IF('IN_COST'!$H$42="SRV",0,IFERROR(INDEX('ENG_COST'!$D$10:$I$15,MATCH('IN_COST'!$H$42,'ENG_COST'!$B$10:$B$15,0),3)/INDEX('ENG_COST'!$J$10:$J$15,MATCH('IN_COST'!$H$42,'ENG_COST'!$B$10:$B$15,0)),0))</f>
        <v/>
      </c>
      <c r="G27" s="32">
        <f>IF('IN_COST'!$H$42="SRV",0,IFERROR(INDEX('ENG_COST'!$D$10:$I$15,MATCH('IN_COST'!$H$42,'ENG_COST'!$B$10:$B$15,0),4)/INDEX('ENG_COST'!$J$10:$J$15,MATCH('IN_COST'!$H$42,'ENG_COST'!$B$10:$B$15,0)),0))</f>
        <v/>
      </c>
      <c r="H27" s="32">
        <f>IF('IN_COST'!$H$42="SRV",0,IFERROR(INDEX('ENG_COST'!$D$10:$I$15,MATCH('IN_COST'!$H$42,'ENG_COST'!$B$10:$B$15,0),5)/INDEX('ENG_COST'!$J$10:$J$15,MATCH('IN_COST'!$H$42,'ENG_COST'!$B$10:$B$15,0)),0))</f>
        <v/>
      </c>
      <c r="I27" s="32">
        <f>IF('IN_COST'!$H$42="SRV",0,IFERROR(INDEX('ENG_COST'!$D$10:$I$15,MATCH('IN_COST'!$H$42,'ENG_COST'!$B$10:$B$15,0),6)/INDEX('ENG_COST'!$J$10:$J$15,MATCH('IN_COST'!$H$42,'ENG_COST'!$B$10:$B$15,0)),0))</f>
        <v/>
      </c>
    </row>
    <row r="28">
      <c r="A28" s="15" t="inlineStr">
        <is>
          <t>وزن OPC-05</t>
        </is>
      </c>
      <c r="B28" s="16" t="inlineStr">
        <is>
          <t>EC.w.10</t>
        </is>
      </c>
      <c r="C28" s="17" t="inlineStr">
        <is>
          <t>درصد</t>
        </is>
      </c>
      <c r="D28" s="32">
        <f>IF('IN_COST'!$H$43="SRV",0,IFERROR(INDEX('ENG_COST'!$D$10:$I$15,MATCH('IN_COST'!$H$43,'ENG_COST'!$B$10:$B$15,0),1)/INDEX('ENG_COST'!$J$10:$J$15,MATCH('IN_COST'!$H$43,'ENG_COST'!$B$10:$B$15,0)),0))</f>
        <v/>
      </c>
      <c r="E28" s="32">
        <f>IF('IN_COST'!$H$43="SRV",0,IFERROR(INDEX('ENG_COST'!$D$10:$I$15,MATCH('IN_COST'!$H$43,'ENG_COST'!$B$10:$B$15,0),2)/INDEX('ENG_COST'!$J$10:$J$15,MATCH('IN_COST'!$H$43,'ENG_COST'!$B$10:$B$15,0)),0))</f>
        <v/>
      </c>
      <c r="F28" s="32">
        <f>IF('IN_COST'!$H$43="SRV",0,IFERROR(INDEX('ENG_COST'!$D$10:$I$15,MATCH('IN_COST'!$H$43,'ENG_COST'!$B$10:$B$15,0),3)/INDEX('ENG_COST'!$J$10:$J$15,MATCH('IN_COST'!$H$43,'ENG_COST'!$B$10:$B$15,0)),0))</f>
        <v/>
      </c>
      <c r="G28" s="32">
        <f>IF('IN_COST'!$H$43="SRV",0,IFERROR(INDEX('ENG_COST'!$D$10:$I$15,MATCH('IN_COST'!$H$43,'ENG_COST'!$B$10:$B$15,0),4)/INDEX('ENG_COST'!$J$10:$J$15,MATCH('IN_COST'!$H$43,'ENG_COST'!$B$10:$B$15,0)),0))</f>
        <v/>
      </c>
      <c r="H28" s="32">
        <f>IF('IN_COST'!$H$43="SRV",0,IFERROR(INDEX('ENG_COST'!$D$10:$I$15,MATCH('IN_COST'!$H$43,'ENG_COST'!$B$10:$B$15,0),5)/INDEX('ENG_COST'!$J$10:$J$15,MATCH('IN_COST'!$H$43,'ENG_COST'!$B$10:$B$15,0)),0))</f>
        <v/>
      </c>
      <c r="I28" s="32">
        <f>IF('IN_COST'!$H$43="SRV",0,IFERROR(INDEX('ENG_COST'!$D$10:$I$15,MATCH('IN_COST'!$H$43,'ENG_COST'!$B$10:$B$15,0),6)/INDEX('ENG_COST'!$J$10:$J$15,MATCH('IN_COST'!$H$43,'ENG_COST'!$B$10:$B$15,0)),0))</f>
        <v/>
      </c>
    </row>
    <row r="29">
      <c r="A29" s="15" t="inlineStr">
        <is>
          <t>وزن OPC-06</t>
        </is>
      </c>
      <c r="B29" s="16" t="inlineStr">
        <is>
          <t>EC.w.11</t>
        </is>
      </c>
      <c r="C29" s="17" t="inlineStr">
        <is>
          <t>درصد</t>
        </is>
      </c>
      <c r="D29" s="32">
        <f>IF('IN_COST'!$H$44="SRV",0,IFERROR(INDEX('ENG_COST'!$D$10:$I$15,MATCH('IN_COST'!$H$44,'ENG_COST'!$B$10:$B$15,0),1)/INDEX('ENG_COST'!$J$10:$J$15,MATCH('IN_COST'!$H$44,'ENG_COST'!$B$10:$B$15,0)),0))</f>
        <v/>
      </c>
      <c r="E29" s="32">
        <f>IF('IN_COST'!$H$44="SRV",0,IFERROR(INDEX('ENG_COST'!$D$10:$I$15,MATCH('IN_COST'!$H$44,'ENG_COST'!$B$10:$B$15,0),2)/INDEX('ENG_COST'!$J$10:$J$15,MATCH('IN_COST'!$H$44,'ENG_COST'!$B$10:$B$15,0)),0))</f>
        <v/>
      </c>
      <c r="F29" s="32">
        <f>IF('IN_COST'!$H$44="SRV",0,IFERROR(INDEX('ENG_COST'!$D$10:$I$15,MATCH('IN_COST'!$H$44,'ENG_COST'!$B$10:$B$15,0),3)/INDEX('ENG_COST'!$J$10:$J$15,MATCH('IN_COST'!$H$44,'ENG_COST'!$B$10:$B$15,0)),0))</f>
        <v/>
      </c>
      <c r="G29" s="32">
        <f>IF('IN_COST'!$H$44="SRV",0,IFERROR(INDEX('ENG_COST'!$D$10:$I$15,MATCH('IN_COST'!$H$44,'ENG_COST'!$B$10:$B$15,0),4)/INDEX('ENG_COST'!$J$10:$J$15,MATCH('IN_COST'!$H$44,'ENG_COST'!$B$10:$B$15,0)),0))</f>
        <v/>
      </c>
      <c r="H29" s="32">
        <f>IF('IN_COST'!$H$44="SRV",0,IFERROR(INDEX('ENG_COST'!$D$10:$I$15,MATCH('IN_COST'!$H$44,'ENG_COST'!$B$10:$B$15,0),5)/INDEX('ENG_COST'!$J$10:$J$15,MATCH('IN_COST'!$H$44,'ENG_COST'!$B$10:$B$15,0)),0))</f>
        <v/>
      </c>
      <c r="I29" s="32">
        <f>IF('IN_COST'!$H$44="SRV",0,IFERROR(INDEX('ENG_COST'!$D$10:$I$15,MATCH('IN_COST'!$H$44,'ENG_COST'!$B$10:$B$15,0),6)/INDEX('ENG_COST'!$J$10:$J$15,MATCH('IN_COST'!$H$44,'ENG_COST'!$B$10:$B$15,0)),0))</f>
        <v/>
      </c>
    </row>
    <row r="30">
      <c r="A30" s="15" t="inlineStr">
        <is>
          <t>وزن OPC-07</t>
        </is>
      </c>
      <c r="B30" s="16" t="inlineStr">
        <is>
          <t>EC.w.12</t>
        </is>
      </c>
      <c r="C30" s="17" t="inlineStr">
        <is>
          <t>درصد</t>
        </is>
      </c>
      <c r="D30" s="32">
        <f>IF('IN_COST'!$H$45="SRV",0,IFERROR(INDEX('ENG_COST'!$D$10:$I$15,MATCH('IN_COST'!$H$45,'ENG_COST'!$B$10:$B$15,0),1)/INDEX('ENG_COST'!$J$10:$J$15,MATCH('IN_COST'!$H$45,'ENG_COST'!$B$10:$B$15,0)),0))</f>
        <v/>
      </c>
      <c r="E30" s="32">
        <f>IF('IN_COST'!$H$45="SRV",0,IFERROR(INDEX('ENG_COST'!$D$10:$I$15,MATCH('IN_COST'!$H$45,'ENG_COST'!$B$10:$B$15,0),2)/INDEX('ENG_COST'!$J$10:$J$15,MATCH('IN_COST'!$H$45,'ENG_COST'!$B$10:$B$15,0)),0))</f>
        <v/>
      </c>
      <c r="F30" s="32">
        <f>IF('IN_COST'!$H$45="SRV",0,IFERROR(INDEX('ENG_COST'!$D$10:$I$15,MATCH('IN_COST'!$H$45,'ENG_COST'!$B$10:$B$15,0),3)/INDEX('ENG_COST'!$J$10:$J$15,MATCH('IN_COST'!$H$45,'ENG_COST'!$B$10:$B$15,0)),0))</f>
        <v/>
      </c>
      <c r="G30" s="32">
        <f>IF('IN_COST'!$H$45="SRV",0,IFERROR(INDEX('ENG_COST'!$D$10:$I$15,MATCH('IN_COST'!$H$45,'ENG_COST'!$B$10:$B$15,0),4)/INDEX('ENG_COST'!$J$10:$J$15,MATCH('IN_COST'!$H$45,'ENG_COST'!$B$10:$B$15,0)),0))</f>
        <v/>
      </c>
      <c r="H30" s="32">
        <f>IF('IN_COST'!$H$45="SRV",0,IFERROR(INDEX('ENG_COST'!$D$10:$I$15,MATCH('IN_COST'!$H$45,'ENG_COST'!$B$10:$B$15,0),5)/INDEX('ENG_COST'!$J$10:$J$15,MATCH('IN_COST'!$H$45,'ENG_COST'!$B$10:$B$15,0)),0))</f>
        <v/>
      </c>
      <c r="I30" s="32">
        <f>IF('IN_COST'!$H$45="SRV",0,IFERROR(INDEX('ENG_COST'!$D$10:$I$15,MATCH('IN_COST'!$H$45,'ENG_COST'!$B$10:$B$15,0),6)/INDEX('ENG_COST'!$J$10:$J$15,MATCH('IN_COST'!$H$45,'ENG_COST'!$B$10:$B$15,0)),0))</f>
        <v/>
      </c>
    </row>
    <row r="31">
      <c r="A31" s="15" t="inlineStr">
        <is>
          <t>وزن OPC-08</t>
        </is>
      </c>
      <c r="B31" s="16" t="inlineStr">
        <is>
          <t>EC.w.13</t>
        </is>
      </c>
      <c r="C31" s="17" t="inlineStr">
        <is>
          <t>درصد</t>
        </is>
      </c>
      <c r="D31" s="32">
        <f>IF('IN_COST'!$H$46="SRV",0,IFERROR(INDEX('ENG_COST'!$D$10:$I$15,MATCH('IN_COST'!$H$46,'ENG_COST'!$B$10:$B$15,0),1)/INDEX('ENG_COST'!$J$10:$J$15,MATCH('IN_COST'!$H$46,'ENG_COST'!$B$10:$B$15,0)),0))</f>
        <v/>
      </c>
      <c r="E31" s="32">
        <f>IF('IN_COST'!$H$46="SRV",0,IFERROR(INDEX('ENG_COST'!$D$10:$I$15,MATCH('IN_COST'!$H$46,'ENG_COST'!$B$10:$B$15,0),2)/INDEX('ENG_COST'!$J$10:$J$15,MATCH('IN_COST'!$H$46,'ENG_COST'!$B$10:$B$15,0)),0))</f>
        <v/>
      </c>
      <c r="F31" s="32">
        <f>IF('IN_COST'!$H$46="SRV",0,IFERROR(INDEX('ENG_COST'!$D$10:$I$15,MATCH('IN_COST'!$H$46,'ENG_COST'!$B$10:$B$15,0),3)/INDEX('ENG_COST'!$J$10:$J$15,MATCH('IN_COST'!$H$46,'ENG_COST'!$B$10:$B$15,0)),0))</f>
        <v/>
      </c>
      <c r="G31" s="32">
        <f>IF('IN_COST'!$H$46="SRV",0,IFERROR(INDEX('ENG_COST'!$D$10:$I$15,MATCH('IN_COST'!$H$46,'ENG_COST'!$B$10:$B$15,0),4)/INDEX('ENG_COST'!$J$10:$J$15,MATCH('IN_COST'!$H$46,'ENG_COST'!$B$10:$B$15,0)),0))</f>
        <v/>
      </c>
      <c r="H31" s="32">
        <f>IF('IN_COST'!$H$46="SRV",0,IFERROR(INDEX('ENG_COST'!$D$10:$I$15,MATCH('IN_COST'!$H$46,'ENG_COST'!$B$10:$B$15,0),5)/INDEX('ENG_COST'!$J$10:$J$15,MATCH('IN_COST'!$H$46,'ENG_COST'!$B$10:$B$15,0)),0))</f>
        <v/>
      </c>
      <c r="I31" s="32">
        <f>IF('IN_COST'!$H$46="SRV",0,IFERROR(INDEX('ENG_COST'!$D$10:$I$15,MATCH('IN_COST'!$H$46,'ENG_COST'!$B$10:$B$15,0),6)/INDEX('ENG_COST'!$J$10:$J$15,MATCH('IN_COST'!$H$46,'ENG_COST'!$B$10:$B$15,0)),0))</f>
        <v/>
      </c>
    </row>
    <row r="32">
      <c r="A32" s="15" t="inlineStr">
        <is>
          <t>وزن OPC-09</t>
        </is>
      </c>
      <c r="B32" s="16" t="inlineStr">
        <is>
          <t>EC.w.14</t>
        </is>
      </c>
      <c r="C32" s="17" t="inlineStr">
        <is>
          <t>درصد</t>
        </is>
      </c>
      <c r="D32" s="32">
        <f>IF('IN_COST'!$H$47="SRV",0,IFERROR(INDEX('ENG_COST'!$D$10:$I$15,MATCH('IN_COST'!$H$47,'ENG_COST'!$B$10:$B$15,0),1)/INDEX('ENG_COST'!$J$10:$J$15,MATCH('IN_COST'!$H$47,'ENG_COST'!$B$10:$B$15,0)),0))</f>
        <v/>
      </c>
      <c r="E32" s="32">
        <f>IF('IN_COST'!$H$47="SRV",0,IFERROR(INDEX('ENG_COST'!$D$10:$I$15,MATCH('IN_COST'!$H$47,'ENG_COST'!$B$10:$B$15,0),2)/INDEX('ENG_COST'!$J$10:$J$15,MATCH('IN_COST'!$H$47,'ENG_COST'!$B$10:$B$15,0)),0))</f>
        <v/>
      </c>
      <c r="F32" s="32">
        <f>IF('IN_COST'!$H$47="SRV",0,IFERROR(INDEX('ENG_COST'!$D$10:$I$15,MATCH('IN_COST'!$H$47,'ENG_COST'!$B$10:$B$15,0),3)/INDEX('ENG_COST'!$J$10:$J$15,MATCH('IN_COST'!$H$47,'ENG_COST'!$B$10:$B$15,0)),0))</f>
        <v/>
      </c>
      <c r="G32" s="32">
        <f>IF('IN_COST'!$H$47="SRV",0,IFERROR(INDEX('ENG_COST'!$D$10:$I$15,MATCH('IN_COST'!$H$47,'ENG_COST'!$B$10:$B$15,0),4)/INDEX('ENG_COST'!$J$10:$J$15,MATCH('IN_COST'!$H$47,'ENG_COST'!$B$10:$B$15,0)),0))</f>
        <v/>
      </c>
      <c r="H32" s="32">
        <f>IF('IN_COST'!$H$47="SRV",0,IFERROR(INDEX('ENG_COST'!$D$10:$I$15,MATCH('IN_COST'!$H$47,'ENG_COST'!$B$10:$B$15,0),5)/INDEX('ENG_COST'!$J$10:$J$15,MATCH('IN_COST'!$H$47,'ENG_COST'!$B$10:$B$15,0)),0))</f>
        <v/>
      </c>
      <c r="I32" s="32">
        <f>IF('IN_COST'!$H$47="SRV",0,IFERROR(INDEX('ENG_COST'!$D$10:$I$15,MATCH('IN_COST'!$H$47,'ENG_COST'!$B$10:$B$15,0),6)/INDEX('ENG_COST'!$J$10:$J$15,MATCH('IN_COST'!$H$47,'ENG_COST'!$B$10:$B$15,0)),0))</f>
        <v/>
      </c>
    </row>
    <row r="33">
      <c r="A33" s="15" t="inlineStr">
        <is>
          <t>وزن FPC-01</t>
        </is>
      </c>
      <c r="B33" s="16" t="inlineStr">
        <is>
          <t>EC.w.15</t>
        </is>
      </c>
      <c r="C33" s="17" t="inlineStr">
        <is>
          <t>درصد</t>
        </is>
      </c>
      <c r="D33" s="32">
        <f>IF('IN_COST'!$H$48="SRV",0,IFERROR(INDEX('ENG_COST'!$D$10:$I$15,MATCH('IN_COST'!$H$48,'ENG_COST'!$B$10:$B$15,0),1)/INDEX('ENG_COST'!$J$10:$J$15,MATCH('IN_COST'!$H$48,'ENG_COST'!$B$10:$B$15,0)),0))</f>
        <v/>
      </c>
      <c r="E33" s="32">
        <f>IF('IN_COST'!$H$48="SRV",0,IFERROR(INDEX('ENG_COST'!$D$10:$I$15,MATCH('IN_COST'!$H$48,'ENG_COST'!$B$10:$B$15,0),2)/INDEX('ENG_COST'!$J$10:$J$15,MATCH('IN_COST'!$H$48,'ENG_COST'!$B$10:$B$15,0)),0))</f>
        <v/>
      </c>
      <c r="F33" s="32">
        <f>IF('IN_COST'!$H$48="SRV",0,IFERROR(INDEX('ENG_COST'!$D$10:$I$15,MATCH('IN_COST'!$H$48,'ENG_COST'!$B$10:$B$15,0),3)/INDEX('ENG_COST'!$J$10:$J$15,MATCH('IN_COST'!$H$48,'ENG_COST'!$B$10:$B$15,0)),0))</f>
        <v/>
      </c>
      <c r="G33" s="32">
        <f>IF('IN_COST'!$H$48="SRV",0,IFERROR(INDEX('ENG_COST'!$D$10:$I$15,MATCH('IN_COST'!$H$48,'ENG_COST'!$B$10:$B$15,0),4)/INDEX('ENG_COST'!$J$10:$J$15,MATCH('IN_COST'!$H$48,'ENG_COST'!$B$10:$B$15,0)),0))</f>
        <v/>
      </c>
      <c r="H33" s="32">
        <f>IF('IN_COST'!$H$48="SRV",0,IFERROR(INDEX('ENG_COST'!$D$10:$I$15,MATCH('IN_COST'!$H$48,'ENG_COST'!$B$10:$B$15,0),5)/INDEX('ENG_COST'!$J$10:$J$15,MATCH('IN_COST'!$H$48,'ENG_COST'!$B$10:$B$15,0)),0))</f>
        <v/>
      </c>
      <c r="I33" s="32">
        <f>IF('IN_COST'!$H$48="SRV",0,IFERROR(INDEX('ENG_COST'!$D$10:$I$15,MATCH('IN_COST'!$H$48,'ENG_COST'!$B$10:$B$15,0),6)/INDEX('ENG_COST'!$J$10:$J$15,MATCH('IN_COST'!$H$48,'ENG_COST'!$B$10:$B$15,0)),0))</f>
        <v/>
      </c>
    </row>
    <row r="34">
      <c r="A34" s="15" t="inlineStr">
        <is>
          <t>وزن FPC-02</t>
        </is>
      </c>
      <c r="B34" s="16" t="inlineStr">
        <is>
          <t>EC.w.16</t>
        </is>
      </c>
      <c r="C34" s="17" t="inlineStr">
        <is>
          <t>درصد</t>
        </is>
      </c>
      <c r="D34" s="32">
        <f>IF('IN_COST'!$H$49="SRV",0,IFERROR(INDEX('ENG_COST'!$D$10:$I$15,MATCH('IN_COST'!$H$49,'ENG_COST'!$B$10:$B$15,0),1)/INDEX('ENG_COST'!$J$10:$J$15,MATCH('IN_COST'!$H$49,'ENG_COST'!$B$10:$B$15,0)),0))</f>
        <v/>
      </c>
      <c r="E34" s="32">
        <f>IF('IN_COST'!$H$49="SRV",0,IFERROR(INDEX('ENG_COST'!$D$10:$I$15,MATCH('IN_COST'!$H$49,'ENG_COST'!$B$10:$B$15,0),2)/INDEX('ENG_COST'!$J$10:$J$15,MATCH('IN_COST'!$H$49,'ENG_COST'!$B$10:$B$15,0)),0))</f>
        <v/>
      </c>
      <c r="F34" s="32">
        <f>IF('IN_COST'!$H$49="SRV",0,IFERROR(INDEX('ENG_COST'!$D$10:$I$15,MATCH('IN_COST'!$H$49,'ENG_COST'!$B$10:$B$15,0),3)/INDEX('ENG_COST'!$J$10:$J$15,MATCH('IN_COST'!$H$49,'ENG_COST'!$B$10:$B$15,0)),0))</f>
        <v/>
      </c>
      <c r="G34" s="32">
        <f>IF('IN_COST'!$H$49="SRV",0,IFERROR(INDEX('ENG_COST'!$D$10:$I$15,MATCH('IN_COST'!$H$49,'ENG_COST'!$B$10:$B$15,0),4)/INDEX('ENG_COST'!$J$10:$J$15,MATCH('IN_COST'!$H$49,'ENG_COST'!$B$10:$B$15,0)),0))</f>
        <v/>
      </c>
      <c r="H34" s="32">
        <f>IF('IN_COST'!$H$49="SRV",0,IFERROR(INDEX('ENG_COST'!$D$10:$I$15,MATCH('IN_COST'!$H$49,'ENG_COST'!$B$10:$B$15,0),5)/INDEX('ENG_COST'!$J$10:$J$15,MATCH('IN_COST'!$H$49,'ENG_COST'!$B$10:$B$15,0)),0))</f>
        <v/>
      </c>
      <c r="I34" s="32">
        <f>IF('IN_COST'!$H$49="SRV",0,IFERROR(INDEX('ENG_COST'!$D$10:$I$15,MATCH('IN_COST'!$H$49,'ENG_COST'!$B$10:$B$15,0),6)/INDEX('ENG_COST'!$J$10:$J$15,MATCH('IN_COST'!$H$49,'ENG_COST'!$B$10:$B$15,0)),0))</f>
        <v/>
      </c>
    </row>
    <row r="35">
      <c r="A35" s="15" t="inlineStr">
        <is>
          <t>وزن FPC-03</t>
        </is>
      </c>
      <c r="B35" s="16" t="inlineStr">
        <is>
          <t>EC.w.17</t>
        </is>
      </c>
      <c r="C35" s="17" t="inlineStr">
        <is>
          <t>درصد</t>
        </is>
      </c>
      <c r="D35" s="32">
        <f>IF('IN_COST'!$H$50="SRV",0,IFERROR(INDEX('ENG_COST'!$D$10:$I$15,MATCH('IN_COST'!$H$50,'ENG_COST'!$B$10:$B$15,0),1)/INDEX('ENG_COST'!$J$10:$J$15,MATCH('IN_COST'!$H$50,'ENG_COST'!$B$10:$B$15,0)),0))</f>
        <v/>
      </c>
      <c r="E35" s="32">
        <f>IF('IN_COST'!$H$50="SRV",0,IFERROR(INDEX('ENG_COST'!$D$10:$I$15,MATCH('IN_COST'!$H$50,'ENG_COST'!$B$10:$B$15,0),2)/INDEX('ENG_COST'!$J$10:$J$15,MATCH('IN_COST'!$H$50,'ENG_COST'!$B$10:$B$15,0)),0))</f>
        <v/>
      </c>
      <c r="F35" s="32">
        <f>IF('IN_COST'!$H$50="SRV",0,IFERROR(INDEX('ENG_COST'!$D$10:$I$15,MATCH('IN_COST'!$H$50,'ENG_COST'!$B$10:$B$15,0),3)/INDEX('ENG_COST'!$J$10:$J$15,MATCH('IN_COST'!$H$50,'ENG_COST'!$B$10:$B$15,0)),0))</f>
        <v/>
      </c>
      <c r="G35" s="32">
        <f>IF('IN_COST'!$H$50="SRV",0,IFERROR(INDEX('ENG_COST'!$D$10:$I$15,MATCH('IN_COST'!$H$50,'ENG_COST'!$B$10:$B$15,0),4)/INDEX('ENG_COST'!$J$10:$J$15,MATCH('IN_COST'!$H$50,'ENG_COST'!$B$10:$B$15,0)),0))</f>
        <v/>
      </c>
      <c r="H35" s="32">
        <f>IF('IN_COST'!$H$50="SRV",0,IFERROR(INDEX('ENG_COST'!$D$10:$I$15,MATCH('IN_COST'!$H$50,'ENG_COST'!$B$10:$B$15,0),5)/INDEX('ENG_COST'!$J$10:$J$15,MATCH('IN_COST'!$H$50,'ENG_COST'!$B$10:$B$15,0)),0))</f>
        <v/>
      </c>
      <c r="I35" s="32">
        <f>IF('IN_COST'!$H$50="SRV",0,IFERROR(INDEX('ENG_COST'!$D$10:$I$15,MATCH('IN_COST'!$H$50,'ENG_COST'!$B$10:$B$15,0),6)/INDEX('ENG_COST'!$J$10:$J$15,MATCH('IN_COST'!$H$50,'ENG_COST'!$B$10:$B$15,0)),0))</f>
        <v/>
      </c>
    </row>
    <row r="36">
      <c r="A36" s="15" t="inlineStr">
        <is>
          <t>وزن FPC-04</t>
        </is>
      </c>
      <c r="B36" s="16" t="inlineStr">
        <is>
          <t>EC.w.18</t>
        </is>
      </c>
      <c r="C36" s="17" t="inlineStr">
        <is>
          <t>درصد</t>
        </is>
      </c>
      <c r="D36" s="32">
        <f>IF('IN_COST'!$H$51="SRV",0,IFERROR(INDEX('ENG_COST'!$D$10:$I$15,MATCH('IN_COST'!$H$51,'ENG_COST'!$B$10:$B$15,0),1)/INDEX('ENG_COST'!$J$10:$J$15,MATCH('IN_COST'!$H$51,'ENG_COST'!$B$10:$B$15,0)),0))</f>
        <v/>
      </c>
      <c r="E36" s="32">
        <f>IF('IN_COST'!$H$51="SRV",0,IFERROR(INDEX('ENG_COST'!$D$10:$I$15,MATCH('IN_COST'!$H$51,'ENG_COST'!$B$10:$B$15,0),2)/INDEX('ENG_COST'!$J$10:$J$15,MATCH('IN_COST'!$H$51,'ENG_COST'!$B$10:$B$15,0)),0))</f>
        <v/>
      </c>
      <c r="F36" s="32">
        <f>IF('IN_COST'!$H$51="SRV",0,IFERROR(INDEX('ENG_COST'!$D$10:$I$15,MATCH('IN_COST'!$H$51,'ENG_COST'!$B$10:$B$15,0),3)/INDEX('ENG_COST'!$J$10:$J$15,MATCH('IN_COST'!$H$51,'ENG_COST'!$B$10:$B$15,0)),0))</f>
        <v/>
      </c>
      <c r="G36" s="32">
        <f>IF('IN_COST'!$H$51="SRV",0,IFERROR(INDEX('ENG_COST'!$D$10:$I$15,MATCH('IN_COST'!$H$51,'ENG_COST'!$B$10:$B$15,0),4)/INDEX('ENG_COST'!$J$10:$J$15,MATCH('IN_COST'!$H$51,'ENG_COST'!$B$10:$B$15,0)),0))</f>
        <v/>
      </c>
      <c r="H36" s="32">
        <f>IF('IN_COST'!$H$51="SRV",0,IFERROR(INDEX('ENG_COST'!$D$10:$I$15,MATCH('IN_COST'!$H$51,'ENG_COST'!$B$10:$B$15,0),5)/INDEX('ENG_COST'!$J$10:$J$15,MATCH('IN_COST'!$H$51,'ENG_COST'!$B$10:$B$15,0)),0))</f>
        <v/>
      </c>
      <c r="I36" s="32">
        <f>IF('IN_COST'!$H$51="SRV",0,IFERROR(INDEX('ENG_COST'!$D$10:$I$15,MATCH('IN_COST'!$H$51,'ENG_COST'!$B$10:$B$15,0),6)/INDEX('ENG_COST'!$J$10:$J$15,MATCH('IN_COST'!$H$51,'ENG_COST'!$B$10:$B$15,0)),0))</f>
        <v/>
      </c>
    </row>
    <row r="37">
      <c r="A37" s="15" t="inlineStr">
        <is>
          <t>وزن FPC-05</t>
        </is>
      </c>
      <c r="B37" s="16" t="inlineStr">
        <is>
          <t>EC.w.19</t>
        </is>
      </c>
      <c r="C37" s="17" t="inlineStr">
        <is>
          <t>درصد</t>
        </is>
      </c>
      <c r="D37" s="32">
        <f>IF('IN_COST'!$H$52="SRV",0,IFERROR(INDEX('ENG_COST'!$D$10:$I$15,MATCH('IN_COST'!$H$52,'ENG_COST'!$B$10:$B$15,0),1)/INDEX('ENG_COST'!$J$10:$J$15,MATCH('IN_COST'!$H$52,'ENG_COST'!$B$10:$B$15,0)),0))</f>
        <v/>
      </c>
      <c r="E37" s="32">
        <f>IF('IN_COST'!$H$52="SRV",0,IFERROR(INDEX('ENG_COST'!$D$10:$I$15,MATCH('IN_COST'!$H$52,'ENG_COST'!$B$10:$B$15,0),2)/INDEX('ENG_COST'!$J$10:$J$15,MATCH('IN_COST'!$H$52,'ENG_COST'!$B$10:$B$15,0)),0))</f>
        <v/>
      </c>
      <c r="F37" s="32">
        <f>IF('IN_COST'!$H$52="SRV",0,IFERROR(INDEX('ENG_COST'!$D$10:$I$15,MATCH('IN_COST'!$H$52,'ENG_COST'!$B$10:$B$15,0),3)/INDEX('ENG_COST'!$J$10:$J$15,MATCH('IN_COST'!$H$52,'ENG_COST'!$B$10:$B$15,0)),0))</f>
        <v/>
      </c>
      <c r="G37" s="32">
        <f>IF('IN_COST'!$H$52="SRV",0,IFERROR(INDEX('ENG_COST'!$D$10:$I$15,MATCH('IN_COST'!$H$52,'ENG_COST'!$B$10:$B$15,0),4)/INDEX('ENG_COST'!$J$10:$J$15,MATCH('IN_COST'!$H$52,'ENG_COST'!$B$10:$B$15,0)),0))</f>
        <v/>
      </c>
      <c r="H37" s="32">
        <f>IF('IN_COST'!$H$52="SRV",0,IFERROR(INDEX('ENG_COST'!$D$10:$I$15,MATCH('IN_COST'!$H$52,'ENG_COST'!$B$10:$B$15,0),5)/INDEX('ENG_COST'!$J$10:$J$15,MATCH('IN_COST'!$H$52,'ENG_COST'!$B$10:$B$15,0)),0))</f>
        <v/>
      </c>
      <c r="I37" s="32">
        <f>IF('IN_COST'!$H$52="SRV",0,IFERROR(INDEX('ENG_COST'!$D$10:$I$15,MATCH('IN_COST'!$H$52,'ENG_COST'!$B$10:$B$15,0),6)/INDEX('ENG_COST'!$J$10:$J$15,MATCH('IN_COST'!$H$52,'ENG_COST'!$B$10:$B$15,0)),0))</f>
        <v/>
      </c>
    </row>
    <row r="38">
      <c r="A38" s="15" t="inlineStr">
        <is>
          <t>وزن FPC-06</t>
        </is>
      </c>
      <c r="B38" s="16" t="inlineStr">
        <is>
          <t>EC.w.20</t>
        </is>
      </c>
      <c r="C38" s="17" t="inlineStr">
        <is>
          <t>درصد</t>
        </is>
      </c>
      <c r="D38" s="32">
        <f>IF('IN_COST'!$H$53="SRV",0,IFERROR(INDEX('ENG_COST'!$D$10:$I$15,MATCH('IN_COST'!$H$53,'ENG_COST'!$B$10:$B$15,0),1)/INDEX('ENG_COST'!$J$10:$J$15,MATCH('IN_COST'!$H$53,'ENG_COST'!$B$10:$B$15,0)),0))</f>
        <v/>
      </c>
      <c r="E38" s="32">
        <f>IF('IN_COST'!$H$53="SRV",0,IFERROR(INDEX('ENG_COST'!$D$10:$I$15,MATCH('IN_COST'!$H$53,'ENG_COST'!$B$10:$B$15,0),2)/INDEX('ENG_COST'!$J$10:$J$15,MATCH('IN_COST'!$H$53,'ENG_COST'!$B$10:$B$15,0)),0))</f>
        <v/>
      </c>
      <c r="F38" s="32">
        <f>IF('IN_COST'!$H$53="SRV",0,IFERROR(INDEX('ENG_COST'!$D$10:$I$15,MATCH('IN_COST'!$H$53,'ENG_COST'!$B$10:$B$15,0),3)/INDEX('ENG_COST'!$J$10:$J$15,MATCH('IN_COST'!$H$53,'ENG_COST'!$B$10:$B$15,0)),0))</f>
        <v/>
      </c>
      <c r="G38" s="32">
        <f>IF('IN_COST'!$H$53="SRV",0,IFERROR(INDEX('ENG_COST'!$D$10:$I$15,MATCH('IN_COST'!$H$53,'ENG_COST'!$B$10:$B$15,0),4)/INDEX('ENG_COST'!$J$10:$J$15,MATCH('IN_COST'!$H$53,'ENG_COST'!$B$10:$B$15,0)),0))</f>
        <v/>
      </c>
      <c r="H38" s="32">
        <f>IF('IN_COST'!$H$53="SRV",0,IFERROR(INDEX('ENG_COST'!$D$10:$I$15,MATCH('IN_COST'!$H$53,'ENG_COST'!$B$10:$B$15,0),5)/INDEX('ENG_COST'!$J$10:$J$15,MATCH('IN_COST'!$H$53,'ENG_COST'!$B$10:$B$15,0)),0))</f>
        <v/>
      </c>
      <c r="I38" s="32">
        <f>IF('IN_COST'!$H$53="SRV",0,IFERROR(INDEX('ENG_COST'!$D$10:$I$15,MATCH('IN_COST'!$H$53,'ENG_COST'!$B$10:$B$15,0),6)/INDEX('ENG_COST'!$J$10:$J$15,MATCH('IN_COST'!$H$53,'ENG_COST'!$B$10:$B$15,0)),0))</f>
        <v/>
      </c>
    </row>
    <row r="39">
      <c r="A39" s="15" t="inlineStr">
        <is>
          <t>وزن FPC-07</t>
        </is>
      </c>
      <c r="B39" s="16" t="inlineStr">
        <is>
          <t>EC.w.21</t>
        </is>
      </c>
      <c r="C39" s="17" t="inlineStr">
        <is>
          <t>درصد</t>
        </is>
      </c>
      <c r="D39" s="32">
        <f>IF('IN_COST'!$H$54="SRV",0,IFERROR(INDEX('ENG_COST'!$D$10:$I$15,MATCH('IN_COST'!$H$54,'ENG_COST'!$B$10:$B$15,0),1)/INDEX('ENG_COST'!$J$10:$J$15,MATCH('IN_COST'!$H$54,'ENG_COST'!$B$10:$B$15,0)),0))</f>
        <v/>
      </c>
      <c r="E39" s="32">
        <f>IF('IN_COST'!$H$54="SRV",0,IFERROR(INDEX('ENG_COST'!$D$10:$I$15,MATCH('IN_COST'!$H$54,'ENG_COST'!$B$10:$B$15,0),2)/INDEX('ENG_COST'!$J$10:$J$15,MATCH('IN_COST'!$H$54,'ENG_COST'!$B$10:$B$15,0)),0))</f>
        <v/>
      </c>
      <c r="F39" s="32">
        <f>IF('IN_COST'!$H$54="SRV",0,IFERROR(INDEX('ENG_COST'!$D$10:$I$15,MATCH('IN_COST'!$H$54,'ENG_COST'!$B$10:$B$15,0),3)/INDEX('ENG_COST'!$J$10:$J$15,MATCH('IN_COST'!$H$54,'ENG_COST'!$B$10:$B$15,0)),0))</f>
        <v/>
      </c>
      <c r="G39" s="32">
        <f>IF('IN_COST'!$H$54="SRV",0,IFERROR(INDEX('ENG_COST'!$D$10:$I$15,MATCH('IN_COST'!$H$54,'ENG_COST'!$B$10:$B$15,0),4)/INDEX('ENG_COST'!$J$10:$J$15,MATCH('IN_COST'!$H$54,'ENG_COST'!$B$10:$B$15,0)),0))</f>
        <v/>
      </c>
      <c r="H39" s="32">
        <f>IF('IN_COST'!$H$54="SRV",0,IFERROR(INDEX('ENG_COST'!$D$10:$I$15,MATCH('IN_COST'!$H$54,'ENG_COST'!$B$10:$B$15,0),5)/INDEX('ENG_COST'!$J$10:$J$15,MATCH('IN_COST'!$H$54,'ENG_COST'!$B$10:$B$15,0)),0))</f>
        <v/>
      </c>
      <c r="I39" s="32">
        <f>IF('IN_COST'!$H$54="SRV",0,IFERROR(INDEX('ENG_COST'!$D$10:$I$15,MATCH('IN_COST'!$H$54,'ENG_COST'!$B$10:$B$15,0),6)/INDEX('ENG_COST'!$J$10:$J$15,MATCH('IN_COST'!$H$54,'ENG_COST'!$B$10:$B$15,0)),0))</f>
        <v/>
      </c>
    </row>
    <row r="40">
      <c r="A40" s="15" t="inlineStr">
        <is>
          <t>وزن FPC-08</t>
        </is>
      </c>
      <c r="B40" s="16" t="inlineStr">
        <is>
          <t>EC.w.22</t>
        </is>
      </c>
      <c r="C40" s="17" t="inlineStr">
        <is>
          <t>درصد</t>
        </is>
      </c>
      <c r="D40" s="32">
        <f>IF('IN_COST'!$H$55="SRV",0,IFERROR(INDEX('ENG_COST'!$D$10:$I$15,MATCH('IN_COST'!$H$55,'ENG_COST'!$B$10:$B$15,0),1)/INDEX('ENG_COST'!$J$10:$J$15,MATCH('IN_COST'!$H$55,'ENG_COST'!$B$10:$B$15,0)),0))</f>
        <v/>
      </c>
      <c r="E40" s="32">
        <f>IF('IN_COST'!$H$55="SRV",0,IFERROR(INDEX('ENG_COST'!$D$10:$I$15,MATCH('IN_COST'!$H$55,'ENG_COST'!$B$10:$B$15,0),2)/INDEX('ENG_COST'!$J$10:$J$15,MATCH('IN_COST'!$H$55,'ENG_COST'!$B$10:$B$15,0)),0))</f>
        <v/>
      </c>
      <c r="F40" s="32">
        <f>IF('IN_COST'!$H$55="SRV",0,IFERROR(INDEX('ENG_COST'!$D$10:$I$15,MATCH('IN_COST'!$H$55,'ENG_COST'!$B$10:$B$15,0),3)/INDEX('ENG_COST'!$J$10:$J$15,MATCH('IN_COST'!$H$55,'ENG_COST'!$B$10:$B$15,0)),0))</f>
        <v/>
      </c>
      <c r="G40" s="32">
        <f>IF('IN_COST'!$H$55="SRV",0,IFERROR(INDEX('ENG_COST'!$D$10:$I$15,MATCH('IN_COST'!$H$55,'ENG_COST'!$B$10:$B$15,0),4)/INDEX('ENG_COST'!$J$10:$J$15,MATCH('IN_COST'!$H$55,'ENG_COST'!$B$10:$B$15,0)),0))</f>
        <v/>
      </c>
      <c r="H40" s="32">
        <f>IF('IN_COST'!$H$55="SRV",0,IFERROR(INDEX('ENG_COST'!$D$10:$I$15,MATCH('IN_COST'!$H$55,'ENG_COST'!$B$10:$B$15,0),5)/INDEX('ENG_COST'!$J$10:$J$15,MATCH('IN_COST'!$H$55,'ENG_COST'!$B$10:$B$15,0)),0))</f>
        <v/>
      </c>
      <c r="I40" s="32">
        <f>IF('IN_COST'!$H$55="SRV",0,IFERROR(INDEX('ENG_COST'!$D$10:$I$15,MATCH('IN_COST'!$H$55,'ENG_COST'!$B$10:$B$15,0),6)/INDEX('ENG_COST'!$J$10:$J$15,MATCH('IN_COST'!$H$55,'ENG_COST'!$B$10:$B$15,0)),0))</f>
        <v/>
      </c>
    </row>
    <row r="41">
      <c r="A41" s="15" t="inlineStr">
        <is>
          <t>وزن FPC-09</t>
        </is>
      </c>
      <c r="B41" s="16" t="inlineStr">
        <is>
          <t>EC.w.23</t>
        </is>
      </c>
      <c r="C41" s="17" t="inlineStr">
        <is>
          <t>درصد</t>
        </is>
      </c>
      <c r="D41" s="32">
        <f>IF('IN_COST'!$H$56="SRV",0,IFERROR(INDEX('ENG_COST'!$D$10:$I$15,MATCH('IN_COST'!$H$56,'ENG_COST'!$B$10:$B$15,0),1)/INDEX('ENG_COST'!$J$10:$J$15,MATCH('IN_COST'!$H$56,'ENG_COST'!$B$10:$B$15,0)),0))</f>
        <v/>
      </c>
      <c r="E41" s="32">
        <f>IF('IN_COST'!$H$56="SRV",0,IFERROR(INDEX('ENG_COST'!$D$10:$I$15,MATCH('IN_COST'!$H$56,'ENG_COST'!$B$10:$B$15,0),2)/INDEX('ENG_COST'!$J$10:$J$15,MATCH('IN_COST'!$H$56,'ENG_COST'!$B$10:$B$15,0)),0))</f>
        <v/>
      </c>
      <c r="F41" s="32">
        <f>IF('IN_COST'!$H$56="SRV",0,IFERROR(INDEX('ENG_COST'!$D$10:$I$15,MATCH('IN_COST'!$H$56,'ENG_COST'!$B$10:$B$15,0),3)/INDEX('ENG_COST'!$J$10:$J$15,MATCH('IN_COST'!$H$56,'ENG_COST'!$B$10:$B$15,0)),0))</f>
        <v/>
      </c>
      <c r="G41" s="32">
        <f>IF('IN_COST'!$H$56="SRV",0,IFERROR(INDEX('ENG_COST'!$D$10:$I$15,MATCH('IN_COST'!$H$56,'ENG_COST'!$B$10:$B$15,0),4)/INDEX('ENG_COST'!$J$10:$J$15,MATCH('IN_COST'!$H$56,'ENG_COST'!$B$10:$B$15,0)),0))</f>
        <v/>
      </c>
      <c r="H41" s="32">
        <f>IF('IN_COST'!$H$56="SRV",0,IFERROR(INDEX('ENG_COST'!$D$10:$I$15,MATCH('IN_COST'!$H$56,'ENG_COST'!$B$10:$B$15,0),5)/INDEX('ENG_COST'!$J$10:$J$15,MATCH('IN_COST'!$H$56,'ENG_COST'!$B$10:$B$15,0)),0))</f>
        <v/>
      </c>
      <c r="I41" s="32">
        <f>IF('IN_COST'!$H$56="SRV",0,IFERROR(INDEX('ENG_COST'!$D$10:$I$15,MATCH('IN_COST'!$H$56,'ENG_COST'!$B$10:$B$15,0),6)/INDEX('ENG_COST'!$J$10:$J$15,MATCH('IN_COST'!$H$56,'ENG_COST'!$B$10:$B$15,0)),0))</f>
        <v/>
      </c>
    </row>
    <row r="42">
      <c r="A42" s="15" t="inlineStr">
        <is>
          <t>وزن FPC-10</t>
        </is>
      </c>
      <c r="B42" s="16" t="inlineStr">
        <is>
          <t>EC.w.24</t>
        </is>
      </c>
      <c r="C42" s="17" t="inlineStr">
        <is>
          <t>درصد</t>
        </is>
      </c>
      <c r="D42" s="32">
        <f>IF('IN_COST'!$H$57="SRV",0,IFERROR(INDEX('ENG_COST'!$D$10:$I$15,MATCH('IN_COST'!$H$57,'ENG_COST'!$B$10:$B$15,0),1)/INDEX('ENG_COST'!$J$10:$J$15,MATCH('IN_COST'!$H$57,'ENG_COST'!$B$10:$B$15,0)),0))</f>
        <v/>
      </c>
      <c r="E42" s="32">
        <f>IF('IN_COST'!$H$57="SRV",0,IFERROR(INDEX('ENG_COST'!$D$10:$I$15,MATCH('IN_COST'!$H$57,'ENG_COST'!$B$10:$B$15,0),2)/INDEX('ENG_COST'!$J$10:$J$15,MATCH('IN_COST'!$H$57,'ENG_COST'!$B$10:$B$15,0)),0))</f>
        <v/>
      </c>
      <c r="F42" s="32">
        <f>IF('IN_COST'!$H$57="SRV",0,IFERROR(INDEX('ENG_COST'!$D$10:$I$15,MATCH('IN_COST'!$H$57,'ENG_COST'!$B$10:$B$15,0),3)/INDEX('ENG_COST'!$J$10:$J$15,MATCH('IN_COST'!$H$57,'ENG_COST'!$B$10:$B$15,0)),0))</f>
        <v/>
      </c>
      <c r="G42" s="32">
        <f>IF('IN_COST'!$H$57="SRV",0,IFERROR(INDEX('ENG_COST'!$D$10:$I$15,MATCH('IN_COST'!$H$57,'ENG_COST'!$B$10:$B$15,0),4)/INDEX('ENG_COST'!$J$10:$J$15,MATCH('IN_COST'!$H$57,'ENG_COST'!$B$10:$B$15,0)),0))</f>
        <v/>
      </c>
      <c r="H42" s="32">
        <f>IF('IN_COST'!$H$57="SRV",0,IFERROR(INDEX('ENG_COST'!$D$10:$I$15,MATCH('IN_COST'!$H$57,'ENG_COST'!$B$10:$B$15,0),5)/INDEX('ENG_COST'!$J$10:$J$15,MATCH('IN_COST'!$H$57,'ENG_COST'!$B$10:$B$15,0)),0))</f>
        <v/>
      </c>
      <c r="I42" s="32">
        <f>IF('IN_COST'!$H$57="SRV",0,IFERROR(INDEX('ENG_COST'!$D$10:$I$15,MATCH('IN_COST'!$H$57,'ENG_COST'!$B$10:$B$15,0),6)/INDEX('ENG_COST'!$J$10:$J$15,MATCH('IN_COST'!$H$57,'ENG_COST'!$B$10:$B$15,0)),0))</f>
        <v/>
      </c>
    </row>
    <row r="43">
      <c r="A43" s="15" t="inlineStr">
        <is>
          <t>وزن FPC-11</t>
        </is>
      </c>
      <c r="B43" s="16" t="inlineStr">
        <is>
          <t>EC.w.25</t>
        </is>
      </c>
      <c r="C43" s="17" t="inlineStr">
        <is>
          <t>درصد</t>
        </is>
      </c>
      <c r="D43" s="32">
        <f>IF('IN_COST'!$H$58="SRV",0,IFERROR(INDEX('ENG_COST'!$D$10:$I$15,MATCH('IN_COST'!$H$58,'ENG_COST'!$B$10:$B$15,0),1)/INDEX('ENG_COST'!$J$10:$J$15,MATCH('IN_COST'!$H$58,'ENG_COST'!$B$10:$B$15,0)),0))</f>
        <v/>
      </c>
      <c r="E43" s="32">
        <f>IF('IN_COST'!$H$58="SRV",0,IFERROR(INDEX('ENG_COST'!$D$10:$I$15,MATCH('IN_COST'!$H$58,'ENG_COST'!$B$10:$B$15,0),2)/INDEX('ENG_COST'!$J$10:$J$15,MATCH('IN_COST'!$H$58,'ENG_COST'!$B$10:$B$15,0)),0))</f>
        <v/>
      </c>
      <c r="F43" s="32">
        <f>IF('IN_COST'!$H$58="SRV",0,IFERROR(INDEX('ENG_COST'!$D$10:$I$15,MATCH('IN_COST'!$H$58,'ENG_COST'!$B$10:$B$15,0),3)/INDEX('ENG_COST'!$J$10:$J$15,MATCH('IN_COST'!$H$58,'ENG_COST'!$B$10:$B$15,0)),0))</f>
        <v/>
      </c>
      <c r="G43" s="32">
        <f>IF('IN_COST'!$H$58="SRV",0,IFERROR(INDEX('ENG_COST'!$D$10:$I$15,MATCH('IN_COST'!$H$58,'ENG_COST'!$B$10:$B$15,0),4)/INDEX('ENG_COST'!$J$10:$J$15,MATCH('IN_COST'!$H$58,'ENG_COST'!$B$10:$B$15,0)),0))</f>
        <v/>
      </c>
      <c r="H43" s="32">
        <f>IF('IN_COST'!$H$58="SRV",0,IFERROR(INDEX('ENG_COST'!$D$10:$I$15,MATCH('IN_COST'!$H$58,'ENG_COST'!$B$10:$B$15,0),5)/INDEX('ENG_COST'!$J$10:$J$15,MATCH('IN_COST'!$H$58,'ENG_COST'!$B$10:$B$15,0)),0))</f>
        <v/>
      </c>
      <c r="I43" s="32">
        <f>IF('IN_COST'!$H$58="SRV",0,IFERROR(INDEX('ENG_COST'!$D$10:$I$15,MATCH('IN_COST'!$H$58,'ENG_COST'!$B$10:$B$15,0),6)/INDEX('ENG_COST'!$J$10:$J$15,MATCH('IN_COST'!$H$58,'ENG_COST'!$B$10:$B$15,0)),0))</f>
        <v/>
      </c>
    </row>
    <row r="44">
      <c r="A44" s="15" t="inlineStr">
        <is>
          <t>وزن FPC-12</t>
        </is>
      </c>
      <c r="B44" s="16" t="inlineStr">
        <is>
          <t>EC.w.26</t>
        </is>
      </c>
      <c r="C44" s="17" t="inlineStr">
        <is>
          <t>درصد</t>
        </is>
      </c>
      <c r="D44" s="32">
        <f>IF('IN_COST'!$H$59="SRV",0,IFERROR(INDEX('ENG_COST'!$D$10:$I$15,MATCH('IN_COST'!$H$59,'ENG_COST'!$B$10:$B$15,0),1)/INDEX('ENG_COST'!$J$10:$J$15,MATCH('IN_COST'!$H$59,'ENG_COST'!$B$10:$B$15,0)),0))</f>
        <v/>
      </c>
      <c r="E44" s="32">
        <f>IF('IN_COST'!$H$59="SRV",0,IFERROR(INDEX('ENG_COST'!$D$10:$I$15,MATCH('IN_COST'!$H$59,'ENG_COST'!$B$10:$B$15,0),2)/INDEX('ENG_COST'!$J$10:$J$15,MATCH('IN_COST'!$H$59,'ENG_COST'!$B$10:$B$15,0)),0))</f>
        <v/>
      </c>
      <c r="F44" s="32">
        <f>IF('IN_COST'!$H$59="SRV",0,IFERROR(INDEX('ENG_COST'!$D$10:$I$15,MATCH('IN_COST'!$H$59,'ENG_COST'!$B$10:$B$15,0),3)/INDEX('ENG_COST'!$J$10:$J$15,MATCH('IN_COST'!$H$59,'ENG_COST'!$B$10:$B$15,0)),0))</f>
        <v/>
      </c>
      <c r="G44" s="32">
        <f>IF('IN_COST'!$H$59="SRV",0,IFERROR(INDEX('ENG_COST'!$D$10:$I$15,MATCH('IN_COST'!$H$59,'ENG_COST'!$B$10:$B$15,0),4)/INDEX('ENG_COST'!$J$10:$J$15,MATCH('IN_COST'!$H$59,'ENG_COST'!$B$10:$B$15,0)),0))</f>
        <v/>
      </c>
      <c r="H44" s="32">
        <f>IF('IN_COST'!$H$59="SRV",0,IFERROR(INDEX('ENG_COST'!$D$10:$I$15,MATCH('IN_COST'!$H$59,'ENG_COST'!$B$10:$B$15,0),5)/INDEX('ENG_COST'!$J$10:$J$15,MATCH('IN_COST'!$H$59,'ENG_COST'!$B$10:$B$15,0)),0))</f>
        <v/>
      </c>
      <c r="I44" s="32">
        <f>IF('IN_COST'!$H$59="SRV",0,IFERROR(INDEX('ENG_COST'!$D$10:$I$15,MATCH('IN_COST'!$H$59,'ENG_COST'!$B$10:$B$15,0),6)/INDEX('ENG_COST'!$J$10:$J$15,MATCH('IN_COST'!$H$59,'ENG_COST'!$B$10:$B$15,0)),0))</f>
        <v/>
      </c>
    </row>
    <row r="45"/>
    <row r="46">
      <c r="A46" s="4" t="inlineStr">
        <is>
          <t>ج) هزینهٔ سالانهٔ هر قلم هزینه</t>
        </is>
      </c>
      <c r="B46" s="5" t="n"/>
      <c r="C46" s="5" t="n"/>
      <c r="D46" s="5" t="n"/>
      <c r="E46" s="5" t="n"/>
      <c r="F46" s="5" t="n"/>
      <c r="G46" s="5" t="n"/>
      <c r="H46" s="5" t="n"/>
      <c r="I46" s="5" t="n"/>
      <c r="J46" s="5" t="n"/>
      <c r="K46" s="5" t="n"/>
      <c r="L46" s="5" t="n"/>
      <c r="M46" s="5" t="n"/>
      <c r="N46" s="5" t="n"/>
      <c r="O46" s="5" t="n"/>
      <c r="P46" s="5" t="n"/>
      <c r="Q46" s="5" t="n"/>
    </row>
    <row r="47">
      <c r="A47" s="15" t="inlineStr">
        <is>
          <t>DPC-01 | باتری ضایعاتی (مواد اولیه اصلی)</t>
        </is>
      </c>
      <c r="B47" s="16" t="inlineStr">
        <is>
          <t>EC.tot.0</t>
        </is>
      </c>
      <c r="C47" s="17" t="inlineStr">
        <is>
          <t>میلیون ریال</t>
        </is>
      </c>
      <c r="D47" s="33">
        <f>'IN_MACRO'!$D$34*IF('IN_COST'!$E$33="SCRAP_LME",'ENG_OPS'!$D$20*'IN_COST'!$F$33*'ENG_SCEN'!$D$37,IF('IN_COST'!$E$33="PER_TON_BATT",'ENG_OPS'!$D$20*'IN_COST'!$F$33*IF('IN_COST'!$G$33="FX",'ENG_SCEN'!$D$36,IF('IN_COST'!$G$33="PPI",'ENG_SCEN'!$D$35,IF('IN_COST'!$G$33="ENERGY",'ENG_SCEN'!$D$34,IF('IN_COST'!$G$33="WAGE",'ENG_SCEN'!$D$33,IF('IN_COST'!$G$33="CPI",'ENG_SCEN'!$D$32,1))))),IF('IN_COST'!$E$33="PER_TON_PROD",'ENG_OPS'!$D$43*'IN_COST'!$F$33*IF('IN_COST'!$G$33="FX",'ENG_SCEN'!$D$36,IF('IN_COST'!$G$33="PPI",'ENG_SCEN'!$D$35,IF('IN_COST'!$G$33="ENERGY",'ENG_SCEN'!$D$34,IF('IN_COST'!$G$33="WAGE",'ENG_SCEN'!$D$33,IF('IN_COST'!$G$33="CPI",'ENG_SCEN'!$D$32,1))))),IF('IN_COST'!$E$33="PER_KWH",'ENG_OPS'!$D$63*'IN_COST'!$F$33*IF('IN_COST'!$G$33="FX",'ENG_SCEN'!$D$36,IF('IN_COST'!$G$33="PPI",'ENG_SCEN'!$D$35,IF('IN_COST'!$G$33="ENERGY",'ENG_SCEN'!$D$34,IF('IN_COST'!$G$33="WAGE",'ENG_SCEN'!$D$33,IF('IN_COST'!$G$33="CPI",'ENG_SCEN'!$D$32,1))))),IF('IN_COST'!$E$33="PER_M3",'ENG_OPS'!$D$64*'IN_COST'!$F$33*IF('IN_COST'!$G$33="FX",'ENG_SCEN'!$D$36,IF('IN_COST'!$G$33="PPI",'ENG_SCEN'!$D$35,IF('IN_COST'!$G$33="ENERGY",'ENG_SCEN'!$D$34,IF('IN_COST'!$G$33="WAGE",'ENG_SCEN'!$D$33,IF('IN_COST'!$G$33="CPI",'ENG_SCEN'!$D$32,1))))),IF('IN_COST'!$E$33="ANNUAL",'IN_COST'!$F$33*IF('IN_COST'!$G$33="FX",'ENG_SCEN'!$D$36,IF('IN_COST'!$G$33="PPI",'ENG_SCEN'!$D$35,IF('IN_COST'!$G$33="ENERGY",'ENG_SCEN'!$D$34,IF('IN_COST'!$G$33="WAGE",'ENG_SCEN'!$D$33,IF('IN_COST'!$G$33="CPI",'ENG_SCEN'!$D$32,1))))),IF('IN_COST'!$E$33="PCT_REV",'ENG_OPS'!$D$81*'IN_COST'!$F$33,IF('IN_COST'!$E$33="PCT_ASSET",'ENG_CAPEX'!$D$84*'IN_COST'!$F$33,IF('IN_COST'!$E$33="DEP",'ENG_CAPEX'!$D$81,IF('IN_COST'!$E$33="PAY",INDEX('IN_COST'!$D$15:$D$19,IFERROR(VALUE(MID('IN_COST'!$F$33,FIND(":",'IN_COST'!$F$33)+1,2)),1))*INDEX('IN_COST'!$E$15:$E$19,IFERROR(VALUE(MID('IN_COST'!$F$33,FIND(":",'IN_COST'!$F$33)+1,2)),1))*'IN_COST'!$D$10*'IN_COST'!$D$11*'ENG_SCEN'!$D$33,IF('IN_COST'!$E$33="SRV",SUM(INDEX('ENG_ALLOC'!$D$29:$P$58,(IFERROR(VALUE(MID('IN_COST'!$F$33,FIND(":",'IN_COST'!$F$33)+1,2)),1)-1)*6+1,1):INDEX('ENG_ALLOC'!$D$29:$P$58,IFERROR(VALUE(MID('IN_COST'!$F$33,FIND(":",'IN_COST'!$F$33)+1,2)),1)*6,1)),0)))))))))))*IF('IN_COST'!$E$33="DEP",'ENG_SCEN'!$G$16,IF('IN_COST'!$I$33="V",IF('IN_COST'!$E$33="SCRAP_LME",'ENG_SCEN'!$G$13,'ENG_SCEN'!$G$14),'ENG_SCEN'!$G$15))</f>
        <v/>
      </c>
      <c r="E47" s="33">
        <f>'IN_MACRO'!$E$34*IF('IN_COST'!$E$33="SCRAP_LME",'ENG_OPS'!$E$20*'IN_COST'!$F$33*'ENG_SCEN'!$E$37,IF('IN_COST'!$E$33="PER_TON_BATT",'ENG_OPS'!$E$20*'IN_COST'!$F$33*IF('IN_COST'!$G$33="FX",'ENG_SCEN'!$E$36,IF('IN_COST'!$G$33="PPI",'ENG_SCEN'!$E$35,IF('IN_COST'!$G$33="ENERGY",'ENG_SCEN'!$E$34,IF('IN_COST'!$G$33="WAGE",'ENG_SCEN'!$E$33,IF('IN_COST'!$G$33="CPI",'ENG_SCEN'!$E$32,1))))),IF('IN_COST'!$E$33="PER_TON_PROD",'ENG_OPS'!$E$43*'IN_COST'!$F$33*IF('IN_COST'!$G$33="FX",'ENG_SCEN'!$E$36,IF('IN_COST'!$G$33="PPI",'ENG_SCEN'!$E$35,IF('IN_COST'!$G$33="ENERGY",'ENG_SCEN'!$E$34,IF('IN_COST'!$G$33="WAGE",'ENG_SCEN'!$E$33,IF('IN_COST'!$G$33="CPI",'ENG_SCEN'!$E$32,1))))),IF('IN_COST'!$E$33="PER_KWH",'ENG_OPS'!$E$63*'IN_COST'!$F$33*IF('IN_COST'!$G$33="FX",'ENG_SCEN'!$E$36,IF('IN_COST'!$G$33="PPI",'ENG_SCEN'!$E$35,IF('IN_COST'!$G$33="ENERGY",'ENG_SCEN'!$E$34,IF('IN_COST'!$G$33="WAGE",'ENG_SCEN'!$E$33,IF('IN_COST'!$G$33="CPI",'ENG_SCEN'!$E$32,1))))),IF('IN_COST'!$E$33="PER_M3",'ENG_OPS'!$E$64*'IN_COST'!$F$33*IF('IN_COST'!$G$33="FX",'ENG_SCEN'!$E$36,IF('IN_COST'!$G$33="PPI",'ENG_SCEN'!$E$35,IF('IN_COST'!$G$33="ENERGY",'ENG_SCEN'!$E$34,IF('IN_COST'!$G$33="WAGE",'ENG_SCEN'!$E$33,IF('IN_COST'!$G$33="CPI",'ENG_SCEN'!$E$32,1))))),IF('IN_COST'!$E$33="ANNUAL",'IN_COST'!$F$33*IF('IN_COST'!$G$33="FX",'ENG_SCEN'!$E$36,IF('IN_COST'!$G$33="PPI",'ENG_SCEN'!$E$35,IF('IN_COST'!$G$33="ENERGY",'ENG_SCEN'!$E$34,IF('IN_COST'!$G$33="WAGE",'ENG_SCEN'!$E$33,IF('IN_COST'!$G$33="CPI",'ENG_SCEN'!$E$32,1))))),IF('IN_COST'!$E$33="PCT_REV",'ENG_OPS'!$E$81*'IN_COST'!$F$33,IF('IN_COST'!$E$33="PCT_ASSET",'ENG_CAPEX'!$E$84*'IN_COST'!$F$33,IF('IN_COST'!$E$33="DEP",'ENG_CAPEX'!$E$81,IF('IN_COST'!$E$33="PAY",INDEX('IN_COST'!$D$15:$D$19,IFERROR(VALUE(MID('IN_COST'!$F$33,FIND(":",'IN_COST'!$F$33)+1,2)),1))*INDEX('IN_COST'!$E$15:$E$19,IFERROR(VALUE(MID('IN_COST'!$F$33,FIND(":",'IN_COST'!$F$33)+1,2)),1))*'IN_COST'!$D$10*'IN_COST'!$D$11*'ENG_SCEN'!$E$33,IF('IN_COST'!$E$33="SRV",SUM(INDEX('ENG_ALLOC'!$D$29:$P$58,(IFERROR(VALUE(MID('IN_COST'!$F$33,FIND(":",'IN_COST'!$F$33)+1,2)),1)-1)*6+1,2):INDEX('ENG_ALLOC'!$D$29:$P$58,IFERROR(VALUE(MID('IN_COST'!$F$33,FIND(":",'IN_COST'!$F$33)+1,2)),1)*6,2)),0)))))))))))*IF('IN_COST'!$E$33="DEP",'ENG_SCEN'!$G$16,IF('IN_COST'!$I$33="V",IF('IN_COST'!$E$33="SCRAP_LME",'ENG_SCEN'!$G$13,'ENG_SCEN'!$G$14),'ENG_SCEN'!$G$15))</f>
        <v/>
      </c>
      <c r="F47" s="33">
        <f>'IN_MACRO'!$F$34*IF('IN_COST'!$E$33="SCRAP_LME",'ENG_OPS'!$F$20*'IN_COST'!$F$33*'ENG_SCEN'!$F$37,IF('IN_COST'!$E$33="PER_TON_BATT",'ENG_OPS'!$F$20*'IN_COST'!$F$33*IF('IN_COST'!$G$33="FX",'ENG_SCEN'!$F$36,IF('IN_COST'!$G$33="PPI",'ENG_SCEN'!$F$35,IF('IN_COST'!$G$33="ENERGY",'ENG_SCEN'!$F$34,IF('IN_COST'!$G$33="WAGE",'ENG_SCEN'!$F$33,IF('IN_COST'!$G$33="CPI",'ENG_SCEN'!$F$32,1))))),IF('IN_COST'!$E$33="PER_TON_PROD",'ENG_OPS'!$F$43*'IN_COST'!$F$33*IF('IN_COST'!$G$33="FX",'ENG_SCEN'!$F$36,IF('IN_COST'!$G$33="PPI",'ENG_SCEN'!$F$35,IF('IN_COST'!$G$33="ENERGY",'ENG_SCEN'!$F$34,IF('IN_COST'!$G$33="WAGE",'ENG_SCEN'!$F$33,IF('IN_COST'!$G$33="CPI",'ENG_SCEN'!$F$32,1))))),IF('IN_COST'!$E$33="PER_KWH",'ENG_OPS'!$F$63*'IN_COST'!$F$33*IF('IN_COST'!$G$33="FX",'ENG_SCEN'!$F$36,IF('IN_COST'!$G$33="PPI",'ENG_SCEN'!$F$35,IF('IN_COST'!$G$33="ENERGY",'ENG_SCEN'!$F$34,IF('IN_COST'!$G$33="WAGE",'ENG_SCEN'!$F$33,IF('IN_COST'!$G$33="CPI",'ENG_SCEN'!$F$32,1))))),IF('IN_COST'!$E$33="PER_M3",'ENG_OPS'!$F$64*'IN_COST'!$F$33*IF('IN_COST'!$G$33="FX",'ENG_SCEN'!$F$36,IF('IN_COST'!$G$33="PPI",'ENG_SCEN'!$F$35,IF('IN_COST'!$G$33="ENERGY",'ENG_SCEN'!$F$34,IF('IN_COST'!$G$33="WAGE",'ENG_SCEN'!$F$33,IF('IN_COST'!$G$33="CPI",'ENG_SCEN'!$F$32,1))))),IF('IN_COST'!$E$33="ANNUAL",'IN_COST'!$F$33*IF('IN_COST'!$G$33="FX",'ENG_SCEN'!$F$36,IF('IN_COST'!$G$33="PPI",'ENG_SCEN'!$F$35,IF('IN_COST'!$G$33="ENERGY",'ENG_SCEN'!$F$34,IF('IN_COST'!$G$33="WAGE",'ENG_SCEN'!$F$33,IF('IN_COST'!$G$33="CPI",'ENG_SCEN'!$F$32,1))))),IF('IN_COST'!$E$33="PCT_REV",'ENG_OPS'!$F$81*'IN_COST'!$F$33,IF('IN_COST'!$E$33="PCT_ASSET",'ENG_CAPEX'!$F$84*'IN_COST'!$F$33,IF('IN_COST'!$E$33="DEP",'ENG_CAPEX'!$F$81,IF('IN_COST'!$E$33="PAY",INDEX('IN_COST'!$D$15:$D$19,IFERROR(VALUE(MID('IN_COST'!$F$33,FIND(":",'IN_COST'!$F$33)+1,2)),1))*INDEX('IN_COST'!$E$15:$E$19,IFERROR(VALUE(MID('IN_COST'!$F$33,FIND(":",'IN_COST'!$F$33)+1,2)),1))*'IN_COST'!$D$10*'IN_COST'!$D$11*'ENG_SCEN'!$F$33,IF('IN_COST'!$E$33="SRV",SUM(INDEX('ENG_ALLOC'!$D$29:$P$58,(IFERROR(VALUE(MID('IN_COST'!$F$33,FIND(":",'IN_COST'!$F$33)+1,2)),1)-1)*6+1,3):INDEX('ENG_ALLOC'!$D$29:$P$58,IFERROR(VALUE(MID('IN_COST'!$F$33,FIND(":",'IN_COST'!$F$33)+1,2)),1)*6,3)),0)))))))))))*IF('IN_COST'!$E$33="DEP",'ENG_SCEN'!$G$16,IF('IN_COST'!$I$33="V",IF('IN_COST'!$E$33="SCRAP_LME",'ENG_SCEN'!$G$13,'ENG_SCEN'!$G$14),'ENG_SCEN'!$G$15))</f>
        <v/>
      </c>
      <c r="G47" s="33">
        <f>'IN_MACRO'!$G$34*IF('IN_COST'!$E$33="SCRAP_LME",'ENG_OPS'!$G$20*'IN_COST'!$F$33*'ENG_SCEN'!$G$37,IF('IN_COST'!$E$33="PER_TON_BATT",'ENG_OPS'!$G$20*'IN_COST'!$F$33*IF('IN_COST'!$G$33="FX",'ENG_SCEN'!$G$36,IF('IN_COST'!$G$33="PPI",'ENG_SCEN'!$G$35,IF('IN_COST'!$G$33="ENERGY",'ENG_SCEN'!$G$34,IF('IN_COST'!$G$33="WAGE",'ENG_SCEN'!$G$33,IF('IN_COST'!$G$33="CPI",'ENG_SCEN'!$G$32,1))))),IF('IN_COST'!$E$33="PER_TON_PROD",'ENG_OPS'!$G$43*'IN_COST'!$F$33*IF('IN_COST'!$G$33="FX",'ENG_SCEN'!$G$36,IF('IN_COST'!$G$33="PPI",'ENG_SCEN'!$G$35,IF('IN_COST'!$G$33="ENERGY",'ENG_SCEN'!$G$34,IF('IN_COST'!$G$33="WAGE",'ENG_SCEN'!$G$33,IF('IN_COST'!$G$33="CPI",'ENG_SCEN'!$G$32,1))))),IF('IN_COST'!$E$33="PER_KWH",'ENG_OPS'!$G$63*'IN_COST'!$F$33*IF('IN_COST'!$G$33="FX",'ENG_SCEN'!$G$36,IF('IN_COST'!$G$33="PPI",'ENG_SCEN'!$G$35,IF('IN_COST'!$G$33="ENERGY",'ENG_SCEN'!$G$34,IF('IN_COST'!$G$33="WAGE",'ENG_SCEN'!$G$33,IF('IN_COST'!$G$33="CPI",'ENG_SCEN'!$G$32,1))))),IF('IN_COST'!$E$33="PER_M3",'ENG_OPS'!$G$64*'IN_COST'!$F$33*IF('IN_COST'!$G$33="FX",'ENG_SCEN'!$G$36,IF('IN_COST'!$G$33="PPI",'ENG_SCEN'!$G$35,IF('IN_COST'!$G$33="ENERGY",'ENG_SCEN'!$G$34,IF('IN_COST'!$G$33="WAGE",'ENG_SCEN'!$G$33,IF('IN_COST'!$G$33="CPI",'ENG_SCEN'!$G$32,1))))),IF('IN_COST'!$E$33="ANNUAL",'IN_COST'!$F$33*IF('IN_COST'!$G$33="FX",'ENG_SCEN'!$G$36,IF('IN_COST'!$G$33="PPI",'ENG_SCEN'!$G$35,IF('IN_COST'!$G$33="ENERGY",'ENG_SCEN'!$G$34,IF('IN_COST'!$G$33="WAGE",'ENG_SCEN'!$G$33,IF('IN_COST'!$G$33="CPI",'ENG_SCEN'!$G$32,1))))),IF('IN_COST'!$E$33="PCT_REV",'ENG_OPS'!$G$81*'IN_COST'!$F$33,IF('IN_COST'!$E$33="PCT_ASSET",'ENG_CAPEX'!$G$84*'IN_COST'!$F$33,IF('IN_COST'!$E$33="DEP",'ENG_CAPEX'!$G$81,IF('IN_COST'!$E$33="PAY",INDEX('IN_COST'!$D$15:$D$19,IFERROR(VALUE(MID('IN_COST'!$F$33,FIND(":",'IN_COST'!$F$33)+1,2)),1))*INDEX('IN_COST'!$E$15:$E$19,IFERROR(VALUE(MID('IN_COST'!$F$33,FIND(":",'IN_COST'!$F$33)+1,2)),1))*'IN_COST'!$D$10*'IN_COST'!$D$11*'ENG_SCEN'!$G$33,IF('IN_COST'!$E$33="SRV",SUM(INDEX('ENG_ALLOC'!$D$29:$P$58,(IFERROR(VALUE(MID('IN_COST'!$F$33,FIND(":",'IN_COST'!$F$33)+1,2)),1)-1)*6+1,4):INDEX('ENG_ALLOC'!$D$29:$P$58,IFERROR(VALUE(MID('IN_COST'!$F$33,FIND(":",'IN_COST'!$F$33)+1,2)),1)*6,4)),0)))))))))))*IF('IN_COST'!$E$33="DEP",'ENG_SCEN'!$G$16,IF('IN_COST'!$I$33="V",IF('IN_COST'!$E$33="SCRAP_LME",'ENG_SCEN'!$G$13,'ENG_SCEN'!$G$14),'ENG_SCEN'!$G$15))</f>
        <v/>
      </c>
      <c r="H47" s="33">
        <f>'IN_MACRO'!$H$34*IF('IN_COST'!$E$33="SCRAP_LME",'ENG_OPS'!$H$20*'IN_COST'!$F$33*'ENG_SCEN'!$H$37,IF('IN_COST'!$E$33="PER_TON_BATT",'ENG_OPS'!$H$20*'IN_COST'!$F$33*IF('IN_COST'!$G$33="FX",'ENG_SCEN'!$H$36,IF('IN_COST'!$G$33="PPI",'ENG_SCEN'!$H$35,IF('IN_COST'!$G$33="ENERGY",'ENG_SCEN'!$H$34,IF('IN_COST'!$G$33="WAGE",'ENG_SCEN'!$H$33,IF('IN_COST'!$G$33="CPI",'ENG_SCEN'!$H$32,1))))),IF('IN_COST'!$E$33="PER_TON_PROD",'ENG_OPS'!$H$43*'IN_COST'!$F$33*IF('IN_COST'!$G$33="FX",'ENG_SCEN'!$H$36,IF('IN_COST'!$G$33="PPI",'ENG_SCEN'!$H$35,IF('IN_COST'!$G$33="ENERGY",'ENG_SCEN'!$H$34,IF('IN_COST'!$G$33="WAGE",'ENG_SCEN'!$H$33,IF('IN_COST'!$G$33="CPI",'ENG_SCEN'!$H$32,1))))),IF('IN_COST'!$E$33="PER_KWH",'ENG_OPS'!$H$63*'IN_COST'!$F$33*IF('IN_COST'!$G$33="FX",'ENG_SCEN'!$H$36,IF('IN_COST'!$G$33="PPI",'ENG_SCEN'!$H$35,IF('IN_COST'!$G$33="ENERGY",'ENG_SCEN'!$H$34,IF('IN_COST'!$G$33="WAGE",'ENG_SCEN'!$H$33,IF('IN_COST'!$G$33="CPI",'ENG_SCEN'!$H$32,1))))),IF('IN_COST'!$E$33="PER_M3",'ENG_OPS'!$H$64*'IN_COST'!$F$33*IF('IN_COST'!$G$33="FX",'ENG_SCEN'!$H$36,IF('IN_COST'!$G$33="PPI",'ENG_SCEN'!$H$35,IF('IN_COST'!$G$33="ENERGY",'ENG_SCEN'!$H$34,IF('IN_COST'!$G$33="WAGE",'ENG_SCEN'!$H$33,IF('IN_COST'!$G$33="CPI",'ENG_SCEN'!$H$32,1))))),IF('IN_COST'!$E$33="ANNUAL",'IN_COST'!$F$33*IF('IN_COST'!$G$33="FX",'ENG_SCEN'!$H$36,IF('IN_COST'!$G$33="PPI",'ENG_SCEN'!$H$35,IF('IN_COST'!$G$33="ENERGY",'ENG_SCEN'!$H$34,IF('IN_COST'!$G$33="WAGE",'ENG_SCEN'!$H$33,IF('IN_COST'!$G$33="CPI",'ENG_SCEN'!$H$32,1))))),IF('IN_COST'!$E$33="PCT_REV",'ENG_OPS'!$H$81*'IN_COST'!$F$33,IF('IN_COST'!$E$33="PCT_ASSET",'ENG_CAPEX'!$H$84*'IN_COST'!$F$33,IF('IN_COST'!$E$33="DEP",'ENG_CAPEX'!$H$81,IF('IN_COST'!$E$33="PAY",INDEX('IN_COST'!$D$15:$D$19,IFERROR(VALUE(MID('IN_COST'!$F$33,FIND(":",'IN_COST'!$F$33)+1,2)),1))*INDEX('IN_COST'!$E$15:$E$19,IFERROR(VALUE(MID('IN_COST'!$F$33,FIND(":",'IN_COST'!$F$33)+1,2)),1))*'IN_COST'!$D$10*'IN_COST'!$D$11*'ENG_SCEN'!$H$33,IF('IN_COST'!$E$33="SRV",SUM(INDEX('ENG_ALLOC'!$D$29:$P$58,(IFERROR(VALUE(MID('IN_COST'!$F$33,FIND(":",'IN_COST'!$F$33)+1,2)),1)-1)*6+1,5):INDEX('ENG_ALLOC'!$D$29:$P$58,IFERROR(VALUE(MID('IN_COST'!$F$33,FIND(":",'IN_COST'!$F$33)+1,2)),1)*6,5)),0)))))))))))*IF('IN_COST'!$E$33="DEP",'ENG_SCEN'!$G$16,IF('IN_COST'!$I$33="V",IF('IN_COST'!$E$33="SCRAP_LME",'ENG_SCEN'!$G$13,'ENG_SCEN'!$G$14),'ENG_SCEN'!$G$15))</f>
        <v/>
      </c>
      <c r="I47" s="33">
        <f>'IN_MACRO'!$I$34*IF('IN_COST'!$E$33="SCRAP_LME",'ENG_OPS'!$I$20*'IN_COST'!$F$33*'ENG_SCEN'!$I$37,IF('IN_COST'!$E$33="PER_TON_BATT",'ENG_OPS'!$I$20*'IN_COST'!$F$33*IF('IN_COST'!$G$33="FX",'ENG_SCEN'!$I$36,IF('IN_COST'!$G$33="PPI",'ENG_SCEN'!$I$35,IF('IN_COST'!$G$33="ENERGY",'ENG_SCEN'!$I$34,IF('IN_COST'!$G$33="WAGE",'ENG_SCEN'!$I$33,IF('IN_COST'!$G$33="CPI",'ENG_SCEN'!$I$32,1))))),IF('IN_COST'!$E$33="PER_TON_PROD",'ENG_OPS'!$I$43*'IN_COST'!$F$33*IF('IN_COST'!$G$33="FX",'ENG_SCEN'!$I$36,IF('IN_COST'!$G$33="PPI",'ENG_SCEN'!$I$35,IF('IN_COST'!$G$33="ENERGY",'ENG_SCEN'!$I$34,IF('IN_COST'!$G$33="WAGE",'ENG_SCEN'!$I$33,IF('IN_COST'!$G$33="CPI",'ENG_SCEN'!$I$32,1))))),IF('IN_COST'!$E$33="PER_KWH",'ENG_OPS'!$I$63*'IN_COST'!$F$33*IF('IN_COST'!$G$33="FX",'ENG_SCEN'!$I$36,IF('IN_COST'!$G$33="PPI",'ENG_SCEN'!$I$35,IF('IN_COST'!$G$33="ENERGY",'ENG_SCEN'!$I$34,IF('IN_COST'!$G$33="WAGE",'ENG_SCEN'!$I$33,IF('IN_COST'!$G$33="CPI",'ENG_SCEN'!$I$32,1))))),IF('IN_COST'!$E$33="PER_M3",'ENG_OPS'!$I$64*'IN_COST'!$F$33*IF('IN_COST'!$G$33="FX",'ENG_SCEN'!$I$36,IF('IN_COST'!$G$33="PPI",'ENG_SCEN'!$I$35,IF('IN_COST'!$G$33="ENERGY",'ENG_SCEN'!$I$34,IF('IN_COST'!$G$33="WAGE",'ENG_SCEN'!$I$33,IF('IN_COST'!$G$33="CPI",'ENG_SCEN'!$I$32,1))))),IF('IN_COST'!$E$33="ANNUAL",'IN_COST'!$F$33*IF('IN_COST'!$G$33="FX",'ENG_SCEN'!$I$36,IF('IN_COST'!$G$33="PPI",'ENG_SCEN'!$I$35,IF('IN_COST'!$G$33="ENERGY",'ENG_SCEN'!$I$34,IF('IN_COST'!$G$33="WAGE",'ENG_SCEN'!$I$33,IF('IN_COST'!$G$33="CPI",'ENG_SCEN'!$I$32,1))))),IF('IN_COST'!$E$33="PCT_REV",'ENG_OPS'!$I$81*'IN_COST'!$F$33,IF('IN_COST'!$E$33="PCT_ASSET",'ENG_CAPEX'!$I$84*'IN_COST'!$F$33,IF('IN_COST'!$E$33="DEP",'ENG_CAPEX'!$I$81,IF('IN_COST'!$E$33="PAY",INDEX('IN_COST'!$D$15:$D$19,IFERROR(VALUE(MID('IN_COST'!$F$33,FIND(":",'IN_COST'!$F$33)+1,2)),1))*INDEX('IN_COST'!$E$15:$E$19,IFERROR(VALUE(MID('IN_COST'!$F$33,FIND(":",'IN_COST'!$F$33)+1,2)),1))*'IN_COST'!$D$10*'IN_COST'!$D$11*'ENG_SCEN'!$I$33,IF('IN_COST'!$E$33="SRV",SUM(INDEX('ENG_ALLOC'!$D$29:$P$58,(IFERROR(VALUE(MID('IN_COST'!$F$33,FIND(":",'IN_COST'!$F$33)+1,2)),1)-1)*6+1,6):INDEX('ENG_ALLOC'!$D$29:$P$58,IFERROR(VALUE(MID('IN_COST'!$F$33,FIND(":",'IN_COST'!$F$33)+1,2)),1)*6,6)),0)))))))))))*IF('IN_COST'!$E$33="DEP",'ENG_SCEN'!$G$16,IF('IN_COST'!$I$33="V",IF('IN_COST'!$E$33="SCRAP_LME",'ENG_SCEN'!$G$13,'ENG_SCEN'!$G$14),'ENG_SCEN'!$G$15))</f>
        <v/>
      </c>
      <c r="J47" s="33">
        <f>'IN_MACRO'!$J$34*IF('IN_COST'!$E$33="SCRAP_LME",'ENG_OPS'!$J$20*'IN_COST'!$F$33*'ENG_SCEN'!$J$37,IF('IN_COST'!$E$33="PER_TON_BATT",'ENG_OPS'!$J$20*'IN_COST'!$F$33*IF('IN_COST'!$G$33="FX",'ENG_SCEN'!$J$36,IF('IN_COST'!$G$33="PPI",'ENG_SCEN'!$J$35,IF('IN_COST'!$G$33="ENERGY",'ENG_SCEN'!$J$34,IF('IN_COST'!$G$33="WAGE",'ENG_SCEN'!$J$33,IF('IN_COST'!$G$33="CPI",'ENG_SCEN'!$J$32,1))))),IF('IN_COST'!$E$33="PER_TON_PROD",'ENG_OPS'!$J$43*'IN_COST'!$F$33*IF('IN_COST'!$G$33="FX",'ENG_SCEN'!$J$36,IF('IN_COST'!$G$33="PPI",'ENG_SCEN'!$J$35,IF('IN_COST'!$G$33="ENERGY",'ENG_SCEN'!$J$34,IF('IN_COST'!$G$33="WAGE",'ENG_SCEN'!$J$33,IF('IN_COST'!$G$33="CPI",'ENG_SCEN'!$J$32,1))))),IF('IN_COST'!$E$33="PER_KWH",'ENG_OPS'!$J$63*'IN_COST'!$F$33*IF('IN_COST'!$G$33="FX",'ENG_SCEN'!$J$36,IF('IN_COST'!$G$33="PPI",'ENG_SCEN'!$J$35,IF('IN_COST'!$G$33="ENERGY",'ENG_SCEN'!$J$34,IF('IN_COST'!$G$33="WAGE",'ENG_SCEN'!$J$33,IF('IN_COST'!$G$33="CPI",'ENG_SCEN'!$J$32,1))))),IF('IN_COST'!$E$33="PER_M3",'ENG_OPS'!$J$64*'IN_COST'!$F$33*IF('IN_COST'!$G$33="FX",'ENG_SCEN'!$J$36,IF('IN_COST'!$G$33="PPI",'ENG_SCEN'!$J$35,IF('IN_COST'!$G$33="ENERGY",'ENG_SCEN'!$J$34,IF('IN_COST'!$G$33="WAGE",'ENG_SCEN'!$J$33,IF('IN_COST'!$G$33="CPI",'ENG_SCEN'!$J$32,1))))),IF('IN_COST'!$E$33="ANNUAL",'IN_COST'!$F$33*IF('IN_COST'!$G$33="FX",'ENG_SCEN'!$J$36,IF('IN_COST'!$G$33="PPI",'ENG_SCEN'!$J$35,IF('IN_COST'!$G$33="ENERGY",'ENG_SCEN'!$J$34,IF('IN_COST'!$G$33="WAGE",'ENG_SCEN'!$J$33,IF('IN_COST'!$G$33="CPI",'ENG_SCEN'!$J$32,1))))),IF('IN_COST'!$E$33="PCT_REV",'ENG_OPS'!$J$81*'IN_COST'!$F$33,IF('IN_COST'!$E$33="PCT_ASSET",'ENG_CAPEX'!$J$84*'IN_COST'!$F$33,IF('IN_COST'!$E$33="DEP",'ENG_CAPEX'!$J$81,IF('IN_COST'!$E$33="PAY",INDEX('IN_COST'!$D$15:$D$19,IFERROR(VALUE(MID('IN_COST'!$F$33,FIND(":",'IN_COST'!$F$33)+1,2)),1))*INDEX('IN_COST'!$E$15:$E$19,IFERROR(VALUE(MID('IN_COST'!$F$33,FIND(":",'IN_COST'!$F$33)+1,2)),1))*'IN_COST'!$D$10*'IN_COST'!$D$11*'ENG_SCEN'!$J$33,IF('IN_COST'!$E$33="SRV",SUM(INDEX('ENG_ALLOC'!$D$29:$P$58,(IFERROR(VALUE(MID('IN_COST'!$F$33,FIND(":",'IN_COST'!$F$33)+1,2)),1)-1)*6+1,7):INDEX('ENG_ALLOC'!$D$29:$P$58,IFERROR(VALUE(MID('IN_COST'!$F$33,FIND(":",'IN_COST'!$F$33)+1,2)),1)*6,7)),0)))))))))))*IF('IN_COST'!$E$33="DEP",'ENG_SCEN'!$G$16,IF('IN_COST'!$I$33="V",IF('IN_COST'!$E$33="SCRAP_LME",'ENG_SCEN'!$G$13,'ENG_SCEN'!$G$14),'ENG_SCEN'!$G$15))</f>
        <v/>
      </c>
      <c r="K47" s="33">
        <f>'IN_MACRO'!$K$34*IF('IN_COST'!$E$33="SCRAP_LME",'ENG_OPS'!$K$20*'IN_COST'!$F$33*'ENG_SCEN'!$K$37,IF('IN_COST'!$E$33="PER_TON_BATT",'ENG_OPS'!$K$20*'IN_COST'!$F$33*IF('IN_COST'!$G$33="FX",'ENG_SCEN'!$K$36,IF('IN_COST'!$G$33="PPI",'ENG_SCEN'!$K$35,IF('IN_COST'!$G$33="ENERGY",'ENG_SCEN'!$K$34,IF('IN_COST'!$G$33="WAGE",'ENG_SCEN'!$K$33,IF('IN_COST'!$G$33="CPI",'ENG_SCEN'!$K$32,1))))),IF('IN_COST'!$E$33="PER_TON_PROD",'ENG_OPS'!$K$43*'IN_COST'!$F$33*IF('IN_COST'!$G$33="FX",'ENG_SCEN'!$K$36,IF('IN_COST'!$G$33="PPI",'ENG_SCEN'!$K$35,IF('IN_COST'!$G$33="ENERGY",'ENG_SCEN'!$K$34,IF('IN_COST'!$G$33="WAGE",'ENG_SCEN'!$K$33,IF('IN_COST'!$G$33="CPI",'ENG_SCEN'!$K$32,1))))),IF('IN_COST'!$E$33="PER_KWH",'ENG_OPS'!$K$63*'IN_COST'!$F$33*IF('IN_COST'!$G$33="FX",'ENG_SCEN'!$K$36,IF('IN_COST'!$G$33="PPI",'ENG_SCEN'!$K$35,IF('IN_COST'!$G$33="ENERGY",'ENG_SCEN'!$K$34,IF('IN_COST'!$G$33="WAGE",'ENG_SCEN'!$K$33,IF('IN_COST'!$G$33="CPI",'ENG_SCEN'!$K$32,1))))),IF('IN_COST'!$E$33="PER_M3",'ENG_OPS'!$K$64*'IN_COST'!$F$33*IF('IN_COST'!$G$33="FX",'ENG_SCEN'!$K$36,IF('IN_COST'!$G$33="PPI",'ENG_SCEN'!$K$35,IF('IN_COST'!$G$33="ENERGY",'ENG_SCEN'!$K$34,IF('IN_COST'!$G$33="WAGE",'ENG_SCEN'!$K$33,IF('IN_COST'!$G$33="CPI",'ENG_SCEN'!$K$32,1))))),IF('IN_COST'!$E$33="ANNUAL",'IN_COST'!$F$33*IF('IN_COST'!$G$33="FX",'ENG_SCEN'!$K$36,IF('IN_COST'!$G$33="PPI",'ENG_SCEN'!$K$35,IF('IN_COST'!$G$33="ENERGY",'ENG_SCEN'!$K$34,IF('IN_COST'!$G$33="WAGE",'ENG_SCEN'!$K$33,IF('IN_COST'!$G$33="CPI",'ENG_SCEN'!$K$32,1))))),IF('IN_COST'!$E$33="PCT_REV",'ENG_OPS'!$K$81*'IN_COST'!$F$33,IF('IN_COST'!$E$33="PCT_ASSET",'ENG_CAPEX'!$K$84*'IN_COST'!$F$33,IF('IN_COST'!$E$33="DEP",'ENG_CAPEX'!$K$81,IF('IN_COST'!$E$33="PAY",INDEX('IN_COST'!$D$15:$D$19,IFERROR(VALUE(MID('IN_COST'!$F$33,FIND(":",'IN_COST'!$F$33)+1,2)),1))*INDEX('IN_COST'!$E$15:$E$19,IFERROR(VALUE(MID('IN_COST'!$F$33,FIND(":",'IN_COST'!$F$33)+1,2)),1))*'IN_COST'!$D$10*'IN_COST'!$D$11*'ENG_SCEN'!$K$33,IF('IN_COST'!$E$33="SRV",SUM(INDEX('ENG_ALLOC'!$D$29:$P$58,(IFERROR(VALUE(MID('IN_COST'!$F$33,FIND(":",'IN_COST'!$F$33)+1,2)),1)-1)*6+1,8):INDEX('ENG_ALLOC'!$D$29:$P$58,IFERROR(VALUE(MID('IN_COST'!$F$33,FIND(":",'IN_COST'!$F$33)+1,2)),1)*6,8)),0)))))))))))*IF('IN_COST'!$E$33="DEP",'ENG_SCEN'!$G$16,IF('IN_COST'!$I$33="V",IF('IN_COST'!$E$33="SCRAP_LME",'ENG_SCEN'!$G$13,'ENG_SCEN'!$G$14),'ENG_SCEN'!$G$15))</f>
        <v/>
      </c>
      <c r="L47" s="33">
        <f>'IN_MACRO'!$L$34*IF('IN_COST'!$E$33="SCRAP_LME",'ENG_OPS'!$L$20*'IN_COST'!$F$33*'ENG_SCEN'!$L$37,IF('IN_COST'!$E$33="PER_TON_BATT",'ENG_OPS'!$L$20*'IN_COST'!$F$33*IF('IN_COST'!$G$33="FX",'ENG_SCEN'!$L$36,IF('IN_COST'!$G$33="PPI",'ENG_SCEN'!$L$35,IF('IN_COST'!$G$33="ENERGY",'ENG_SCEN'!$L$34,IF('IN_COST'!$G$33="WAGE",'ENG_SCEN'!$L$33,IF('IN_COST'!$G$33="CPI",'ENG_SCEN'!$L$32,1))))),IF('IN_COST'!$E$33="PER_TON_PROD",'ENG_OPS'!$L$43*'IN_COST'!$F$33*IF('IN_COST'!$G$33="FX",'ENG_SCEN'!$L$36,IF('IN_COST'!$G$33="PPI",'ENG_SCEN'!$L$35,IF('IN_COST'!$G$33="ENERGY",'ENG_SCEN'!$L$34,IF('IN_COST'!$G$33="WAGE",'ENG_SCEN'!$L$33,IF('IN_COST'!$G$33="CPI",'ENG_SCEN'!$L$32,1))))),IF('IN_COST'!$E$33="PER_KWH",'ENG_OPS'!$L$63*'IN_COST'!$F$33*IF('IN_COST'!$G$33="FX",'ENG_SCEN'!$L$36,IF('IN_COST'!$G$33="PPI",'ENG_SCEN'!$L$35,IF('IN_COST'!$G$33="ENERGY",'ENG_SCEN'!$L$34,IF('IN_COST'!$G$33="WAGE",'ENG_SCEN'!$L$33,IF('IN_COST'!$G$33="CPI",'ENG_SCEN'!$L$32,1))))),IF('IN_COST'!$E$33="PER_M3",'ENG_OPS'!$L$64*'IN_COST'!$F$33*IF('IN_COST'!$G$33="FX",'ENG_SCEN'!$L$36,IF('IN_COST'!$G$33="PPI",'ENG_SCEN'!$L$35,IF('IN_COST'!$G$33="ENERGY",'ENG_SCEN'!$L$34,IF('IN_COST'!$G$33="WAGE",'ENG_SCEN'!$L$33,IF('IN_COST'!$G$33="CPI",'ENG_SCEN'!$L$32,1))))),IF('IN_COST'!$E$33="ANNUAL",'IN_COST'!$F$33*IF('IN_COST'!$G$33="FX",'ENG_SCEN'!$L$36,IF('IN_COST'!$G$33="PPI",'ENG_SCEN'!$L$35,IF('IN_COST'!$G$33="ENERGY",'ENG_SCEN'!$L$34,IF('IN_COST'!$G$33="WAGE",'ENG_SCEN'!$L$33,IF('IN_COST'!$G$33="CPI",'ENG_SCEN'!$L$32,1))))),IF('IN_COST'!$E$33="PCT_REV",'ENG_OPS'!$L$81*'IN_COST'!$F$33,IF('IN_COST'!$E$33="PCT_ASSET",'ENG_CAPEX'!$L$84*'IN_COST'!$F$33,IF('IN_COST'!$E$33="DEP",'ENG_CAPEX'!$L$81,IF('IN_COST'!$E$33="PAY",INDEX('IN_COST'!$D$15:$D$19,IFERROR(VALUE(MID('IN_COST'!$F$33,FIND(":",'IN_COST'!$F$33)+1,2)),1))*INDEX('IN_COST'!$E$15:$E$19,IFERROR(VALUE(MID('IN_COST'!$F$33,FIND(":",'IN_COST'!$F$33)+1,2)),1))*'IN_COST'!$D$10*'IN_COST'!$D$11*'ENG_SCEN'!$L$33,IF('IN_COST'!$E$33="SRV",SUM(INDEX('ENG_ALLOC'!$D$29:$P$58,(IFERROR(VALUE(MID('IN_COST'!$F$33,FIND(":",'IN_COST'!$F$33)+1,2)),1)-1)*6+1,9):INDEX('ENG_ALLOC'!$D$29:$P$58,IFERROR(VALUE(MID('IN_COST'!$F$33,FIND(":",'IN_COST'!$F$33)+1,2)),1)*6,9)),0)))))))))))*IF('IN_COST'!$E$33="DEP",'ENG_SCEN'!$G$16,IF('IN_COST'!$I$33="V",IF('IN_COST'!$E$33="SCRAP_LME",'ENG_SCEN'!$G$13,'ENG_SCEN'!$G$14),'ENG_SCEN'!$G$15))</f>
        <v/>
      </c>
      <c r="M47" s="33">
        <f>'IN_MACRO'!$M$34*IF('IN_COST'!$E$33="SCRAP_LME",'ENG_OPS'!$M$20*'IN_COST'!$F$33*'ENG_SCEN'!$M$37,IF('IN_COST'!$E$33="PER_TON_BATT",'ENG_OPS'!$M$20*'IN_COST'!$F$33*IF('IN_COST'!$G$33="FX",'ENG_SCEN'!$M$36,IF('IN_COST'!$G$33="PPI",'ENG_SCEN'!$M$35,IF('IN_COST'!$G$33="ENERGY",'ENG_SCEN'!$M$34,IF('IN_COST'!$G$33="WAGE",'ENG_SCEN'!$M$33,IF('IN_COST'!$G$33="CPI",'ENG_SCEN'!$M$32,1))))),IF('IN_COST'!$E$33="PER_TON_PROD",'ENG_OPS'!$M$43*'IN_COST'!$F$33*IF('IN_COST'!$G$33="FX",'ENG_SCEN'!$M$36,IF('IN_COST'!$G$33="PPI",'ENG_SCEN'!$M$35,IF('IN_COST'!$G$33="ENERGY",'ENG_SCEN'!$M$34,IF('IN_COST'!$G$33="WAGE",'ENG_SCEN'!$M$33,IF('IN_COST'!$G$33="CPI",'ENG_SCEN'!$M$32,1))))),IF('IN_COST'!$E$33="PER_KWH",'ENG_OPS'!$M$63*'IN_COST'!$F$33*IF('IN_COST'!$G$33="FX",'ENG_SCEN'!$M$36,IF('IN_COST'!$G$33="PPI",'ENG_SCEN'!$M$35,IF('IN_COST'!$G$33="ENERGY",'ENG_SCEN'!$M$34,IF('IN_COST'!$G$33="WAGE",'ENG_SCEN'!$M$33,IF('IN_COST'!$G$33="CPI",'ENG_SCEN'!$M$32,1))))),IF('IN_COST'!$E$33="PER_M3",'ENG_OPS'!$M$64*'IN_COST'!$F$33*IF('IN_COST'!$G$33="FX",'ENG_SCEN'!$M$36,IF('IN_COST'!$G$33="PPI",'ENG_SCEN'!$M$35,IF('IN_COST'!$G$33="ENERGY",'ENG_SCEN'!$M$34,IF('IN_COST'!$G$33="WAGE",'ENG_SCEN'!$M$33,IF('IN_COST'!$G$33="CPI",'ENG_SCEN'!$M$32,1))))),IF('IN_COST'!$E$33="ANNUAL",'IN_COST'!$F$33*IF('IN_COST'!$G$33="FX",'ENG_SCEN'!$M$36,IF('IN_COST'!$G$33="PPI",'ENG_SCEN'!$M$35,IF('IN_COST'!$G$33="ENERGY",'ENG_SCEN'!$M$34,IF('IN_COST'!$G$33="WAGE",'ENG_SCEN'!$M$33,IF('IN_COST'!$G$33="CPI",'ENG_SCEN'!$M$32,1))))),IF('IN_COST'!$E$33="PCT_REV",'ENG_OPS'!$M$81*'IN_COST'!$F$33,IF('IN_COST'!$E$33="PCT_ASSET",'ENG_CAPEX'!$M$84*'IN_COST'!$F$33,IF('IN_COST'!$E$33="DEP",'ENG_CAPEX'!$M$81,IF('IN_COST'!$E$33="PAY",INDEX('IN_COST'!$D$15:$D$19,IFERROR(VALUE(MID('IN_COST'!$F$33,FIND(":",'IN_COST'!$F$33)+1,2)),1))*INDEX('IN_COST'!$E$15:$E$19,IFERROR(VALUE(MID('IN_COST'!$F$33,FIND(":",'IN_COST'!$F$33)+1,2)),1))*'IN_COST'!$D$10*'IN_COST'!$D$11*'ENG_SCEN'!$M$33,IF('IN_COST'!$E$33="SRV",SUM(INDEX('ENG_ALLOC'!$D$29:$P$58,(IFERROR(VALUE(MID('IN_COST'!$F$33,FIND(":",'IN_COST'!$F$33)+1,2)),1)-1)*6+1,10):INDEX('ENG_ALLOC'!$D$29:$P$58,IFERROR(VALUE(MID('IN_COST'!$F$33,FIND(":",'IN_COST'!$F$33)+1,2)),1)*6,10)),0)))))))))))*IF('IN_COST'!$E$33="DEP",'ENG_SCEN'!$G$16,IF('IN_COST'!$I$33="V",IF('IN_COST'!$E$33="SCRAP_LME",'ENG_SCEN'!$G$13,'ENG_SCEN'!$G$14),'ENG_SCEN'!$G$15))</f>
        <v/>
      </c>
      <c r="N47" s="33">
        <f>'IN_MACRO'!$N$34*IF('IN_COST'!$E$33="SCRAP_LME",'ENG_OPS'!$N$20*'IN_COST'!$F$33*'ENG_SCEN'!$N$37,IF('IN_COST'!$E$33="PER_TON_BATT",'ENG_OPS'!$N$20*'IN_COST'!$F$33*IF('IN_COST'!$G$33="FX",'ENG_SCEN'!$N$36,IF('IN_COST'!$G$33="PPI",'ENG_SCEN'!$N$35,IF('IN_COST'!$G$33="ENERGY",'ENG_SCEN'!$N$34,IF('IN_COST'!$G$33="WAGE",'ENG_SCEN'!$N$33,IF('IN_COST'!$G$33="CPI",'ENG_SCEN'!$N$32,1))))),IF('IN_COST'!$E$33="PER_TON_PROD",'ENG_OPS'!$N$43*'IN_COST'!$F$33*IF('IN_COST'!$G$33="FX",'ENG_SCEN'!$N$36,IF('IN_COST'!$G$33="PPI",'ENG_SCEN'!$N$35,IF('IN_COST'!$G$33="ENERGY",'ENG_SCEN'!$N$34,IF('IN_COST'!$G$33="WAGE",'ENG_SCEN'!$N$33,IF('IN_COST'!$G$33="CPI",'ENG_SCEN'!$N$32,1))))),IF('IN_COST'!$E$33="PER_KWH",'ENG_OPS'!$N$63*'IN_COST'!$F$33*IF('IN_COST'!$G$33="FX",'ENG_SCEN'!$N$36,IF('IN_COST'!$G$33="PPI",'ENG_SCEN'!$N$35,IF('IN_COST'!$G$33="ENERGY",'ENG_SCEN'!$N$34,IF('IN_COST'!$G$33="WAGE",'ENG_SCEN'!$N$33,IF('IN_COST'!$G$33="CPI",'ENG_SCEN'!$N$32,1))))),IF('IN_COST'!$E$33="PER_M3",'ENG_OPS'!$N$64*'IN_COST'!$F$33*IF('IN_COST'!$G$33="FX",'ENG_SCEN'!$N$36,IF('IN_COST'!$G$33="PPI",'ENG_SCEN'!$N$35,IF('IN_COST'!$G$33="ENERGY",'ENG_SCEN'!$N$34,IF('IN_COST'!$G$33="WAGE",'ENG_SCEN'!$N$33,IF('IN_COST'!$G$33="CPI",'ENG_SCEN'!$N$32,1))))),IF('IN_COST'!$E$33="ANNUAL",'IN_COST'!$F$33*IF('IN_COST'!$G$33="FX",'ENG_SCEN'!$N$36,IF('IN_COST'!$G$33="PPI",'ENG_SCEN'!$N$35,IF('IN_COST'!$G$33="ENERGY",'ENG_SCEN'!$N$34,IF('IN_COST'!$G$33="WAGE",'ENG_SCEN'!$N$33,IF('IN_COST'!$G$33="CPI",'ENG_SCEN'!$N$32,1))))),IF('IN_COST'!$E$33="PCT_REV",'ENG_OPS'!$N$81*'IN_COST'!$F$33,IF('IN_COST'!$E$33="PCT_ASSET",'ENG_CAPEX'!$N$84*'IN_COST'!$F$33,IF('IN_COST'!$E$33="DEP",'ENG_CAPEX'!$N$81,IF('IN_COST'!$E$33="PAY",INDEX('IN_COST'!$D$15:$D$19,IFERROR(VALUE(MID('IN_COST'!$F$33,FIND(":",'IN_COST'!$F$33)+1,2)),1))*INDEX('IN_COST'!$E$15:$E$19,IFERROR(VALUE(MID('IN_COST'!$F$33,FIND(":",'IN_COST'!$F$33)+1,2)),1))*'IN_COST'!$D$10*'IN_COST'!$D$11*'ENG_SCEN'!$N$33,IF('IN_COST'!$E$33="SRV",SUM(INDEX('ENG_ALLOC'!$D$29:$P$58,(IFERROR(VALUE(MID('IN_COST'!$F$33,FIND(":",'IN_COST'!$F$33)+1,2)),1)-1)*6+1,11):INDEX('ENG_ALLOC'!$D$29:$P$58,IFERROR(VALUE(MID('IN_COST'!$F$33,FIND(":",'IN_COST'!$F$33)+1,2)),1)*6,11)),0)))))))))))*IF('IN_COST'!$E$33="DEP",'ENG_SCEN'!$G$16,IF('IN_COST'!$I$33="V",IF('IN_COST'!$E$33="SCRAP_LME",'ENG_SCEN'!$G$13,'ENG_SCEN'!$G$14),'ENG_SCEN'!$G$15))</f>
        <v/>
      </c>
      <c r="O47" s="33">
        <f>'IN_MACRO'!$O$34*IF('IN_COST'!$E$33="SCRAP_LME",'ENG_OPS'!$O$20*'IN_COST'!$F$33*'ENG_SCEN'!$O$37,IF('IN_COST'!$E$33="PER_TON_BATT",'ENG_OPS'!$O$20*'IN_COST'!$F$33*IF('IN_COST'!$G$33="FX",'ENG_SCEN'!$O$36,IF('IN_COST'!$G$33="PPI",'ENG_SCEN'!$O$35,IF('IN_COST'!$G$33="ENERGY",'ENG_SCEN'!$O$34,IF('IN_COST'!$G$33="WAGE",'ENG_SCEN'!$O$33,IF('IN_COST'!$G$33="CPI",'ENG_SCEN'!$O$32,1))))),IF('IN_COST'!$E$33="PER_TON_PROD",'ENG_OPS'!$O$43*'IN_COST'!$F$33*IF('IN_COST'!$G$33="FX",'ENG_SCEN'!$O$36,IF('IN_COST'!$G$33="PPI",'ENG_SCEN'!$O$35,IF('IN_COST'!$G$33="ENERGY",'ENG_SCEN'!$O$34,IF('IN_COST'!$G$33="WAGE",'ENG_SCEN'!$O$33,IF('IN_COST'!$G$33="CPI",'ENG_SCEN'!$O$32,1))))),IF('IN_COST'!$E$33="PER_KWH",'ENG_OPS'!$O$63*'IN_COST'!$F$33*IF('IN_COST'!$G$33="FX",'ENG_SCEN'!$O$36,IF('IN_COST'!$G$33="PPI",'ENG_SCEN'!$O$35,IF('IN_COST'!$G$33="ENERGY",'ENG_SCEN'!$O$34,IF('IN_COST'!$G$33="WAGE",'ENG_SCEN'!$O$33,IF('IN_COST'!$G$33="CPI",'ENG_SCEN'!$O$32,1))))),IF('IN_COST'!$E$33="PER_M3",'ENG_OPS'!$O$64*'IN_COST'!$F$33*IF('IN_COST'!$G$33="FX",'ENG_SCEN'!$O$36,IF('IN_COST'!$G$33="PPI",'ENG_SCEN'!$O$35,IF('IN_COST'!$G$33="ENERGY",'ENG_SCEN'!$O$34,IF('IN_COST'!$G$33="WAGE",'ENG_SCEN'!$O$33,IF('IN_COST'!$G$33="CPI",'ENG_SCEN'!$O$32,1))))),IF('IN_COST'!$E$33="ANNUAL",'IN_COST'!$F$33*IF('IN_COST'!$G$33="FX",'ENG_SCEN'!$O$36,IF('IN_COST'!$G$33="PPI",'ENG_SCEN'!$O$35,IF('IN_COST'!$G$33="ENERGY",'ENG_SCEN'!$O$34,IF('IN_COST'!$G$33="WAGE",'ENG_SCEN'!$O$33,IF('IN_COST'!$G$33="CPI",'ENG_SCEN'!$O$32,1))))),IF('IN_COST'!$E$33="PCT_REV",'ENG_OPS'!$O$81*'IN_COST'!$F$33,IF('IN_COST'!$E$33="PCT_ASSET",'ENG_CAPEX'!$O$84*'IN_COST'!$F$33,IF('IN_COST'!$E$33="DEP",'ENG_CAPEX'!$O$81,IF('IN_COST'!$E$33="PAY",INDEX('IN_COST'!$D$15:$D$19,IFERROR(VALUE(MID('IN_COST'!$F$33,FIND(":",'IN_COST'!$F$33)+1,2)),1))*INDEX('IN_COST'!$E$15:$E$19,IFERROR(VALUE(MID('IN_COST'!$F$33,FIND(":",'IN_COST'!$F$33)+1,2)),1))*'IN_COST'!$D$10*'IN_COST'!$D$11*'ENG_SCEN'!$O$33,IF('IN_COST'!$E$33="SRV",SUM(INDEX('ENG_ALLOC'!$D$29:$P$58,(IFERROR(VALUE(MID('IN_COST'!$F$33,FIND(":",'IN_COST'!$F$33)+1,2)),1)-1)*6+1,12):INDEX('ENG_ALLOC'!$D$29:$P$58,IFERROR(VALUE(MID('IN_COST'!$F$33,FIND(":",'IN_COST'!$F$33)+1,2)),1)*6,12)),0)))))))))))*IF('IN_COST'!$E$33="DEP",'ENG_SCEN'!$G$16,IF('IN_COST'!$I$33="V",IF('IN_COST'!$E$33="SCRAP_LME",'ENG_SCEN'!$G$13,'ENG_SCEN'!$G$14),'ENG_SCEN'!$G$15))</f>
        <v/>
      </c>
      <c r="P47" s="33">
        <f>'IN_MACRO'!$P$34*IF('IN_COST'!$E$33="SCRAP_LME",'ENG_OPS'!$P$20*'IN_COST'!$F$33*'ENG_SCEN'!$P$37,IF('IN_COST'!$E$33="PER_TON_BATT",'ENG_OPS'!$P$20*'IN_COST'!$F$33*IF('IN_COST'!$G$33="FX",'ENG_SCEN'!$P$36,IF('IN_COST'!$G$33="PPI",'ENG_SCEN'!$P$35,IF('IN_COST'!$G$33="ENERGY",'ENG_SCEN'!$P$34,IF('IN_COST'!$G$33="WAGE",'ENG_SCEN'!$P$33,IF('IN_COST'!$G$33="CPI",'ENG_SCEN'!$P$32,1))))),IF('IN_COST'!$E$33="PER_TON_PROD",'ENG_OPS'!$P$43*'IN_COST'!$F$33*IF('IN_COST'!$G$33="FX",'ENG_SCEN'!$P$36,IF('IN_COST'!$G$33="PPI",'ENG_SCEN'!$P$35,IF('IN_COST'!$G$33="ENERGY",'ENG_SCEN'!$P$34,IF('IN_COST'!$G$33="WAGE",'ENG_SCEN'!$P$33,IF('IN_COST'!$G$33="CPI",'ENG_SCEN'!$P$32,1))))),IF('IN_COST'!$E$33="PER_KWH",'ENG_OPS'!$P$63*'IN_COST'!$F$33*IF('IN_COST'!$G$33="FX",'ENG_SCEN'!$P$36,IF('IN_COST'!$G$33="PPI",'ENG_SCEN'!$P$35,IF('IN_COST'!$G$33="ENERGY",'ENG_SCEN'!$P$34,IF('IN_COST'!$G$33="WAGE",'ENG_SCEN'!$P$33,IF('IN_COST'!$G$33="CPI",'ENG_SCEN'!$P$32,1))))),IF('IN_COST'!$E$33="PER_M3",'ENG_OPS'!$P$64*'IN_COST'!$F$33*IF('IN_COST'!$G$33="FX",'ENG_SCEN'!$P$36,IF('IN_COST'!$G$33="PPI",'ENG_SCEN'!$P$35,IF('IN_COST'!$G$33="ENERGY",'ENG_SCEN'!$P$34,IF('IN_COST'!$G$33="WAGE",'ENG_SCEN'!$P$33,IF('IN_COST'!$G$33="CPI",'ENG_SCEN'!$P$32,1))))),IF('IN_COST'!$E$33="ANNUAL",'IN_COST'!$F$33*IF('IN_COST'!$G$33="FX",'ENG_SCEN'!$P$36,IF('IN_COST'!$G$33="PPI",'ENG_SCEN'!$P$35,IF('IN_COST'!$G$33="ENERGY",'ENG_SCEN'!$P$34,IF('IN_COST'!$G$33="WAGE",'ENG_SCEN'!$P$33,IF('IN_COST'!$G$33="CPI",'ENG_SCEN'!$P$32,1))))),IF('IN_COST'!$E$33="PCT_REV",'ENG_OPS'!$P$81*'IN_COST'!$F$33,IF('IN_COST'!$E$33="PCT_ASSET",'ENG_CAPEX'!$P$84*'IN_COST'!$F$33,IF('IN_COST'!$E$33="DEP",'ENG_CAPEX'!$P$81,IF('IN_COST'!$E$33="PAY",INDEX('IN_COST'!$D$15:$D$19,IFERROR(VALUE(MID('IN_COST'!$F$33,FIND(":",'IN_COST'!$F$33)+1,2)),1))*INDEX('IN_COST'!$E$15:$E$19,IFERROR(VALUE(MID('IN_COST'!$F$33,FIND(":",'IN_COST'!$F$33)+1,2)),1))*'IN_COST'!$D$10*'IN_COST'!$D$11*'ENG_SCEN'!$P$33,IF('IN_COST'!$E$33="SRV",SUM(INDEX('ENG_ALLOC'!$D$29:$P$58,(IFERROR(VALUE(MID('IN_COST'!$F$33,FIND(":",'IN_COST'!$F$33)+1,2)),1)-1)*6+1,13):INDEX('ENG_ALLOC'!$D$29:$P$58,IFERROR(VALUE(MID('IN_COST'!$F$33,FIND(":",'IN_COST'!$F$33)+1,2)),1)*6,13)),0)))))))))))*IF('IN_COST'!$E$33="DEP",'ENG_SCEN'!$G$16,IF('IN_COST'!$I$33="V",IF('IN_COST'!$E$33="SCRAP_LME",'ENG_SCEN'!$G$13,'ENG_SCEN'!$G$14),'ENG_SCEN'!$G$15))</f>
        <v/>
      </c>
    </row>
    <row r="48">
      <c r="A48" s="15" t="inlineStr">
        <is>
          <t>DPC-02 | مواد مصرفی و واکنشگرها</t>
        </is>
      </c>
      <c r="B48" s="16" t="inlineStr">
        <is>
          <t>EC.tot.1</t>
        </is>
      </c>
      <c r="C48" s="17" t="inlineStr">
        <is>
          <t>میلیون ریال</t>
        </is>
      </c>
      <c r="D48" s="33">
        <f>'IN_MACRO'!$D$34*IF('IN_COST'!$E$34="SCRAP_LME",'ENG_OPS'!$D$20*'IN_COST'!$F$34*'ENG_SCEN'!$D$37,IF('IN_COST'!$E$34="PER_TON_BATT",'ENG_OPS'!$D$20*'IN_COST'!$F$34*IF('IN_COST'!$G$34="FX",'ENG_SCEN'!$D$36,IF('IN_COST'!$G$34="PPI",'ENG_SCEN'!$D$35,IF('IN_COST'!$G$34="ENERGY",'ENG_SCEN'!$D$34,IF('IN_COST'!$G$34="WAGE",'ENG_SCEN'!$D$33,IF('IN_COST'!$G$34="CPI",'ENG_SCEN'!$D$32,1))))),IF('IN_COST'!$E$34="PER_TON_PROD",'ENG_OPS'!$D$43*'IN_COST'!$F$34*IF('IN_COST'!$G$34="FX",'ENG_SCEN'!$D$36,IF('IN_COST'!$G$34="PPI",'ENG_SCEN'!$D$35,IF('IN_COST'!$G$34="ENERGY",'ENG_SCEN'!$D$34,IF('IN_COST'!$G$34="WAGE",'ENG_SCEN'!$D$33,IF('IN_COST'!$G$34="CPI",'ENG_SCEN'!$D$32,1))))),IF('IN_COST'!$E$34="PER_KWH",'ENG_OPS'!$D$63*'IN_COST'!$F$34*IF('IN_COST'!$G$34="FX",'ENG_SCEN'!$D$36,IF('IN_COST'!$G$34="PPI",'ENG_SCEN'!$D$35,IF('IN_COST'!$G$34="ENERGY",'ENG_SCEN'!$D$34,IF('IN_COST'!$G$34="WAGE",'ENG_SCEN'!$D$33,IF('IN_COST'!$G$34="CPI",'ENG_SCEN'!$D$32,1))))),IF('IN_COST'!$E$34="PER_M3",'ENG_OPS'!$D$64*'IN_COST'!$F$34*IF('IN_COST'!$G$34="FX",'ENG_SCEN'!$D$36,IF('IN_COST'!$G$34="PPI",'ENG_SCEN'!$D$35,IF('IN_COST'!$G$34="ENERGY",'ENG_SCEN'!$D$34,IF('IN_COST'!$G$34="WAGE",'ENG_SCEN'!$D$33,IF('IN_COST'!$G$34="CPI",'ENG_SCEN'!$D$32,1))))),IF('IN_COST'!$E$34="ANNUAL",'IN_COST'!$F$34*IF('IN_COST'!$G$34="FX",'ENG_SCEN'!$D$36,IF('IN_COST'!$G$34="PPI",'ENG_SCEN'!$D$35,IF('IN_COST'!$G$34="ENERGY",'ENG_SCEN'!$D$34,IF('IN_COST'!$G$34="WAGE",'ENG_SCEN'!$D$33,IF('IN_COST'!$G$34="CPI",'ENG_SCEN'!$D$32,1))))),IF('IN_COST'!$E$34="PCT_REV",'ENG_OPS'!$D$81*'IN_COST'!$F$34,IF('IN_COST'!$E$34="PCT_ASSET",'ENG_CAPEX'!$D$84*'IN_COST'!$F$34,IF('IN_COST'!$E$34="DEP",'ENG_CAPEX'!$D$81,IF('IN_COST'!$E$34="PAY",INDEX('IN_COST'!$D$15:$D$19,IFERROR(VALUE(MID('IN_COST'!$F$34,FIND(":",'IN_COST'!$F$34)+1,2)),1))*INDEX('IN_COST'!$E$15:$E$19,IFERROR(VALUE(MID('IN_COST'!$F$34,FIND(":",'IN_COST'!$F$34)+1,2)),1))*'IN_COST'!$D$10*'IN_COST'!$D$11*'ENG_SCEN'!$D$33,IF('IN_COST'!$E$34="SRV",SUM(INDEX('ENG_ALLOC'!$D$29:$P$58,(IFERROR(VALUE(MID('IN_COST'!$F$34,FIND(":",'IN_COST'!$F$34)+1,2)),1)-1)*6+1,1):INDEX('ENG_ALLOC'!$D$29:$P$58,IFERROR(VALUE(MID('IN_COST'!$F$34,FIND(":",'IN_COST'!$F$34)+1,2)),1)*6,1)),0)))))))))))*IF('IN_COST'!$E$34="DEP",'ENG_SCEN'!$G$16,IF('IN_COST'!$I$34="V",IF('IN_COST'!$E$34="SCRAP_LME",'ENG_SCEN'!$G$13,'ENG_SCEN'!$G$14),'ENG_SCEN'!$G$15))</f>
        <v/>
      </c>
      <c r="E48" s="33">
        <f>'IN_MACRO'!$E$34*IF('IN_COST'!$E$34="SCRAP_LME",'ENG_OPS'!$E$20*'IN_COST'!$F$34*'ENG_SCEN'!$E$37,IF('IN_COST'!$E$34="PER_TON_BATT",'ENG_OPS'!$E$20*'IN_COST'!$F$34*IF('IN_COST'!$G$34="FX",'ENG_SCEN'!$E$36,IF('IN_COST'!$G$34="PPI",'ENG_SCEN'!$E$35,IF('IN_COST'!$G$34="ENERGY",'ENG_SCEN'!$E$34,IF('IN_COST'!$G$34="WAGE",'ENG_SCEN'!$E$33,IF('IN_COST'!$G$34="CPI",'ENG_SCEN'!$E$32,1))))),IF('IN_COST'!$E$34="PER_TON_PROD",'ENG_OPS'!$E$43*'IN_COST'!$F$34*IF('IN_COST'!$G$34="FX",'ENG_SCEN'!$E$36,IF('IN_COST'!$G$34="PPI",'ENG_SCEN'!$E$35,IF('IN_COST'!$G$34="ENERGY",'ENG_SCEN'!$E$34,IF('IN_COST'!$G$34="WAGE",'ENG_SCEN'!$E$33,IF('IN_COST'!$G$34="CPI",'ENG_SCEN'!$E$32,1))))),IF('IN_COST'!$E$34="PER_KWH",'ENG_OPS'!$E$63*'IN_COST'!$F$34*IF('IN_COST'!$G$34="FX",'ENG_SCEN'!$E$36,IF('IN_COST'!$G$34="PPI",'ENG_SCEN'!$E$35,IF('IN_COST'!$G$34="ENERGY",'ENG_SCEN'!$E$34,IF('IN_COST'!$G$34="WAGE",'ENG_SCEN'!$E$33,IF('IN_COST'!$G$34="CPI",'ENG_SCEN'!$E$32,1))))),IF('IN_COST'!$E$34="PER_M3",'ENG_OPS'!$E$64*'IN_COST'!$F$34*IF('IN_COST'!$G$34="FX",'ENG_SCEN'!$E$36,IF('IN_COST'!$G$34="PPI",'ENG_SCEN'!$E$35,IF('IN_COST'!$G$34="ENERGY",'ENG_SCEN'!$E$34,IF('IN_COST'!$G$34="WAGE",'ENG_SCEN'!$E$33,IF('IN_COST'!$G$34="CPI",'ENG_SCEN'!$E$32,1))))),IF('IN_COST'!$E$34="ANNUAL",'IN_COST'!$F$34*IF('IN_COST'!$G$34="FX",'ENG_SCEN'!$E$36,IF('IN_COST'!$G$34="PPI",'ENG_SCEN'!$E$35,IF('IN_COST'!$G$34="ENERGY",'ENG_SCEN'!$E$34,IF('IN_COST'!$G$34="WAGE",'ENG_SCEN'!$E$33,IF('IN_COST'!$G$34="CPI",'ENG_SCEN'!$E$32,1))))),IF('IN_COST'!$E$34="PCT_REV",'ENG_OPS'!$E$81*'IN_COST'!$F$34,IF('IN_COST'!$E$34="PCT_ASSET",'ENG_CAPEX'!$E$84*'IN_COST'!$F$34,IF('IN_COST'!$E$34="DEP",'ENG_CAPEX'!$E$81,IF('IN_COST'!$E$34="PAY",INDEX('IN_COST'!$D$15:$D$19,IFERROR(VALUE(MID('IN_COST'!$F$34,FIND(":",'IN_COST'!$F$34)+1,2)),1))*INDEX('IN_COST'!$E$15:$E$19,IFERROR(VALUE(MID('IN_COST'!$F$34,FIND(":",'IN_COST'!$F$34)+1,2)),1))*'IN_COST'!$D$10*'IN_COST'!$D$11*'ENG_SCEN'!$E$33,IF('IN_COST'!$E$34="SRV",SUM(INDEX('ENG_ALLOC'!$D$29:$P$58,(IFERROR(VALUE(MID('IN_COST'!$F$34,FIND(":",'IN_COST'!$F$34)+1,2)),1)-1)*6+1,2):INDEX('ENG_ALLOC'!$D$29:$P$58,IFERROR(VALUE(MID('IN_COST'!$F$34,FIND(":",'IN_COST'!$F$34)+1,2)),1)*6,2)),0)))))))))))*IF('IN_COST'!$E$34="DEP",'ENG_SCEN'!$G$16,IF('IN_COST'!$I$34="V",IF('IN_COST'!$E$34="SCRAP_LME",'ENG_SCEN'!$G$13,'ENG_SCEN'!$G$14),'ENG_SCEN'!$G$15))</f>
        <v/>
      </c>
      <c r="F48" s="33">
        <f>'IN_MACRO'!$F$34*IF('IN_COST'!$E$34="SCRAP_LME",'ENG_OPS'!$F$20*'IN_COST'!$F$34*'ENG_SCEN'!$F$37,IF('IN_COST'!$E$34="PER_TON_BATT",'ENG_OPS'!$F$20*'IN_COST'!$F$34*IF('IN_COST'!$G$34="FX",'ENG_SCEN'!$F$36,IF('IN_COST'!$G$34="PPI",'ENG_SCEN'!$F$35,IF('IN_COST'!$G$34="ENERGY",'ENG_SCEN'!$F$34,IF('IN_COST'!$G$34="WAGE",'ENG_SCEN'!$F$33,IF('IN_COST'!$G$34="CPI",'ENG_SCEN'!$F$32,1))))),IF('IN_COST'!$E$34="PER_TON_PROD",'ENG_OPS'!$F$43*'IN_COST'!$F$34*IF('IN_COST'!$G$34="FX",'ENG_SCEN'!$F$36,IF('IN_COST'!$G$34="PPI",'ENG_SCEN'!$F$35,IF('IN_COST'!$G$34="ENERGY",'ENG_SCEN'!$F$34,IF('IN_COST'!$G$34="WAGE",'ENG_SCEN'!$F$33,IF('IN_COST'!$G$34="CPI",'ENG_SCEN'!$F$32,1))))),IF('IN_COST'!$E$34="PER_KWH",'ENG_OPS'!$F$63*'IN_COST'!$F$34*IF('IN_COST'!$G$34="FX",'ENG_SCEN'!$F$36,IF('IN_COST'!$G$34="PPI",'ENG_SCEN'!$F$35,IF('IN_COST'!$G$34="ENERGY",'ENG_SCEN'!$F$34,IF('IN_COST'!$G$34="WAGE",'ENG_SCEN'!$F$33,IF('IN_COST'!$G$34="CPI",'ENG_SCEN'!$F$32,1))))),IF('IN_COST'!$E$34="PER_M3",'ENG_OPS'!$F$64*'IN_COST'!$F$34*IF('IN_COST'!$G$34="FX",'ENG_SCEN'!$F$36,IF('IN_COST'!$G$34="PPI",'ENG_SCEN'!$F$35,IF('IN_COST'!$G$34="ENERGY",'ENG_SCEN'!$F$34,IF('IN_COST'!$G$34="WAGE",'ENG_SCEN'!$F$33,IF('IN_COST'!$G$34="CPI",'ENG_SCEN'!$F$32,1))))),IF('IN_COST'!$E$34="ANNUAL",'IN_COST'!$F$34*IF('IN_COST'!$G$34="FX",'ENG_SCEN'!$F$36,IF('IN_COST'!$G$34="PPI",'ENG_SCEN'!$F$35,IF('IN_COST'!$G$34="ENERGY",'ENG_SCEN'!$F$34,IF('IN_COST'!$G$34="WAGE",'ENG_SCEN'!$F$33,IF('IN_COST'!$G$34="CPI",'ENG_SCEN'!$F$32,1))))),IF('IN_COST'!$E$34="PCT_REV",'ENG_OPS'!$F$81*'IN_COST'!$F$34,IF('IN_COST'!$E$34="PCT_ASSET",'ENG_CAPEX'!$F$84*'IN_COST'!$F$34,IF('IN_COST'!$E$34="DEP",'ENG_CAPEX'!$F$81,IF('IN_COST'!$E$34="PAY",INDEX('IN_COST'!$D$15:$D$19,IFERROR(VALUE(MID('IN_COST'!$F$34,FIND(":",'IN_COST'!$F$34)+1,2)),1))*INDEX('IN_COST'!$E$15:$E$19,IFERROR(VALUE(MID('IN_COST'!$F$34,FIND(":",'IN_COST'!$F$34)+1,2)),1))*'IN_COST'!$D$10*'IN_COST'!$D$11*'ENG_SCEN'!$F$33,IF('IN_COST'!$E$34="SRV",SUM(INDEX('ENG_ALLOC'!$D$29:$P$58,(IFERROR(VALUE(MID('IN_COST'!$F$34,FIND(":",'IN_COST'!$F$34)+1,2)),1)-1)*6+1,3):INDEX('ENG_ALLOC'!$D$29:$P$58,IFERROR(VALUE(MID('IN_COST'!$F$34,FIND(":",'IN_COST'!$F$34)+1,2)),1)*6,3)),0)))))))))))*IF('IN_COST'!$E$34="DEP",'ENG_SCEN'!$G$16,IF('IN_COST'!$I$34="V",IF('IN_COST'!$E$34="SCRAP_LME",'ENG_SCEN'!$G$13,'ENG_SCEN'!$G$14),'ENG_SCEN'!$G$15))</f>
        <v/>
      </c>
      <c r="G48" s="33">
        <f>'IN_MACRO'!$G$34*IF('IN_COST'!$E$34="SCRAP_LME",'ENG_OPS'!$G$20*'IN_COST'!$F$34*'ENG_SCEN'!$G$37,IF('IN_COST'!$E$34="PER_TON_BATT",'ENG_OPS'!$G$20*'IN_COST'!$F$34*IF('IN_COST'!$G$34="FX",'ENG_SCEN'!$G$36,IF('IN_COST'!$G$34="PPI",'ENG_SCEN'!$G$35,IF('IN_COST'!$G$34="ENERGY",'ENG_SCEN'!$G$34,IF('IN_COST'!$G$34="WAGE",'ENG_SCEN'!$G$33,IF('IN_COST'!$G$34="CPI",'ENG_SCEN'!$G$32,1))))),IF('IN_COST'!$E$34="PER_TON_PROD",'ENG_OPS'!$G$43*'IN_COST'!$F$34*IF('IN_COST'!$G$34="FX",'ENG_SCEN'!$G$36,IF('IN_COST'!$G$34="PPI",'ENG_SCEN'!$G$35,IF('IN_COST'!$G$34="ENERGY",'ENG_SCEN'!$G$34,IF('IN_COST'!$G$34="WAGE",'ENG_SCEN'!$G$33,IF('IN_COST'!$G$34="CPI",'ENG_SCEN'!$G$32,1))))),IF('IN_COST'!$E$34="PER_KWH",'ENG_OPS'!$G$63*'IN_COST'!$F$34*IF('IN_COST'!$G$34="FX",'ENG_SCEN'!$G$36,IF('IN_COST'!$G$34="PPI",'ENG_SCEN'!$G$35,IF('IN_COST'!$G$34="ENERGY",'ENG_SCEN'!$G$34,IF('IN_COST'!$G$34="WAGE",'ENG_SCEN'!$G$33,IF('IN_COST'!$G$34="CPI",'ENG_SCEN'!$G$32,1))))),IF('IN_COST'!$E$34="PER_M3",'ENG_OPS'!$G$64*'IN_COST'!$F$34*IF('IN_COST'!$G$34="FX",'ENG_SCEN'!$G$36,IF('IN_COST'!$G$34="PPI",'ENG_SCEN'!$G$35,IF('IN_COST'!$G$34="ENERGY",'ENG_SCEN'!$G$34,IF('IN_COST'!$G$34="WAGE",'ENG_SCEN'!$G$33,IF('IN_COST'!$G$34="CPI",'ENG_SCEN'!$G$32,1))))),IF('IN_COST'!$E$34="ANNUAL",'IN_COST'!$F$34*IF('IN_COST'!$G$34="FX",'ENG_SCEN'!$G$36,IF('IN_COST'!$G$34="PPI",'ENG_SCEN'!$G$35,IF('IN_COST'!$G$34="ENERGY",'ENG_SCEN'!$G$34,IF('IN_COST'!$G$34="WAGE",'ENG_SCEN'!$G$33,IF('IN_COST'!$G$34="CPI",'ENG_SCEN'!$G$32,1))))),IF('IN_COST'!$E$34="PCT_REV",'ENG_OPS'!$G$81*'IN_COST'!$F$34,IF('IN_COST'!$E$34="PCT_ASSET",'ENG_CAPEX'!$G$84*'IN_COST'!$F$34,IF('IN_COST'!$E$34="DEP",'ENG_CAPEX'!$G$81,IF('IN_COST'!$E$34="PAY",INDEX('IN_COST'!$D$15:$D$19,IFERROR(VALUE(MID('IN_COST'!$F$34,FIND(":",'IN_COST'!$F$34)+1,2)),1))*INDEX('IN_COST'!$E$15:$E$19,IFERROR(VALUE(MID('IN_COST'!$F$34,FIND(":",'IN_COST'!$F$34)+1,2)),1))*'IN_COST'!$D$10*'IN_COST'!$D$11*'ENG_SCEN'!$G$33,IF('IN_COST'!$E$34="SRV",SUM(INDEX('ENG_ALLOC'!$D$29:$P$58,(IFERROR(VALUE(MID('IN_COST'!$F$34,FIND(":",'IN_COST'!$F$34)+1,2)),1)-1)*6+1,4):INDEX('ENG_ALLOC'!$D$29:$P$58,IFERROR(VALUE(MID('IN_COST'!$F$34,FIND(":",'IN_COST'!$F$34)+1,2)),1)*6,4)),0)))))))))))*IF('IN_COST'!$E$34="DEP",'ENG_SCEN'!$G$16,IF('IN_COST'!$I$34="V",IF('IN_COST'!$E$34="SCRAP_LME",'ENG_SCEN'!$G$13,'ENG_SCEN'!$G$14),'ENG_SCEN'!$G$15))</f>
        <v/>
      </c>
      <c r="H48" s="33">
        <f>'IN_MACRO'!$H$34*IF('IN_COST'!$E$34="SCRAP_LME",'ENG_OPS'!$H$20*'IN_COST'!$F$34*'ENG_SCEN'!$H$37,IF('IN_COST'!$E$34="PER_TON_BATT",'ENG_OPS'!$H$20*'IN_COST'!$F$34*IF('IN_COST'!$G$34="FX",'ENG_SCEN'!$H$36,IF('IN_COST'!$G$34="PPI",'ENG_SCEN'!$H$35,IF('IN_COST'!$G$34="ENERGY",'ENG_SCEN'!$H$34,IF('IN_COST'!$G$34="WAGE",'ENG_SCEN'!$H$33,IF('IN_COST'!$G$34="CPI",'ENG_SCEN'!$H$32,1))))),IF('IN_COST'!$E$34="PER_TON_PROD",'ENG_OPS'!$H$43*'IN_COST'!$F$34*IF('IN_COST'!$G$34="FX",'ENG_SCEN'!$H$36,IF('IN_COST'!$G$34="PPI",'ENG_SCEN'!$H$35,IF('IN_COST'!$G$34="ENERGY",'ENG_SCEN'!$H$34,IF('IN_COST'!$G$34="WAGE",'ENG_SCEN'!$H$33,IF('IN_COST'!$G$34="CPI",'ENG_SCEN'!$H$32,1))))),IF('IN_COST'!$E$34="PER_KWH",'ENG_OPS'!$H$63*'IN_COST'!$F$34*IF('IN_COST'!$G$34="FX",'ENG_SCEN'!$H$36,IF('IN_COST'!$G$34="PPI",'ENG_SCEN'!$H$35,IF('IN_COST'!$G$34="ENERGY",'ENG_SCEN'!$H$34,IF('IN_COST'!$G$34="WAGE",'ENG_SCEN'!$H$33,IF('IN_COST'!$G$34="CPI",'ENG_SCEN'!$H$32,1))))),IF('IN_COST'!$E$34="PER_M3",'ENG_OPS'!$H$64*'IN_COST'!$F$34*IF('IN_COST'!$G$34="FX",'ENG_SCEN'!$H$36,IF('IN_COST'!$G$34="PPI",'ENG_SCEN'!$H$35,IF('IN_COST'!$G$34="ENERGY",'ENG_SCEN'!$H$34,IF('IN_COST'!$G$34="WAGE",'ENG_SCEN'!$H$33,IF('IN_COST'!$G$34="CPI",'ENG_SCEN'!$H$32,1))))),IF('IN_COST'!$E$34="ANNUAL",'IN_COST'!$F$34*IF('IN_COST'!$G$34="FX",'ENG_SCEN'!$H$36,IF('IN_COST'!$G$34="PPI",'ENG_SCEN'!$H$35,IF('IN_COST'!$G$34="ENERGY",'ENG_SCEN'!$H$34,IF('IN_COST'!$G$34="WAGE",'ENG_SCEN'!$H$33,IF('IN_COST'!$G$34="CPI",'ENG_SCEN'!$H$32,1))))),IF('IN_COST'!$E$34="PCT_REV",'ENG_OPS'!$H$81*'IN_COST'!$F$34,IF('IN_COST'!$E$34="PCT_ASSET",'ENG_CAPEX'!$H$84*'IN_COST'!$F$34,IF('IN_COST'!$E$34="DEP",'ENG_CAPEX'!$H$81,IF('IN_COST'!$E$34="PAY",INDEX('IN_COST'!$D$15:$D$19,IFERROR(VALUE(MID('IN_COST'!$F$34,FIND(":",'IN_COST'!$F$34)+1,2)),1))*INDEX('IN_COST'!$E$15:$E$19,IFERROR(VALUE(MID('IN_COST'!$F$34,FIND(":",'IN_COST'!$F$34)+1,2)),1))*'IN_COST'!$D$10*'IN_COST'!$D$11*'ENG_SCEN'!$H$33,IF('IN_COST'!$E$34="SRV",SUM(INDEX('ENG_ALLOC'!$D$29:$P$58,(IFERROR(VALUE(MID('IN_COST'!$F$34,FIND(":",'IN_COST'!$F$34)+1,2)),1)-1)*6+1,5):INDEX('ENG_ALLOC'!$D$29:$P$58,IFERROR(VALUE(MID('IN_COST'!$F$34,FIND(":",'IN_COST'!$F$34)+1,2)),1)*6,5)),0)))))))))))*IF('IN_COST'!$E$34="DEP",'ENG_SCEN'!$G$16,IF('IN_COST'!$I$34="V",IF('IN_COST'!$E$34="SCRAP_LME",'ENG_SCEN'!$G$13,'ENG_SCEN'!$G$14),'ENG_SCEN'!$G$15))</f>
        <v/>
      </c>
      <c r="I48" s="33">
        <f>'IN_MACRO'!$I$34*IF('IN_COST'!$E$34="SCRAP_LME",'ENG_OPS'!$I$20*'IN_COST'!$F$34*'ENG_SCEN'!$I$37,IF('IN_COST'!$E$34="PER_TON_BATT",'ENG_OPS'!$I$20*'IN_COST'!$F$34*IF('IN_COST'!$G$34="FX",'ENG_SCEN'!$I$36,IF('IN_COST'!$G$34="PPI",'ENG_SCEN'!$I$35,IF('IN_COST'!$G$34="ENERGY",'ENG_SCEN'!$I$34,IF('IN_COST'!$G$34="WAGE",'ENG_SCEN'!$I$33,IF('IN_COST'!$G$34="CPI",'ENG_SCEN'!$I$32,1))))),IF('IN_COST'!$E$34="PER_TON_PROD",'ENG_OPS'!$I$43*'IN_COST'!$F$34*IF('IN_COST'!$G$34="FX",'ENG_SCEN'!$I$36,IF('IN_COST'!$G$34="PPI",'ENG_SCEN'!$I$35,IF('IN_COST'!$G$34="ENERGY",'ENG_SCEN'!$I$34,IF('IN_COST'!$G$34="WAGE",'ENG_SCEN'!$I$33,IF('IN_COST'!$G$34="CPI",'ENG_SCEN'!$I$32,1))))),IF('IN_COST'!$E$34="PER_KWH",'ENG_OPS'!$I$63*'IN_COST'!$F$34*IF('IN_COST'!$G$34="FX",'ENG_SCEN'!$I$36,IF('IN_COST'!$G$34="PPI",'ENG_SCEN'!$I$35,IF('IN_COST'!$G$34="ENERGY",'ENG_SCEN'!$I$34,IF('IN_COST'!$G$34="WAGE",'ENG_SCEN'!$I$33,IF('IN_COST'!$G$34="CPI",'ENG_SCEN'!$I$32,1))))),IF('IN_COST'!$E$34="PER_M3",'ENG_OPS'!$I$64*'IN_COST'!$F$34*IF('IN_COST'!$G$34="FX",'ENG_SCEN'!$I$36,IF('IN_COST'!$G$34="PPI",'ENG_SCEN'!$I$35,IF('IN_COST'!$G$34="ENERGY",'ENG_SCEN'!$I$34,IF('IN_COST'!$G$34="WAGE",'ENG_SCEN'!$I$33,IF('IN_COST'!$G$34="CPI",'ENG_SCEN'!$I$32,1))))),IF('IN_COST'!$E$34="ANNUAL",'IN_COST'!$F$34*IF('IN_COST'!$G$34="FX",'ENG_SCEN'!$I$36,IF('IN_COST'!$G$34="PPI",'ENG_SCEN'!$I$35,IF('IN_COST'!$G$34="ENERGY",'ENG_SCEN'!$I$34,IF('IN_COST'!$G$34="WAGE",'ENG_SCEN'!$I$33,IF('IN_COST'!$G$34="CPI",'ENG_SCEN'!$I$32,1))))),IF('IN_COST'!$E$34="PCT_REV",'ENG_OPS'!$I$81*'IN_COST'!$F$34,IF('IN_COST'!$E$34="PCT_ASSET",'ENG_CAPEX'!$I$84*'IN_COST'!$F$34,IF('IN_COST'!$E$34="DEP",'ENG_CAPEX'!$I$81,IF('IN_COST'!$E$34="PAY",INDEX('IN_COST'!$D$15:$D$19,IFERROR(VALUE(MID('IN_COST'!$F$34,FIND(":",'IN_COST'!$F$34)+1,2)),1))*INDEX('IN_COST'!$E$15:$E$19,IFERROR(VALUE(MID('IN_COST'!$F$34,FIND(":",'IN_COST'!$F$34)+1,2)),1))*'IN_COST'!$D$10*'IN_COST'!$D$11*'ENG_SCEN'!$I$33,IF('IN_COST'!$E$34="SRV",SUM(INDEX('ENG_ALLOC'!$D$29:$P$58,(IFERROR(VALUE(MID('IN_COST'!$F$34,FIND(":",'IN_COST'!$F$34)+1,2)),1)-1)*6+1,6):INDEX('ENG_ALLOC'!$D$29:$P$58,IFERROR(VALUE(MID('IN_COST'!$F$34,FIND(":",'IN_COST'!$F$34)+1,2)),1)*6,6)),0)))))))))))*IF('IN_COST'!$E$34="DEP",'ENG_SCEN'!$G$16,IF('IN_COST'!$I$34="V",IF('IN_COST'!$E$34="SCRAP_LME",'ENG_SCEN'!$G$13,'ENG_SCEN'!$G$14),'ENG_SCEN'!$G$15))</f>
        <v/>
      </c>
      <c r="J48" s="33">
        <f>'IN_MACRO'!$J$34*IF('IN_COST'!$E$34="SCRAP_LME",'ENG_OPS'!$J$20*'IN_COST'!$F$34*'ENG_SCEN'!$J$37,IF('IN_COST'!$E$34="PER_TON_BATT",'ENG_OPS'!$J$20*'IN_COST'!$F$34*IF('IN_COST'!$G$34="FX",'ENG_SCEN'!$J$36,IF('IN_COST'!$G$34="PPI",'ENG_SCEN'!$J$35,IF('IN_COST'!$G$34="ENERGY",'ENG_SCEN'!$J$34,IF('IN_COST'!$G$34="WAGE",'ENG_SCEN'!$J$33,IF('IN_COST'!$G$34="CPI",'ENG_SCEN'!$J$32,1))))),IF('IN_COST'!$E$34="PER_TON_PROD",'ENG_OPS'!$J$43*'IN_COST'!$F$34*IF('IN_COST'!$G$34="FX",'ENG_SCEN'!$J$36,IF('IN_COST'!$G$34="PPI",'ENG_SCEN'!$J$35,IF('IN_COST'!$G$34="ENERGY",'ENG_SCEN'!$J$34,IF('IN_COST'!$G$34="WAGE",'ENG_SCEN'!$J$33,IF('IN_COST'!$G$34="CPI",'ENG_SCEN'!$J$32,1))))),IF('IN_COST'!$E$34="PER_KWH",'ENG_OPS'!$J$63*'IN_COST'!$F$34*IF('IN_COST'!$G$34="FX",'ENG_SCEN'!$J$36,IF('IN_COST'!$G$34="PPI",'ENG_SCEN'!$J$35,IF('IN_COST'!$G$34="ENERGY",'ENG_SCEN'!$J$34,IF('IN_COST'!$G$34="WAGE",'ENG_SCEN'!$J$33,IF('IN_COST'!$G$34="CPI",'ENG_SCEN'!$J$32,1))))),IF('IN_COST'!$E$34="PER_M3",'ENG_OPS'!$J$64*'IN_COST'!$F$34*IF('IN_COST'!$G$34="FX",'ENG_SCEN'!$J$36,IF('IN_COST'!$G$34="PPI",'ENG_SCEN'!$J$35,IF('IN_COST'!$G$34="ENERGY",'ENG_SCEN'!$J$34,IF('IN_COST'!$G$34="WAGE",'ENG_SCEN'!$J$33,IF('IN_COST'!$G$34="CPI",'ENG_SCEN'!$J$32,1))))),IF('IN_COST'!$E$34="ANNUAL",'IN_COST'!$F$34*IF('IN_COST'!$G$34="FX",'ENG_SCEN'!$J$36,IF('IN_COST'!$G$34="PPI",'ENG_SCEN'!$J$35,IF('IN_COST'!$G$34="ENERGY",'ENG_SCEN'!$J$34,IF('IN_COST'!$G$34="WAGE",'ENG_SCEN'!$J$33,IF('IN_COST'!$G$34="CPI",'ENG_SCEN'!$J$32,1))))),IF('IN_COST'!$E$34="PCT_REV",'ENG_OPS'!$J$81*'IN_COST'!$F$34,IF('IN_COST'!$E$34="PCT_ASSET",'ENG_CAPEX'!$J$84*'IN_COST'!$F$34,IF('IN_COST'!$E$34="DEP",'ENG_CAPEX'!$J$81,IF('IN_COST'!$E$34="PAY",INDEX('IN_COST'!$D$15:$D$19,IFERROR(VALUE(MID('IN_COST'!$F$34,FIND(":",'IN_COST'!$F$34)+1,2)),1))*INDEX('IN_COST'!$E$15:$E$19,IFERROR(VALUE(MID('IN_COST'!$F$34,FIND(":",'IN_COST'!$F$34)+1,2)),1))*'IN_COST'!$D$10*'IN_COST'!$D$11*'ENG_SCEN'!$J$33,IF('IN_COST'!$E$34="SRV",SUM(INDEX('ENG_ALLOC'!$D$29:$P$58,(IFERROR(VALUE(MID('IN_COST'!$F$34,FIND(":",'IN_COST'!$F$34)+1,2)),1)-1)*6+1,7):INDEX('ENG_ALLOC'!$D$29:$P$58,IFERROR(VALUE(MID('IN_COST'!$F$34,FIND(":",'IN_COST'!$F$34)+1,2)),1)*6,7)),0)))))))))))*IF('IN_COST'!$E$34="DEP",'ENG_SCEN'!$G$16,IF('IN_COST'!$I$34="V",IF('IN_COST'!$E$34="SCRAP_LME",'ENG_SCEN'!$G$13,'ENG_SCEN'!$G$14),'ENG_SCEN'!$G$15))</f>
        <v/>
      </c>
      <c r="K48" s="33">
        <f>'IN_MACRO'!$K$34*IF('IN_COST'!$E$34="SCRAP_LME",'ENG_OPS'!$K$20*'IN_COST'!$F$34*'ENG_SCEN'!$K$37,IF('IN_COST'!$E$34="PER_TON_BATT",'ENG_OPS'!$K$20*'IN_COST'!$F$34*IF('IN_COST'!$G$34="FX",'ENG_SCEN'!$K$36,IF('IN_COST'!$G$34="PPI",'ENG_SCEN'!$K$35,IF('IN_COST'!$G$34="ENERGY",'ENG_SCEN'!$K$34,IF('IN_COST'!$G$34="WAGE",'ENG_SCEN'!$K$33,IF('IN_COST'!$G$34="CPI",'ENG_SCEN'!$K$32,1))))),IF('IN_COST'!$E$34="PER_TON_PROD",'ENG_OPS'!$K$43*'IN_COST'!$F$34*IF('IN_COST'!$G$34="FX",'ENG_SCEN'!$K$36,IF('IN_COST'!$G$34="PPI",'ENG_SCEN'!$K$35,IF('IN_COST'!$G$34="ENERGY",'ENG_SCEN'!$K$34,IF('IN_COST'!$G$34="WAGE",'ENG_SCEN'!$K$33,IF('IN_COST'!$G$34="CPI",'ENG_SCEN'!$K$32,1))))),IF('IN_COST'!$E$34="PER_KWH",'ENG_OPS'!$K$63*'IN_COST'!$F$34*IF('IN_COST'!$G$34="FX",'ENG_SCEN'!$K$36,IF('IN_COST'!$G$34="PPI",'ENG_SCEN'!$K$35,IF('IN_COST'!$G$34="ENERGY",'ENG_SCEN'!$K$34,IF('IN_COST'!$G$34="WAGE",'ENG_SCEN'!$K$33,IF('IN_COST'!$G$34="CPI",'ENG_SCEN'!$K$32,1))))),IF('IN_COST'!$E$34="PER_M3",'ENG_OPS'!$K$64*'IN_COST'!$F$34*IF('IN_COST'!$G$34="FX",'ENG_SCEN'!$K$36,IF('IN_COST'!$G$34="PPI",'ENG_SCEN'!$K$35,IF('IN_COST'!$G$34="ENERGY",'ENG_SCEN'!$K$34,IF('IN_COST'!$G$34="WAGE",'ENG_SCEN'!$K$33,IF('IN_COST'!$G$34="CPI",'ENG_SCEN'!$K$32,1))))),IF('IN_COST'!$E$34="ANNUAL",'IN_COST'!$F$34*IF('IN_COST'!$G$34="FX",'ENG_SCEN'!$K$36,IF('IN_COST'!$G$34="PPI",'ENG_SCEN'!$K$35,IF('IN_COST'!$G$34="ENERGY",'ENG_SCEN'!$K$34,IF('IN_COST'!$G$34="WAGE",'ENG_SCEN'!$K$33,IF('IN_COST'!$G$34="CPI",'ENG_SCEN'!$K$32,1))))),IF('IN_COST'!$E$34="PCT_REV",'ENG_OPS'!$K$81*'IN_COST'!$F$34,IF('IN_COST'!$E$34="PCT_ASSET",'ENG_CAPEX'!$K$84*'IN_COST'!$F$34,IF('IN_COST'!$E$34="DEP",'ENG_CAPEX'!$K$81,IF('IN_COST'!$E$34="PAY",INDEX('IN_COST'!$D$15:$D$19,IFERROR(VALUE(MID('IN_COST'!$F$34,FIND(":",'IN_COST'!$F$34)+1,2)),1))*INDEX('IN_COST'!$E$15:$E$19,IFERROR(VALUE(MID('IN_COST'!$F$34,FIND(":",'IN_COST'!$F$34)+1,2)),1))*'IN_COST'!$D$10*'IN_COST'!$D$11*'ENG_SCEN'!$K$33,IF('IN_COST'!$E$34="SRV",SUM(INDEX('ENG_ALLOC'!$D$29:$P$58,(IFERROR(VALUE(MID('IN_COST'!$F$34,FIND(":",'IN_COST'!$F$34)+1,2)),1)-1)*6+1,8):INDEX('ENG_ALLOC'!$D$29:$P$58,IFERROR(VALUE(MID('IN_COST'!$F$34,FIND(":",'IN_COST'!$F$34)+1,2)),1)*6,8)),0)))))))))))*IF('IN_COST'!$E$34="DEP",'ENG_SCEN'!$G$16,IF('IN_COST'!$I$34="V",IF('IN_COST'!$E$34="SCRAP_LME",'ENG_SCEN'!$G$13,'ENG_SCEN'!$G$14),'ENG_SCEN'!$G$15))</f>
        <v/>
      </c>
      <c r="L48" s="33">
        <f>'IN_MACRO'!$L$34*IF('IN_COST'!$E$34="SCRAP_LME",'ENG_OPS'!$L$20*'IN_COST'!$F$34*'ENG_SCEN'!$L$37,IF('IN_COST'!$E$34="PER_TON_BATT",'ENG_OPS'!$L$20*'IN_COST'!$F$34*IF('IN_COST'!$G$34="FX",'ENG_SCEN'!$L$36,IF('IN_COST'!$G$34="PPI",'ENG_SCEN'!$L$35,IF('IN_COST'!$G$34="ENERGY",'ENG_SCEN'!$L$34,IF('IN_COST'!$G$34="WAGE",'ENG_SCEN'!$L$33,IF('IN_COST'!$G$34="CPI",'ENG_SCEN'!$L$32,1))))),IF('IN_COST'!$E$34="PER_TON_PROD",'ENG_OPS'!$L$43*'IN_COST'!$F$34*IF('IN_COST'!$G$34="FX",'ENG_SCEN'!$L$36,IF('IN_COST'!$G$34="PPI",'ENG_SCEN'!$L$35,IF('IN_COST'!$G$34="ENERGY",'ENG_SCEN'!$L$34,IF('IN_COST'!$G$34="WAGE",'ENG_SCEN'!$L$33,IF('IN_COST'!$G$34="CPI",'ENG_SCEN'!$L$32,1))))),IF('IN_COST'!$E$34="PER_KWH",'ENG_OPS'!$L$63*'IN_COST'!$F$34*IF('IN_COST'!$G$34="FX",'ENG_SCEN'!$L$36,IF('IN_COST'!$G$34="PPI",'ENG_SCEN'!$L$35,IF('IN_COST'!$G$34="ENERGY",'ENG_SCEN'!$L$34,IF('IN_COST'!$G$34="WAGE",'ENG_SCEN'!$L$33,IF('IN_COST'!$G$34="CPI",'ENG_SCEN'!$L$32,1))))),IF('IN_COST'!$E$34="PER_M3",'ENG_OPS'!$L$64*'IN_COST'!$F$34*IF('IN_COST'!$G$34="FX",'ENG_SCEN'!$L$36,IF('IN_COST'!$G$34="PPI",'ENG_SCEN'!$L$35,IF('IN_COST'!$G$34="ENERGY",'ENG_SCEN'!$L$34,IF('IN_COST'!$G$34="WAGE",'ENG_SCEN'!$L$33,IF('IN_COST'!$G$34="CPI",'ENG_SCEN'!$L$32,1))))),IF('IN_COST'!$E$34="ANNUAL",'IN_COST'!$F$34*IF('IN_COST'!$G$34="FX",'ENG_SCEN'!$L$36,IF('IN_COST'!$G$34="PPI",'ENG_SCEN'!$L$35,IF('IN_COST'!$G$34="ENERGY",'ENG_SCEN'!$L$34,IF('IN_COST'!$G$34="WAGE",'ENG_SCEN'!$L$33,IF('IN_COST'!$G$34="CPI",'ENG_SCEN'!$L$32,1))))),IF('IN_COST'!$E$34="PCT_REV",'ENG_OPS'!$L$81*'IN_COST'!$F$34,IF('IN_COST'!$E$34="PCT_ASSET",'ENG_CAPEX'!$L$84*'IN_COST'!$F$34,IF('IN_COST'!$E$34="DEP",'ENG_CAPEX'!$L$81,IF('IN_COST'!$E$34="PAY",INDEX('IN_COST'!$D$15:$D$19,IFERROR(VALUE(MID('IN_COST'!$F$34,FIND(":",'IN_COST'!$F$34)+1,2)),1))*INDEX('IN_COST'!$E$15:$E$19,IFERROR(VALUE(MID('IN_COST'!$F$34,FIND(":",'IN_COST'!$F$34)+1,2)),1))*'IN_COST'!$D$10*'IN_COST'!$D$11*'ENG_SCEN'!$L$33,IF('IN_COST'!$E$34="SRV",SUM(INDEX('ENG_ALLOC'!$D$29:$P$58,(IFERROR(VALUE(MID('IN_COST'!$F$34,FIND(":",'IN_COST'!$F$34)+1,2)),1)-1)*6+1,9):INDEX('ENG_ALLOC'!$D$29:$P$58,IFERROR(VALUE(MID('IN_COST'!$F$34,FIND(":",'IN_COST'!$F$34)+1,2)),1)*6,9)),0)))))))))))*IF('IN_COST'!$E$34="DEP",'ENG_SCEN'!$G$16,IF('IN_COST'!$I$34="V",IF('IN_COST'!$E$34="SCRAP_LME",'ENG_SCEN'!$G$13,'ENG_SCEN'!$G$14),'ENG_SCEN'!$G$15))</f>
        <v/>
      </c>
      <c r="M48" s="33">
        <f>'IN_MACRO'!$M$34*IF('IN_COST'!$E$34="SCRAP_LME",'ENG_OPS'!$M$20*'IN_COST'!$F$34*'ENG_SCEN'!$M$37,IF('IN_COST'!$E$34="PER_TON_BATT",'ENG_OPS'!$M$20*'IN_COST'!$F$34*IF('IN_COST'!$G$34="FX",'ENG_SCEN'!$M$36,IF('IN_COST'!$G$34="PPI",'ENG_SCEN'!$M$35,IF('IN_COST'!$G$34="ENERGY",'ENG_SCEN'!$M$34,IF('IN_COST'!$G$34="WAGE",'ENG_SCEN'!$M$33,IF('IN_COST'!$G$34="CPI",'ENG_SCEN'!$M$32,1))))),IF('IN_COST'!$E$34="PER_TON_PROD",'ENG_OPS'!$M$43*'IN_COST'!$F$34*IF('IN_COST'!$G$34="FX",'ENG_SCEN'!$M$36,IF('IN_COST'!$G$34="PPI",'ENG_SCEN'!$M$35,IF('IN_COST'!$G$34="ENERGY",'ENG_SCEN'!$M$34,IF('IN_COST'!$G$34="WAGE",'ENG_SCEN'!$M$33,IF('IN_COST'!$G$34="CPI",'ENG_SCEN'!$M$32,1))))),IF('IN_COST'!$E$34="PER_KWH",'ENG_OPS'!$M$63*'IN_COST'!$F$34*IF('IN_COST'!$G$34="FX",'ENG_SCEN'!$M$36,IF('IN_COST'!$G$34="PPI",'ENG_SCEN'!$M$35,IF('IN_COST'!$G$34="ENERGY",'ENG_SCEN'!$M$34,IF('IN_COST'!$G$34="WAGE",'ENG_SCEN'!$M$33,IF('IN_COST'!$G$34="CPI",'ENG_SCEN'!$M$32,1))))),IF('IN_COST'!$E$34="PER_M3",'ENG_OPS'!$M$64*'IN_COST'!$F$34*IF('IN_COST'!$G$34="FX",'ENG_SCEN'!$M$36,IF('IN_COST'!$G$34="PPI",'ENG_SCEN'!$M$35,IF('IN_COST'!$G$34="ENERGY",'ENG_SCEN'!$M$34,IF('IN_COST'!$G$34="WAGE",'ENG_SCEN'!$M$33,IF('IN_COST'!$G$34="CPI",'ENG_SCEN'!$M$32,1))))),IF('IN_COST'!$E$34="ANNUAL",'IN_COST'!$F$34*IF('IN_COST'!$G$34="FX",'ENG_SCEN'!$M$36,IF('IN_COST'!$G$34="PPI",'ENG_SCEN'!$M$35,IF('IN_COST'!$G$34="ENERGY",'ENG_SCEN'!$M$34,IF('IN_COST'!$G$34="WAGE",'ENG_SCEN'!$M$33,IF('IN_COST'!$G$34="CPI",'ENG_SCEN'!$M$32,1))))),IF('IN_COST'!$E$34="PCT_REV",'ENG_OPS'!$M$81*'IN_COST'!$F$34,IF('IN_COST'!$E$34="PCT_ASSET",'ENG_CAPEX'!$M$84*'IN_COST'!$F$34,IF('IN_COST'!$E$34="DEP",'ENG_CAPEX'!$M$81,IF('IN_COST'!$E$34="PAY",INDEX('IN_COST'!$D$15:$D$19,IFERROR(VALUE(MID('IN_COST'!$F$34,FIND(":",'IN_COST'!$F$34)+1,2)),1))*INDEX('IN_COST'!$E$15:$E$19,IFERROR(VALUE(MID('IN_COST'!$F$34,FIND(":",'IN_COST'!$F$34)+1,2)),1))*'IN_COST'!$D$10*'IN_COST'!$D$11*'ENG_SCEN'!$M$33,IF('IN_COST'!$E$34="SRV",SUM(INDEX('ENG_ALLOC'!$D$29:$P$58,(IFERROR(VALUE(MID('IN_COST'!$F$34,FIND(":",'IN_COST'!$F$34)+1,2)),1)-1)*6+1,10):INDEX('ENG_ALLOC'!$D$29:$P$58,IFERROR(VALUE(MID('IN_COST'!$F$34,FIND(":",'IN_COST'!$F$34)+1,2)),1)*6,10)),0)))))))))))*IF('IN_COST'!$E$34="DEP",'ENG_SCEN'!$G$16,IF('IN_COST'!$I$34="V",IF('IN_COST'!$E$34="SCRAP_LME",'ENG_SCEN'!$G$13,'ENG_SCEN'!$G$14),'ENG_SCEN'!$G$15))</f>
        <v/>
      </c>
      <c r="N48" s="33">
        <f>'IN_MACRO'!$N$34*IF('IN_COST'!$E$34="SCRAP_LME",'ENG_OPS'!$N$20*'IN_COST'!$F$34*'ENG_SCEN'!$N$37,IF('IN_COST'!$E$34="PER_TON_BATT",'ENG_OPS'!$N$20*'IN_COST'!$F$34*IF('IN_COST'!$G$34="FX",'ENG_SCEN'!$N$36,IF('IN_COST'!$G$34="PPI",'ENG_SCEN'!$N$35,IF('IN_COST'!$G$34="ENERGY",'ENG_SCEN'!$N$34,IF('IN_COST'!$G$34="WAGE",'ENG_SCEN'!$N$33,IF('IN_COST'!$G$34="CPI",'ENG_SCEN'!$N$32,1))))),IF('IN_COST'!$E$34="PER_TON_PROD",'ENG_OPS'!$N$43*'IN_COST'!$F$34*IF('IN_COST'!$G$34="FX",'ENG_SCEN'!$N$36,IF('IN_COST'!$G$34="PPI",'ENG_SCEN'!$N$35,IF('IN_COST'!$G$34="ENERGY",'ENG_SCEN'!$N$34,IF('IN_COST'!$G$34="WAGE",'ENG_SCEN'!$N$33,IF('IN_COST'!$G$34="CPI",'ENG_SCEN'!$N$32,1))))),IF('IN_COST'!$E$34="PER_KWH",'ENG_OPS'!$N$63*'IN_COST'!$F$34*IF('IN_COST'!$G$34="FX",'ENG_SCEN'!$N$36,IF('IN_COST'!$G$34="PPI",'ENG_SCEN'!$N$35,IF('IN_COST'!$G$34="ENERGY",'ENG_SCEN'!$N$34,IF('IN_COST'!$G$34="WAGE",'ENG_SCEN'!$N$33,IF('IN_COST'!$G$34="CPI",'ENG_SCEN'!$N$32,1))))),IF('IN_COST'!$E$34="PER_M3",'ENG_OPS'!$N$64*'IN_COST'!$F$34*IF('IN_COST'!$G$34="FX",'ENG_SCEN'!$N$36,IF('IN_COST'!$G$34="PPI",'ENG_SCEN'!$N$35,IF('IN_COST'!$G$34="ENERGY",'ENG_SCEN'!$N$34,IF('IN_COST'!$G$34="WAGE",'ENG_SCEN'!$N$33,IF('IN_COST'!$G$34="CPI",'ENG_SCEN'!$N$32,1))))),IF('IN_COST'!$E$34="ANNUAL",'IN_COST'!$F$34*IF('IN_COST'!$G$34="FX",'ENG_SCEN'!$N$36,IF('IN_COST'!$G$34="PPI",'ENG_SCEN'!$N$35,IF('IN_COST'!$G$34="ENERGY",'ENG_SCEN'!$N$34,IF('IN_COST'!$G$34="WAGE",'ENG_SCEN'!$N$33,IF('IN_COST'!$G$34="CPI",'ENG_SCEN'!$N$32,1))))),IF('IN_COST'!$E$34="PCT_REV",'ENG_OPS'!$N$81*'IN_COST'!$F$34,IF('IN_COST'!$E$34="PCT_ASSET",'ENG_CAPEX'!$N$84*'IN_COST'!$F$34,IF('IN_COST'!$E$34="DEP",'ENG_CAPEX'!$N$81,IF('IN_COST'!$E$34="PAY",INDEX('IN_COST'!$D$15:$D$19,IFERROR(VALUE(MID('IN_COST'!$F$34,FIND(":",'IN_COST'!$F$34)+1,2)),1))*INDEX('IN_COST'!$E$15:$E$19,IFERROR(VALUE(MID('IN_COST'!$F$34,FIND(":",'IN_COST'!$F$34)+1,2)),1))*'IN_COST'!$D$10*'IN_COST'!$D$11*'ENG_SCEN'!$N$33,IF('IN_COST'!$E$34="SRV",SUM(INDEX('ENG_ALLOC'!$D$29:$P$58,(IFERROR(VALUE(MID('IN_COST'!$F$34,FIND(":",'IN_COST'!$F$34)+1,2)),1)-1)*6+1,11):INDEX('ENG_ALLOC'!$D$29:$P$58,IFERROR(VALUE(MID('IN_COST'!$F$34,FIND(":",'IN_COST'!$F$34)+1,2)),1)*6,11)),0)))))))))))*IF('IN_COST'!$E$34="DEP",'ENG_SCEN'!$G$16,IF('IN_COST'!$I$34="V",IF('IN_COST'!$E$34="SCRAP_LME",'ENG_SCEN'!$G$13,'ENG_SCEN'!$G$14),'ENG_SCEN'!$G$15))</f>
        <v/>
      </c>
      <c r="O48" s="33">
        <f>'IN_MACRO'!$O$34*IF('IN_COST'!$E$34="SCRAP_LME",'ENG_OPS'!$O$20*'IN_COST'!$F$34*'ENG_SCEN'!$O$37,IF('IN_COST'!$E$34="PER_TON_BATT",'ENG_OPS'!$O$20*'IN_COST'!$F$34*IF('IN_COST'!$G$34="FX",'ENG_SCEN'!$O$36,IF('IN_COST'!$G$34="PPI",'ENG_SCEN'!$O$35,IF('IN_COST'!$G$34="ENERGY",'ENG_SCEN'!$O$34,IF('IN_COST'!$G$34="WAGE",'ENG_SCEN'!$O$33,IF('IN_COST'!$G$34="CPI",'ENG_SCEN'!$O$32,1))))),IF('IN_COST'!$E$34="PER_TON_PROD",'ENG_OPS'!$O$43*'IN_COST'!$F$34*IF('IN_COST'!$G$34="FX",'ENG_SCEN'!$O$36,IF('IN_COST'!$G$34="PPI",'ENG_SCEN'!$O$35,IF('IN_COST'!$G$34="ENERGY",'ENG_SCEN'!$O$34,IF('IN_COST'!$G$34="WAGE",'ENG_SCEN'!$O$33,IF('IN_COST'!$G$34="CPI",'ENG_SCEN'!$O$32,1))))),IF('IN_COST'!$E$34="PER_KWH",'ENG_OPS'!$O$63*'IN_COST'!$F$34*IF('IN_COST'!$G$34="FX",'ENG_SCEN'!$O$36,IF('IN_COST'!$G$34="PPI",'ENG_SCEN'!$O$35,IF('IN_COST'!$G$34="ENERGY",'ENG_SCEN'!$O$34,IF('IN_COST'!$G$34="WAGE",'ENG_SCEN'!$O$33,IF('IN_COST'!$G$34="CPI",'ENG_SCEN'!$O$32,1))))),IF('IN_COST'!$E$34="PER_M3",'ENG_OPS'!$O$64*'IN_COST'!$F$34*IF('IN_COST'!$G$34="FX",'ENG_SCEN'!$O$36,IF('IN_COST'!$G$34="PPI",'ENG_SCEN'!$O$35,IF('IN_COST'!$G$34="ENERGY",'ENG_SCEN'!$O$34,IF('IN_COST'!$G$34="WAGE",'ENG_SCEN'!$O$33,IF('IN_COST'!$G$34="CPI",'ENG_SCEN'!$O$32,1))))),IF('IN_COST'!$E$34="ANNUAL",'IN_COST'!$F$34*IF('IN_COST'!$G$34="FX",'ENG_SCEN'!$O$36,IF('IN_COST'!$G$34="PPI",'ENG_SCEN'!$O$35,IF('IN_COST'!$G$34="ENERGY",'ENG_SCEN'!$O$34,IF('IN_COST'!$G$34="WAGE",'ENG_SCEN'!$O$33,IF('IN_COST'!$G$34="CPI",'ENG_SCEN'!$O$32,1))))),IF('IN_COST'!$E$34="PCT_REV",'ENG_OPS'!$O$81*'IN_COST'!$F$34,IF('IN_COST'!$E$34="PCT_ASSET",'ENG_CAPEX'!$O$84*'IN_COST'!$F$34,IF('IN_COST'!$E$34="DEP",'ENG_CAPEX'!$O$81,IF('IN_COST'!$E$34="PAY",INDEX('IN_COST'!$D$15:$D$19,IFERROR(VALUE(MID('IN_COST'!$F$34,FIND(":",'IN_COST'!$F$34)+1,2)),1))*INDEX('IN_COST'!$E$15:$E$19,IFERROR(VALUE(MID('IN_COST'!$F$34,FIND(":",'IN_COST'!$F$34)+1,2)),1))*'IN_COST'!$D$10*'IN_COST'!$D$11*'ENG_SCEN'!$O$33,IF('IN_COST'!$E$34="SRV",SUM(INDEX('ENG_ALLOC'!$D$29:$P$58,(IFERROR(VALUE(MID('IN_COST'!$F$34,FIND(":",'IN_COST'!$F$34)+1,2)),1)-1)*6+1,12):INDEX('ENG_ALLOC'!$D$29:$P$58,IFERROR(VALUE(MID('IN_COST'!$F$34,FIND(":",'IN_COST'!$F$34)+1,2)),1)*6,12)),0)))))))))))*IF('IN_COST'!$E$34="DEP",'ENG_SCEN'!$G$16,IF('IN_COST'!$I$34="V",IF('IN_COST'!$E$34="SCRAP_LME",'ENG_SCEN'!$G$13,'ENG_SCEN'!$G$14),'ENG_SCEN'!$G$15))</f>
        <v/>
      </c>
      <c r="P48" s="33">
        <f>'IN_MACRO'!$P$34*IF('IN_COST'!$E$34="SCRAP_LME",'ENG_OPS'!$P$20*'IN_COST'!$F$34*'ENG_SCEN'!$P$37,IF('IN_COST'!$E$34="PER_TON_BATT",'ENG_OPS'!$P$20*'IN_COST'!$F$34*IF('IN_COST'!$G$34="FX",'ENG_SCEN'!$P$36,IF('IN_COST'!$G$34="PPI",'ENG_SCEN'!$P$35,IF('IN_COST'!$G$34="ENERGY",'ENG_SCEN'!$P$34,IF('IN_COST'!$G$34="WAGE",'ENG_SCEN'!$P$33,IF('IN_COST'!$G$34="CPI",'ENG_SCEN'!$P$32,1))))),IF('IN_COST'!$E$34="PER_TON_PROD",'ENG_OPS'!$P$43*'IN_COST'!$F$34*IF('IN_COST'!$G$34="FX",'ENG_SCEN'!$P$36,IF('IN_COST'!$G$34="PPI",'ENG_SCEN'!$P$35,IF('IN_COST'!$G$34="ENERGY",'ENG_SCEN'!$P$34,IF('IN_COST'!$G$34="WAGE",'ENG_SCEN'!$P$33,IF('IN_COST'!$G$34="CPI",'ENG_SCEN'!$P$32,1))))),IF('IN_COST'!$E$34="PER_KWH",'ENG_OPS'!$P$63*'IN_COST'!$F$34*IF('IN_COST'!$G$34="FX",'ENG_SCEN'!$P$36,IF('IN_COST'!$G$34="PPI",'ENG_SCEN'!$P$35,IF('IN_COST'!$G$34="ENERGY",'ENG_SCEN'!$P$34,IF('IN_COST'!$G$34="WAGE",'ENG_SCEN'!$P$33,IF('IN_COST'!$G$34="CPI",'ENG_SCEN'!$P$32,1))))),IF('IN_COST'!$E$34="PER_M3",'ENG_OPS'!$P$64*'IN_COST'!$F$34*IF('IN_COST'!$G$34="FX",'ENG_SCEN'!$P$36,IF('IN_COST'!$G$34="PPI",'ENG_SCEN'!$P$35,IF('IN_COST'!$G$34="ENERGY",'ENG_SCEN'!$P$34,IF('IN_COST'!$G$34="WAGE",'ENG_SCEN'!$P$33,IF('IN_COST'!$G$34="CPI",'ENG_SCEN'!$P$32,1))))),IF('IN_COST'!$E$34="ANNUAL",'IN_COST'!$F$34*IF('IN_COST'!$G$34="FX",'ENG_SCEN'!$P$36,IF('IN_COST'!$G$34="PPI",'ENG_SCEN'!$P$35,IF('IN_COST'!$G$34="ENERGY",'ENG_SCEN'!$P$34,IF('IN_COST'!$G$34="WAGE",'ENG_SCEN'!$P$33,IF('IN_COST'!$G$34="CPI",'ENG_SCEN'!$P$32,1))))),IF('IN_COST'!$E$34="PCT_REV",'ENG_OPS'!$P$81*'IN_COST'!$F$34,IF('IN_COST'!$E$34="PCT_ASSET",'ENG_CAPEX'!$P$84*'IN_COST'!$F$34,IF('IN_COST'!$E$34="DEP",'ENG_CAPEX'!$P$81,IF('IN_COST'!$E$34="PAY",INDEX('IN_COST'!$D$15:$D$19,IFERROR(VALUE(MID('IN_COST'!$F$34,FIND(":",'IN_COST'!$F$34)+1,2)),1))*INDEX('IN_COST'!$E$15:$E$19,IFERROR(VALUE(MID('IN_COST'!$F$34,FIND(":",'IN_COST'!$F$34)+1,2)),1))*'IN_COST'!$D$10*'IN_COST'!$D$11*'ENG_SCEN'!$P$33,IF('IN_COST'!$E$34="SRV",SUM(INDEX('ENG_ALLOC'!$D$29:$P$58,(IFERROR(VALUE(MID('IN_COST'!$F$34,FIND(":",'IN_COST'!$F$34)+1,2)),1)-1)*6+1,13):INDEX('ENG_ALLOC'!$D$29:$P$58,IFERROR(VALUE(MID('IN_COST'!$F$34,FIND(":",'IN_COST'!$F$34)+1,2)),1)*6,13)),0)))))))))))*IF('IN_COST'!$E$34="DEP",'ENG_SCEN'!$G$16,IF('IN_COST'!$I$34="V",IF('IN_COST'!$E$34="SCRAP_LME",'ENG_SCEN'!$G$13,'ENG_SCEN'!$G$14),'ENG_SCEN'!$G$15))</f>
        <v/>
      </c>
    </row>
    <row r="49">
      <c r="A49" s="15" t="inlineStr">
        <is>
          <t>DPC-03 | دستمزد مستقیم تولید</t>
        </is>
      </c>
      <c r="B49" s="16" t="inlineStr">
        <is>
          <t>EC.tot.2</t>
        </is>
      </c>
      <c r="C49" s="17" t="inlineStr">
        <is>
          <t>میلیون ریال</t>
        </is>
      </c>
      <c r="D49" s="33">
        <f>'IN_MACRO'!$D$34*IF('IN_COST'!$E$35="SCRAP_LME",'ENG_OPS'!$D$20*'IN_COST'!$F$35*'ENG_SCEN'!$D$37,IF('IN_COST'!$E$35="PER_TON_BATT",'ENG_OPS'!$D$20*'IN_COST'!$F$35*IF('IN_COST'!$G$35="FX",'ENG_SCEN'!$D$36,IF('IN_COST'!$G$35="PPI",'ENG_SCEN'!$D$35,IF('IN_COST'!$G$35="ENERGY",'ENG_SCEN'!$D$34,IF('IN_COST'!$G$35="WAGE",'ENG_SCEN'!$D$33,IF('IN_COST'!$G$35="CPI",'ENG_SCEN'!$D$32,1))))),IF('IN_COST'!$E$35="PER_TON_PROD",'ENG_OPS'!$D$43*'IN_COST'!$F$35*IF('IN_COST'!$G$35="FX",'ENG_SCEN'!$D$36,IF('IN_COST'!$G$35="PPI",'ENG_SCEN'!$D$35,IF('IN_COST'!$G$35="ENERGY",'ENG_SCEN'!$D$34,IF('IN_COST'!$G$35="WAGE",'ENG_SCEN'!$D$33,IF('IN_COST'!$G$35="CPI",'ENG_SCEN'!$D$32,1))))),IF('IN_COST'!$E$35="PER_KWH",'ENG_OPS'!$D$63*'IN_COST'!$F$35*IF('IN_COST'!$G$35="FX",'ENG_SCEN'!$D$36,IF('IN_COST'!$G$35="PPI",'ENG_SCEN'!$D$35,IF('IN_COST'!$G$35="ENERGY",'ENG_SCEN'!$D$34,IF('IN_COST'!$G$35="WAGE",'ENG_SCEN'!$D$33,IF('IN_COST'!$G$35="CPI",'ENG_SCEN'!$D$32,1))))),IF('IN_COST'!$E$35="PER_M3",'ENG_OPS'!$D$64*'IN_COST'!$F$35*IF('IN_COST'!$G$35="FX",'ENG_SCEN'!$D$36,IF('IN_COST'!$G$35="PPI",'ENG_SCEN'!$D$35,IF('IN_COST'!$G$35="ENERGY",'ENG_SCEN'!$D$34,IF('IN_COST'!$G$35="WAGE",'ENG_SCEN'!$D$33,IF('IN_COST'!$G$35="CPI",'ENG_SCEN'!$D$32,1))))),IF('IN_COST'!$E$35="ANNUAL",'IN_COST'!$F$35*IF('IN_COST'!$G$35="FX",'ENG_SCEN'!$D$36,IF('IN_COST'!$G$35="PPI",'ENG_SCEN'!$D$35,IF('IN_COST'!$G$35="ENERGY",'ENG_SCEN'!$D$34,IF('IN_COST'!$G$35="WAGE",'ENG_SCEN'!$D$33,IF('IN_COST'!$G$35="CPI",'ENG_SCEN'!$D$32,1))))),IF('IN_COST'!$E$35="PCT_REV",'ENG_OPS'!$D$81*'IN_COST'!$F$35,IF('IN_COST'!$E$35="PCT_ASSET",'ENG_CAPEX'!$D$84*'IN_COST'!$F$35,IF('IN_COST'!$E$35="DEP",'ENG_CAPEX'!$D$81,IF('IN_COST'!$E$35="PAY",INDEX('IN_COST'!$D$15:$D$19,IFERROR(VALUE(MID('IN_COST'!$F$35,FIND(":",'IN_COST'!$F$35)+1,2)),1))*INDEX('IN_COST'!$E$15:$E$19,IFERROR(VALUE(MID('IN_COST'!$F$35,FIND(":",'IN_COST'!$F$35)+1,2)),1))*'IN_COST'!$D$10*'IN_COST'!$D$11*'ENG_SCEN'!$D$33,IF('IN_COST'!$E$35="SRV",SUM(INDEX('ENG_ALLOC'!$D$29:$P$58,(IFERROR(VALUE(MID('IN_COST'!$F$35,FIND(":",'IN_COST'!$F$35)+1,2)),1)-1)*6+1,1):INDEX('ENG_ALLOC'!$D$29:$P$58,IFERROR(VALUE(MID('IN_COST'!$F$35,FIND(":",'IN_COST'!$F$35)+1,2)),1)*6,1)),0)))))))))))*IF('IN_COST'!$E$35="DEP",'ENG_SCEN'!$G$16,IF('IN_COST'!$I$35="V",IF('IN_COST'!$E$35="SCRAP_LME",'ENG_SCEN'!$G$13,'ENG_SCEN'!$G$14),'ENG_SCEN'!$G$15))</f>
        <v/>
      </c>
      <c r="E49" s="33">
        <f>'IN_MACRO'!$E$34*IF('IN_COST'!$E$35="SCRAP_LME",'ENG_OPS'!$E$20*'IN_COST'!$F$35*'ENG_SCEN'!$E$37,IF('IN_COST'!$E$35="PER_TON_BATT",'ENG_OPS'!$E$20*'IN_COST'!$F$35*IF('IN_COST'!$G$35="FX",'ENG_SCEN'!$E$36,IF('IN_COST'!$G$35="PPI",'ENG_SCEN'!$E$35,IF('IN_COST'!$G$35="ENERGY",'ENG_SCEN'!$E$34,IF('IN_COST'!$G$35="WAGE",'ENG_SCEN'!$E$33,IF('IN_COST'!$G$35="CPI",'ENG_SCEN'!$E$32,1))))),IF('IN_COST'!$E$35="PER_TON_PROD",'ENG_OPS'!$E$43*'IN_COST'!$F$35*IF('IN_COST'!$G$35="FX",'ENG_SCEN'!$E$36,IF('IN_COST'!$G$35="PPI",'ENG_SCEN'!$E$35,IF('IN_COST'!$G$35="ENERGY",'ENG_SCEN'!$E$34,IF('IN_COST'!$G$35="WAGE",'ENG_SCEN'!$E$33,IF('IN_COST'!$G$35="CPI",'ENG_SCEN'!$E$32,1))))),IF('IN_COST'!$E$35="PER_KWH",'ENG_OPS'!$E$63*'IN_COST'!$F$35*IF('IN_COST'!$G$35="FX",'ENG_SCEN'!$E$36,IF('IN_COST'!$G$35="PPI",'ENG_SCEN'!$E$35,IF('IN_COST'!$G$35="ENERGY",'ENG_SCEN'!$E$34,IF('IN_COST'!$G$35="WAGE",'ENG_SCEN'!$E$33,IF('IN_COST'!$G$35="CPI",'ENG_SCEN'!$E$32,1))))),IF('IN_COST'!$E$35="PER_M3",'ENG_OPS'!$E$64*'IN_COST'!$F$35*IF('IN_COST'!$G$35="FX",'ENG_SCEN'!$E$36,IF('IN_COST'!$G$35="PPI",'ENG_SCEN'!$E$35,IF('IN_COST'!$G$35="ENERGY",'ENG_SCEN'!$E$34,IF('IN_COST'!$G$35="WAGE",'ENG_SCEN'!$E$33,IF('IN_COST'!$G$35="CPI",'ENG_SCEN'!$E$32,1))))),IF('IN_COST'!$E$35="ANNUAL",'IN_COST'!$F$35*IF('IN_COST'!$G$35="FX",'ENG_SCEN'!$E$36,IF('IN_COST'!$G$35="PPI",'ENG_SCEN'!$E$35,IF('IN_COST'!$G$35="ENERGY",'ENG_SCEN'!$E$34,IF('IN_COST'!$G$35="WAGE",'ENG_SCEN'!$E$33,IF('IN_COST'!$G$35="CPI",'ENG_SCEN'!$E$32,1))))),IF('IN_COST'!$E$35="PCT_REV",'ENG_OPS'!$E$81*'IN_COST'!$F$35,IF('IN_COST'!$E$35="PCT_ASSET",'ENG_CAPEX'!$E$84*'IN_COST'!$F$35,IF('IN_COST'!$E$35="DEP",'ENG_CAPEX'!$E$81,IF('IN_COST'!$E$35="PAY",INDEX('IN_COST'!$D$15:$D$19,IFERROR(VALUE(MID('IN_COST'!$F$35,FIND(":",'IN_COST'!$F$35)+1,2)),1))*INDEX('IN_COST'!$E$15:$E$19,IFERROR(VALUE(MID('IN_COST'!$F$35,FIND(":",'IN_COST'!$F$35)+1,2)),1))*'IN_COST'!$D$10*'IN_COST'!$D$11*'ENG_SCEN'!$E$33,IF('IN_COST'!$E$35="SRV",SUM(INDEX('ENG_ALLOC'!$D$29:$P$58,(IFERROR(VALUE(MID('IN_COST'!$F$35,FIND(":",'IN_COST'!$F$35)+1,2)),1)-1)*6+1,2):INDEX('ENG_ALLOC'!$D$29:$P$58,IFERROR(VALUE(MID('IN_COST'!$F$35,FIND(":",'IN_COST'!$F$35)+1,2)),1)*6,2)),0)))))))))))*IF('IN_COST'!$E$35="DEP",'ENG_SCEN'!$G$16,IF('IN_COST'!$I$35="V",IF('IN_COST'!$E$35="SCRAP_LME",'ENG_SCEN'!$G$13,'ENG_SCEN'!$G$14),'ENG_SCEN'!$G$15))</f>
        <v/>
      </c>
      <c r="F49" s="33">
        <f>'IN_MACRO'!$F$34*IF('IN_COST'!$E$35="SCRAP_LME",'ENG_OPS'!$F$20*'IN_COST'!$F$35*'ENG_SCEN'!$F$37,IF('IN_COST'!$E$35="PER_TON_BATT",'ENG_OPS'!$F$20*'IN_COST'!$F$35*IF('IN_COST'!$G$35="FX",'ENG_SCEN'!$F$36,IF('IN_COST'!$G$35="PPI",'ENG_SCEN'!$F$35,IF('IN_COST'!$G$35="ENERGY",'ENG_SCEN'!$F$34,IF('IN_COST'!$G$35="WAGE",'ENG_SCEN'!$F$33,IF('IN_COST'!$G$35="CPI",'ENG_SCEN'!$F$32,1))))),IF('IN_COST'!$E$35="PER_TON_PROD",'ENG_OPS'!$F$43*'IN_COST'!$F$35*IF('IN_COST'!$G$35="FX",'ENG_SCEN'!$F$36,IF('IN_COST'!$G$35="PPI",'ENG_SCEN'!$F$35,IF('IN_COST'!$G$35="ENERGY",'ENG_SCEN'!$F$34,IF('IN_COST'!$G$35="WAGE",'ENG_SCEN'!$F$33,IF('IN_COST'!$G$35="CPI",'ENG_SCEN'!$F$32,1))))),IF('IN_COST'!$E$35="PER_KWH",'ENG_OPS'!$F$63*'IN_COST'!$F$35*IF('IN_COST'!$G$35="FX",'ENG_SCEN'!$F$36,IF('IN_COST'!$G$35="PPI",'ENG_SCEN'!$F$35,IF('IN_COST'!$G$35="ENERGY",'ENG_SCEN'!$F$34,IF('IN_COST'!$G$35="WAGE",'ENG_SCEN'!$F$33,IF('IN_COST'!$G$35="CPI",'ENG_SCEN'!$F$32,1))))),IF('IN_COST'!$E$35="PER_M3",'ENG_OPS'!$F$64*'IN_COST'!$F$35*IF('IN_COST'!$G$35="FX",'ENG_SCEN'!$F$36,IF('IN_COST'!$G$35="PPI",'ENG_SCEN'!$F$35,IF('IN_COST'!$G$35="ENERGY",'ENG_SCEN'!$F$34,IF('IN_COST'!$G$35="WAGE",'ENG_SCEN'!$F$33,IF('IN_COST'!$G$35="CPI",'ENG_SCEN'!$F$32,1))))),IF('IN_COST'!$E$35="ANNUAL",'IN_COST'!$F$35*IF('IN_COST'!$G$35="FX",'ENG_SCEN'!$F$36,IF('IN_COST'!$G$35="PPI",'ENG_SCEN'!$F$35,IF('IN_COST'!$G$35="ENERGY",'ENG_SCEN'!$F$34,IF('IN_COST'!$G$35="WAGE",'ENG_SCEN'!$F$33,IF('IN_COST'!$G$35="CPI",'ENG_SCEN'!$F$32,1))))),IF('IN_COST'!$E$35="PCT_REV",'ENG_OPS'!$F$81*'IN_COST'!$F$35,IF('IN_COST'!$E$35="PCT_ASSET",'ENG_CAPEX'!$F$84*'IN_COST'!$F$35,IF('IN_COST'!$E$35="DEP",'ENG_CAPEX'!$F$81,IF('IN_COST'!$E$35="PAY",INDEX('IN_COST'!$D$15:$D$19,IFERROR(VALUE(MID('IN_COST'!$F$35,FIND(":",'IN_COST'!$F$35)+1,2)),1))*INDEX('IN_COST'!$E$15:$E$19,IFERROR(VALUE(MID('IN_COST'!$F$35,FIND(":",'IN_COST'!$F$35)+1,2)),1))*'IN_COST'!$D$10*'IN_COST'!$D$11*'ENG_SCEN'!$F$33,IF('IN_COST'!$E$35="SRV",SUM(INDEX('ENG_ALLOC'!$D$29:$P$58,(IFERROR(VALUE(MID('IN_COST'!$F$35,FIND(":",'IN_COST'!$F$35)+1,2)),1)-1)*6+1,3):INDEX('ENG_ALLOC'!$D$29:$P$58,IFERROR(VALUE(MID('IN_COST'!$F$35,FIND(":",'IN_COST'!$F$35)+1,2)),1)*6,3)),0)))))))))))*IF('IN_COST'!$E$35="DEP",'ENG_SCEN'!$G$16,IF('IN_COST'!$I$35="V",IF('IN_COST'!$E$35="SCRAP_LME",'ENG_SCEN'!$G$13,'ENG_SCEN'!$G$14),'ENG_SCEN'!$G$15))</f>
        <v/>
      </c>
      <c r="G49" s="33">
        <f>'IN_MACRO'!$G$34*IF('IN_COST'!$E$35="SCRAP_LME",'ENG_OPS'!$G$20*'IN_COST'!$F$35*'ENG_SCEN'!$G$37,IF('IN_COST'!$E$35="PER_TON_BATT",'ENG_OPS'!$G$20*'IN_COST'!$F$35*IF('IN_COST'!$G$35="FX",'ENG_SCEN'!$G$36,IF('IN_COST'!$G$35="PPI",'ENG_SCEN'!$G$35,IF('IN_COST'!$G$35="ENERGY",'ENG_SCEN'!$G$34,IF('IN_COST'!$G$35="WAGE",'ENG_SCEN'!$G$33,IF('IN_COST'!$G$35="CPI",'ENG_SCEN'!$G$32,1))))),IF('IN_COST'!$E$35="PER_TON_PROD",'ENG_OPS'!$G$43*'IN_COST'!$F$35*IF('IN_COST'!$G$35="FX",'ENG_SCEN'!$G$36,IF('IN_COST'!$G$35="PPI",'ENG_SCEN'!$G$35,IF('IN_COST'!$G$35="ENERGY",'ENG_SCEN'!$G$34,IF('IN_COST'!$G$35="WAGE",'ENG_SCEN'!$G$33,IF('IN_COST'!$G$35="CPI",'ENG_SCEN'!$G$32,1))))),IF('IN_COST'!$E$35="PER_KWH",'ENG_OPS'!$G$63*'IN_COST'!$F$35*IF('IN_COST'!$G$35="FX",'ENG_SCEN'!$G$36,IF('IN_COST'!$G$35="PPI",'ENG_SCEN'!$G$35,IF('IN_COST'!$G$35="ENERGY",'ENG_SCEN'!$G$34,IF('IN_COST'!$G$35="WAGE",'ENG_SCEN'!$G$33,IF('IN_COST'!$G$35="CPI",'ENG_SCEN'!$G$32,1))))),IF('IN_COST'!$E$35="PER_M3",'ENG_OPS'!$G$64*'IN_COST'!$F$35*IF('IN_COST'!$G$35="FX",'ENG_SCEN'!$G$36,IF('IN_COST'!$G$35="PPI",'ENG_SCEN'!$G$35,IF('IN_COST'!$G$35="ENERGY",'ENG_SCEN'!$G$34,IF('IN_COST'!$G$35="WAGE",'ENG_SCEN'!$G$33,IF('IN_COST'!$G$35="CPI",'ENG_SCEN'!$G$32,1))))),IF('IN_COST'!$E$35="ANNUAL",'IN_COST'!$F$35*IF('IN_COST'!$G$35="FX",'ENG_SCEN'!$G$36,IF('IN_COST'!$G$35="PPI",'ENG_SCEN'!$G$35,IF('IN_COST'!$G$35="ENERGY",'ENG_SCEN'!$G$34,IF('IN_COST'!$G$35="WAGE",'ENG_SCEN'!$G$33,IF('IN_COST'!$G$35="CPI",'ENG_SCEN'!$G$32,1))))),IF('IN_COST'!$E$35="PCT_REV",'ENG_OPS'!$G$81*'IN_COST'!$F$35,IF('IN_COST'!$E$35="PCT_ASSET",'ENG_CAPEX'!$G$84*'IN_COST'!$F$35,IF('IN_COST'!$E$35="DEP",'ENG_CAPEX'!$G$81,IF('IN_COST'!$E$35="PAY",INDEX('IN_COST'!$D$15:$D$19,IFERROR(VALUE(MID('IN_COST'!$F$35,FIND(":",'IN_COST'!$F$35)+1,2)),1))*INDEX('IN_COST'!$E$15:$E$19,IFERROR(VALUE(MID('IN_COST'!$F$35,FIND(":",'IN_COST'!$F$35)+1,2)),1))*'IN_COST'!$D$10*'IN_COST'!$D$11*'ENG_SCEN'!$G$33,IF('IN_COST'!$E$35="SRV",SUM(INDEX('ENG_ALLOC'!$D$29:$P$58,(IFERROR(VALUE(MID('IN_COST'!$F$35,FIND(":",'IN_COST'!$F$35)+1,2)),1)-1)*6+1,4):INDEX('ENG_ALLOC'!$D$29:$P$58,IFERROR(VALUE(MID('IN_COST'!$F$35,FIND(":",'IN_COST'!$F$35)+1,2)),1)*6,4)),0)))))))))))*IF('IN_COST'!$E$35="DEP",'ENG_SCEN'!$G$16,IF('IN_COST'!$I$35="V",IF('IN_COST'!$E$35="SCRAP_LME",'ENG_SCEN'!$G$13,'ENG_SCEN'!$G$14),'ENG_SCEN'!$G$15))</f>
        <v/>
      </c>
      <c r="H49" s="33">
        <f>'IN_MACRO'!$H$34*IF('IN_COST'!$E$35="SCRAP_LME",'ENG_OPS'!$H$20*'IN_COST'!$F$35*'ENG_SCEN'!$H$37,IF('IN_COST'!$E$35="PER_TON_BATT",'ENG_OPS'!$H$20*'IN_COST'!$F$35*IF('IN_COST'!$G$35="FX",'ENG_SCEN'!$H$36,IF('IN_COST'!$G$35="PPI",'ENG_SCEN'!$H$35,IF('IN_COST'!$G$35="ENERGY",'ENG_SCEN'!$H$34,IF('IN_COST'!$G$35="WAGE",'ENG_SCEN'!$H$33,IF('IN_COST'!$G$35="CPI",'ENG_SCEN'!$H$32,1))))),IF('IN_COST'!$E$35="PER_TON_PROD",'ENG_OPS'!$H$43*'IN_COST'!$F$35*IF('IN_COST'!$G$35="FX",'ENG_SCEN'!$H$36,IF('IN_COST'!$G$35="PPI",'ENG_SCEN'!$H$35,IF('IN_COST'!$G$35="ENERGY",'ENG_SCEN'!$H$34,IF('IN_COST'!$G$35="WAGE",'ENG_SCEN'!$H$33,IF('IN_COST'!$G$35="CPI",'ENG_SCEN'!$H$32,1))))),IF('IN_COST'!$E$35="PER_KWH",'ENG_OPS'!$H$63*'IN_COST'!$F$35*IF('IN_COST'!$G$35="FX",'ENG_SCEN'!$H$36,IF('IN_COST'!$G$35="PPI",'ENG_SCEN'!$H$35,IF('IN_COST'!$G$35="ENERGY",'ENG_SCEN'!$H$34,IF('IN_COST'!$G$35="WAGE",'ENG_SCEN'!$H$33,IF('IN_COST'!$G$35="CPI",'ENG_SCEN'!$H$32,1))))),IF('IN_COST'!$E$35="PER_M3",'ENG_OPS'!$H$64*'IN_COST'!$F$35*IF('IN_COST'!$G$35="FX",'ENG_SCEN'!$H$36,IF('IN_COST'!$G$35="PPI",'ENG_SCEN'!$H$35,IF('IN_COST'!$G$35="ENERGY",'ENG_SCEN'!$H$34,IF('IN_COST'!$G$35="WAGE",'ENG_SCEN'!$H$33,IF('IN_COST'!$G$35="CPI",'ENG_SCEN'!$H$32,1))))),IF('IN_COST'!$E$35="ANNUAL",'IN_COST'!$F$35*IF('IN_COST'!$G$35="FX",'ENG_SCEN'!$H$36,IF('IN_COST'!$G$35="PPI",'ENG_SCEN'!$H$35,IF('IN_COST'!$G$35="ENERGY",'ENG_SCEN'!$H$34,IF('IN_COST'!$G$35="WAGE",'ENG_SCEN'!$H$33,IF('IN_COST'!$G$35="CPI",'ENG_SCEN'!$H$32,1))))),IF('IN_COST'!$E$35="PCT_REV",'ENG_OPS'!$H$81*'IN_COST'!$F$35,IF('IN_COST'!$E$35="PCT_ASSET",'ENG_CAPEX'!$H$84*'IN_COST'!$F$35,IF('IN_COST'!$E$35="DEP",'ENG_CAPEX'!$H$81,IF('IN_COST'!$E$35="PAY",INDEX('IN_COST'!$D$15:$D$19,IFERROR(VALUE(MID('IN_COST'!$F$35,FIND(":",'IN_COST'!$F$35)+1,2)),1))*INDEX('IN_COST'!$E$15:$E$19,IFERROR(VALUE(MID('IN_COST'!$F$35,FIND(":",'IN_COST'!$F$35)+1,2)),1))*'IN_COST'!$D$10*'IN_COST'!$D$11*'ENG_SCEN'!$H$33,IF('IN_COST'!$E$35="SRV",SUM(INDEX('ENG_ALLOC'!$D$29:$P$58,(IFERROR(VALUE(MID('IN_COST'!$F$35,FIND(":",'IN_COST'!$F$35)+1,2)),1)-1)*6+1,5):INDEX('ENG_ALLOC'!$D$29:$P$58,IFERROR(VALUE(MID('IN_COST'!$F$35,FIND(":",'IN_COST'!$F$35)+1,2)),1)*6,5)),0)))))))))))*IF('IN_COST'!$E$35="DEP",'ENG_SCEN'!$G$16,IF('IN_COST'!$I$35="V",IF('IN_COST'!$E$35="SCRAP_LME",'ENG_SCEN'!$G$13,'ENG_SCEN'!$G$14),'ENG_SCEN'!$G$15))</f>
        <v/>
      </c>
      <c r="I49" s="33">
        <f>'IN_MACRO'!$I$34*IF('IN_COST'!$E$35="SCRAP_LME",'ENG_OPS'!$I$20*'IN_COST'!$F$35*'ENG_SCEN'!$I$37,IF('IN_COST'!$E$35="PER_TON_BATT",'ENG_OPS'!$I$20*'IN_COST'!$F$35*IF('IN_COST'!$G$35="FX",'ENG_SCEN'!$I$36,IF('IN_COST'!$G$35="PPI",'ENG_SCEN'!$I$35,IF('IN_COST'!$G$35="ENERGY",'ENG_SCEN'!$I$34,IF('IN_COST'!$G$35="WAGE",'ENG_SCEN'!$I$33,IF('IN_COST'!$G$35="CPI",'ENG_SCEN'!$I$32,1))))),IF('IN_COST'!$E$35="PER_TON_PROD",'ENG_OPS'!$I$43*'IN_COST'!$F$35*IF('IN_COST'!$G$35="FX",'ENG_SCEN'!$I$36,IF('IN_COST'!$G$35="PPI",'ENG_SCEN'!$I$35,IF('IN_COST'!$G$35="ENERGY",'ENG_SCEN'!$I$34,IF('IN_COST'!$G$35="WAGE",'ENG_SCEN'!$I$33,IF('IN_COST'!$G$35="CPI",'ENG_SCEN'!$I$32,1))))),IF('IN_COST'!$E$35="PER_KWH",'ENG_OPS'!$I$63*'IN_COST'!$F$35*IF('IN_COST'!$G$35="FX",'ENG_SCEN'!$I$36,IF('IN_COST'!$G$35="PPI",'ENG_SCEN'!$I$35,IF('IN_COST'!$G$35="ENERGY",'ENG_SCEN'!$I$34,IF('IN_COST'!$G$35="WAGE",'ENG_SCEN'!$I$33,IF('IN_COST'!$G$35="CPI",'ENG_SCEN'!$I$32,1))))),IF('IN_COST'!$E$35="PER_M3",'ENG_OPS'!$I$64*'IN_COST'!$F$35*IF('IN_COST'!$G$35="FX",'ENG_SCEN'!$I$36,IF('IN_COST'!$G$35="PPI",'ENG_SCEN'!$I$35,IF('IN_COST'!$G$35="ENERGY",'ENG_SCEN'!$I$34,IF('IN_COST'!$G$35="WAGE",'ENG_SCEN'!$I$33,IF('IN_COST'!$G$35="CPI",'ENG_SCEN'!$I$32,1))))),IF('IN_COST'!$E$35="ANNUAL",'IN_COST'!$F$35*IF('IN_COST'!$G$35="FX",'ENG_SCEN'!$I$36,IF('IN_COST'!$G$35="PPI",'ENG_SCEN'!$I$35,IF('IN_COST'!$G$35="ENERGY",'ENG_SCEN'!$I$34,IF('IN_COST'!$G$35="WAGE",'ENG_SCEN'!$I$33,IF('IN_COST'!$G$35="CPI",'ENG_SCEN'!$I$32,1))))),IF('IN_COST'!$E$35="PCT_REV",'ENG_OPS'!$I$81*'IN_COST'!$F$35,IF('IN_COST'!$E$35="PCT_ASSET",'ENG_CAPEX'!$I$84*'IN_COST'!$F$35,IF('IN_COST'!$E$35="DEP",'ENG_CAPEX'!$I$81,IF('IN_COST'!$E$35="PAY",INDEX('IN_COST'!$D$15:$D$19,IFERROR(VALUE(MID('IN_COST'!$F$35,FIND(":",'IN_COST'!$F$35)+1,2)),1))*INDEX('IN_COST'!$E$15:$E$19,IFERROR(VALUE(MID('IN_COST'!$F$35,FIND(":",'IN_COST'!$F$35)+1,2)),1))*'IN_COST'!$D$10*'IN_COST'!$D$11*'ENG_SCEN'!$I$33,IF('IN_COST'!$E$35="SRV",SUM(INDEX('ENG_ALLOC'!$D$29:$P$58,(IFERROR(VALUE(MID('IN_COST'!$F$35,FIND(":",'IN_COST'!$F$35)+1,2)),1)-1)*6+1,6):INDEX('ENG_ALLOC'!$D$29:$P$58,IFERROR(VALUE(MID('IN_COST'!$F$35,FIND(":",'IN_COST'!$F$35)+1,2)),1)*6,6)),0)))))))))))*IF('IN_COST'!$E$35="DEP",'ENG_SCEN'!$G$16,IF('IN_COST'!$I$35="V",IF('IN_COST'!$E$35="SCRAP_LME",'ENG_SCEN'!$G$13,'ENG_SCEN'!$G$14),'ENG_SCEN'!$G$15))</f>
        <v/>
      </c>
      <c r="J49" s="33">
        <f>'IN_MACRO'!$J$34*IF('IN_COST'!$E$35="SCRAP_LME",'ENG_OPS'!$J$20*'IN_COST'!$F$35*'ENG_SCEN'!$J$37,IF('IN_COST'!$E$35="PER_TON_BATT",'ENG_OPS'!$J$20*'IN_COST'!$F$35*IF('IN_COST'!$G$35="FX",'ENG_SCEN'!$J$36,IF('IN_COST'!$G$35="PPI",'ENG_SCEN'!$J$35,IF('IN_COST'!$G$35="ENERGY",'ENG_SCEN'!$J$34,IF('IN_COST'!$G$35="WAGE",'ENG_SCEN'!$J$33,IF('IN_COST'!$G$35="CPI",'ENG_SCEN'!$J$32,1))))),IF('IN_COST'!$E$35="PER_TON_PROD",'ENG_OPS'!$J$43*'IN_COST'!$F$35*IF('IN_COST'!$G$35="FX",'ENG_SCEN'!$J$36,IF('IN_COST'!$G$35="PPI",'ENG_SCEN'!$J$35,IF('IN_COST'!$G$35="ENERGY",'ENG_SCEN'!$J$34,IF('IN_COST'!$G$35="WAGE",'ENG_SCEN'!$J$33,IF('IN_COST'!$G$35="CPI",'ENG_SCEN'!$J$32,1))))),IF('IN_COST'!$E$35="PER_KWH",'ENG_OPS'!$J$63*'IN_COST'!$F$35*IF('IN_COST'!$G$35="FX",'ENG_SCEN'!$J$36,IF('IN_COST'!$G$35="PPI",'ENG_SCEN'!$J$35,IF('IN_COST'!$G$35="ENERGY",'ENG_SCEN'!$J$34,IF('IN_COST'!$G$35="WAGE",'ENG_SCEN'!$J$33,IF('IN_COST'!$G$35="CPI",'ENG_SCEN'!$J$32,1))))),IF('IN_COST'!$E$35="PER_M3",'ENG_OPS'!$J$64*'IN_COST'!$F$35*IF('IN_COST'!$G$35="FX",'ENG_SCEN'!$J$36,IF('IN_COST'!$G$35="PPI",'ENG_SCEN'!$J$35,IF('IN_COST'!$G$35="ENERGY",'ENG_SCEN'!$J$34,IF('IN_COST'!$G$35="WAGE",'ENG_SCEN'!$J$33,IF('IN_COST'!$G$35="CPI",'ENG_SCEN'!$J$32,1))))),IF('IN_COST'!$E$35="ANNUAL",'IN_COST'!$F$35*IF('IN_COST'!$G$35="FX",'ENG_SCEN'!$J$36,IF('IN_COST'!$G$35="PPI",'ENG_SCEN'!$J$35,IF('IN_COST'!$G$35="ENERGY",'ENG_SCEN'!$J$34,IF('IN_COST'!$G$35="WAGE",'ENG_SCEN'!$J$33,IF('IN_COST'!$G$35="CPI",'ENG_SCEN'!$J$32,1))))),IF('IN_COST'!$E$35="PCT_REV",'ENG_OPS'!$J$81*'IN_COST'!$F$35,IF('IN_COST'!$E$35="PCT_ASSET",'ENG_CAPEX'!$J$84*'IN_COST'!$F$35,IF('IN_COST'!$E$35="DEP",'ENG_CAPEX'!$J$81,IF('IN_COST'!$E$35="PAY",INDEX('IN_COST'!$D$15:$D$19,IFERROR(VALUE(MID('IN_COST'!$F$35,FIND(":",'IN_COST'!$F$35)+1,2)),1))*INDEX('IN_COST'!$E$15:$E$19,IFERROR(VALUE(MID('IN_COST'!$F$35,FIND(":",'IN_COST'!$F$35)+1,2)),1))*'IN_COST'!$D$10*'IN_COST'!$D$11*'ENG_SCEN'!$J$33,IF('IN_COST'!$E$35="SRV",SUM(INDEX('ENG_ALLOC'!$D$29:$P$58,(IFERROR(VALUE(MID('IN_COST'!$F$35,FIND(":",'IN_COST'!$F$35)+1,2)),1)-1)*6+1,7):INDEX('ENG_ALLOC'!$D$29:$P$58,IFERROR(VALUE(MID('IN_COST'!$F$35,FIND(":",'IN_COST'!$F$35)+1,2)),1)*6,7)),0)))))))))))*IF('IN_COST'!$E$35="DEP",'ENG_SCEN'!$G$16,IF('IN_COST'!$I$35="V",IF('IN_COST'!$E$35="SCRAP_LME",'ENG_SCEN'!$G$13,'ENG_SCEN'!$G$14),'ENG_SCEN'!$G$15))</f>
        <v/>
      </c>
      <c r="K49" s="33">
        <f>'IN_MACRO'!$K$34*IF('IN_COST'!$E$35="SCRAP_LME",'ENG_OPS'!$K$20*'IN_COST'!$F$35*'ENG_SCEN'!$K$37,IF('IN_COST'!$E$35="PER_TON_BATT",'ENG_OPS'!$K$20*'IN_COST'!$F$35*IF('IN_COST'!$G$35="FX",'ENG_SCEN'!$K$36,IF('IN_COST'!$G$35="PPI",'ENG_SCEN'!$K$35,IF('IN_COST'!$G$35="ENERGY",'ENG_SCEN'!$K$34,IF('IN_COST'!$G$35="WAGE",'ENG_SCEN'!$K$33,IF('IN_COST'!$G$35="CPI",'ENG_SCEN'!$K$32,1))))),IF('IN_COST'!$E$35="PER_TON_PROD",'ENG_OPS'!$K$43*'IN_COST'!$F$35*IF('IN_COST'!$G$35="FX",'ENG_SCEN'!$K$36,IF('IN_COST'!$G$35="PPI",'ENG_SCEN'!$K$35,IF('IN_COST'!$G$35="ENERGY",'ENG_SCEN'!$K$34,IF('IN_COST'!$G$35="WAGE",'ENG_SCEN'!$K$33,IF('IN_COST'!$G$35="CPI",'ENG_SCEN'!$K$32,1))))),IF('IN_COST'!$E$35="PER_KWH",'ENG_OPS'!$K$63*'IN_COST'!$F$35*IF('IN_COST'!$G$35="FX",'ENG_SCEN'!$K$36,IF('IN_COST'!$G$35="PPI",'ENG_SCEN'!$K$35,IF('IN_COST'!$G$35="ENERGY",'ENG_SCEN'!$K$34,IF('IN_COST'!$G$35="WAGE",'ENG_SCEN'!$K$33,IF('IN_COST'!$G$35="CPI",'ENG_SCEN'!$K$32,1))))),IF('IN_COST'!$E$35="PER_M3",'ENG_OPS'!$K$64*'IN_COST'!$F$35*IF('IN_COST'!$G$35="FX",'ENG_SCEN'!$K$36,IF('IN_COST'!$G$35="PPI",'ENG_SCEN'!$K$35,IF('IN_COST'!$G$35="ENERGY",'ENG_SCEN'!$K$34,IF('IN_COST'!$G$35="WAGE",'ENG_SCEN'!$K$33,IF('IN_COST'!$G$35="CPI",'ENG_SCEN'!$K$32,1))))),IF('IN_COST'!$E$35="ANNUAL",'IN_COST'!$F$35*IF('IN_COST'!$G$35="FX",'ENG_SCEN'!$K$36,IF('IN_COST'!$G$35="PPI",'ENG_SCEN'!$K$35,IF('IN_COST'!$G$35="ENERGY",'ENG_SCEN'!$K$34,IF('IN_COST'!$G$35="WAGE",'ENG_SCEN'!$K$33,IF('IN_COST'!$G$35="CPI",'ENG_SCEN'!$K$32,1))))),IF('IN_COST'!$E$35="PCT_REV",'ENG_OPS'!$K$81*'IN_COST'!$F$35,IF('IN_COST'!$E$35="PCT_ASSET",'ENG_CAPEX'!$K$84*'IN_COST'!$F$35,IF('IN_COST'!$E$35="DEP",'ENG_CAPEX'!$K$81,IF('IN_COST'!$E$35="PAY",INDEX('IN_COST'!$D$15:$D$19,IFERROR(VALUE(MID('IN_COST'!$F$35,FIND(":",'IN_COST'!$F$35)+1,2)),1))*INDEX('IN_COST'!$E$15:$E$19,IFERROR(VALUE(MID('IN_COST'!$F$35,FIND(":",'IN_COST'!$F$35)+1,2)),1))*'IN_COST'!$D$10*'IN_COST'!$D$11*'ENG_SCEN'!$K$33,IF('IN_COST'!$E$35="SRV",SUM(INDEX('ENG_ALLOC'!$D$29:$P$58,(IFERROR(VALUE(MID('IN_COST'!$F$35,FIND(":",'IN_COST'!$F$35)+1,2)),1)-1)*6+1,8):INDEX('ENG_ALLOC'!$D$29:$P$58,IFERROR(VALUE(MID('IN_COST'!$F$35,FIND(":",'IN_COST'!$F$35)+1,2)),1)*6,8)),0)))))))))))*IF('IN_COST'!$E$35="DEP",'ENG_SCEN'!$G$16,IF('IN_COST'!$I$35="V",IF('IN_COST'!$E$35="SCRAP_LME",'ENG_SCEN'!$G$13,'ENG_SCEN'!$G$14),'ENG_SCEN'!$G$15))</f>
        <v/>
      </c>
      <c r="L49" s="33">
        <f>'IN_MACRO'!$L$34*IF('IN_COST'!$E$35="SCRAP_LME",'ENG_OPS'!$L$20*'IN_COST'!$F$35*'ENG_SCEN'!$L$37,IF('IN_COST'!$E$35="PER_TON_BATT",'ENG_OPS'!$L$20*'IN_COST'!$F$35*IF('IN_COST'!$G$35="FX",'ENG_SCEN'!$L$36,IF('IN_COST'!$G$35="PPI",'ENG_SCEN'!$L$35,IF('IN_COST'!$G$35="ENERGY",'ENG_SCEN'!$L$34,IF('IN_COST'!$G$35="WAGE",'ENG_SCEN'!$L$33,IF('IN_COST'!$G$35="CPI",'ENG_SCEN'!$L$32,1))))),IF('IN_COST'!$E$35="PER_TON_PROD",'ENG_OPS'!$L$43*'IN_COST'!$F$35*IF('IN_COST'!$G$35="FX",'ENG_SCEN'!$L$36,IF('IN_COST'!$G$35="PPI",'ENG_SCEN'!$L$35,IF('IN_COST'!$G$35="ENERGY",'ENG_SCEN'!$L$34,IF('IN_COST'!$G$35="WAGE",'ENG_SCEN'!$L$33,IF('IN_COST'!$G$35="CPI",'ENG_SCEN'!$L$32,1))))),IF('IN_COST'!$E$35="PER_KWH",'ENG_OPS'!$L$63*'IN_COST'!$F$35*IF('IN_COST'!$G$35="FX",'ENG_SCEN'!$L$36,IF('IN_COST'!$G$35="PPI",'ENG_SCEN'!$L$35,IF('IN_COST'!$G$35="ENERGY",'ENG_SCEN'!$L$34,IF('IN_COST'!$G$35="WAGE",'ENG_SCEN'!$L$33,IF('IN_COST'!$G$35="CPI",'ENG_SCEN'!$L$32,1))))),IF('IN_COST'!$E$35="PER_M3",'ENG_OPS'!$L$64*'IN_COST'!$F$35*IF('IN_COST'!$G$35="FX",'ENG_SCEN'!$L$36,IF('IN_COST'!$G$35="PPI",'ENG_SCEN'!$L$35,IF('IN_COST'!$G$35="ENERGY",'ENG_SCEN'!$L$34,IF('IN_COST'!$G$35="WAGE",'ENG_SCEN'!$L$33,IF('IN_COST'!$G$35="CPI",'ENG_SCEN'!$L$32,1))))),IF('IN_COST'!$E$35="ANNUAL",'IN_COST'!$F$35*IF('IN_COST'!$G$35="FX",'ENG_SCEN'!$L$36,IF('IN_COST'!$G$35="PPI",'ENG_SCEN'!$L$35,IF('IN_COST'!$G$35="ENERGY",'ENG_SCEN'!$L$34,IF('IN_COST'!$G$35="WAGE",'ENG_SCEN'!$L$33,IF('IN_COST'!$G$35="CPI",'ENG_SCEN'!$L$32,1))))),IF('IN_COST'!$E$35="PCT_REV",'ENG_OPS'!$L$81*'IN_COST'!$F$35,IF('IN_COST'!$E$35="PCT_ASSET",'ENG_CAPEX'!$L$84*'IN_COST'!$F$35,IF('IN_COST'!$E$35="DEP",'ENG_CAPEX'!$L$81,IF('IN_COST'!$E$35="PAY",INDEX('IN_COST'!$D$15:$D$19,IFERROR(VALUE(MID('IN_COST'!$F$35,FIND(":",'IN_COST'!$F$35)+1,2)),1))*INDEX('IN_COST'!$E$15:$E$19,IFERROR(VALUE(MID('IN_COST'!$F$35,FIND(":",'IN_COST'!$F$35)+1,2)),1))*'IN_COST'!$D$10*'IN_COST'!$D$11*'ENG_SCEN'!$L$33,IF('IN_COST'!$E$35="SRV",SUM(INDEX('ENG_ALLOC'!$D$29:$P$58,(IFERROR(VALUE(MID('IN_COST'!$F$35,FIND(":",'IN_COST'!$F$35)+1,2)),1)-1)*6+1,9):INDEX('ENG_ALLOC'!$D$29:$P$58,IFERROR(VALUE(MID('IN_COST'!$F$35,FIND(":",'IN_COST'!$F$35)+1,2)),1)*6,9)),0)))))))))))*IF('IN_COST'!$E$35="DEP",'ENG_SCEN'!$G$16,IF('IN_COST'!$I$35="V",IF('IN_COST'!$E$35="SCRAP_LME",'ENG_SCEN'!$G$13,'ENG_SCEN'!$G$14),'ENG_SCEN'!$G$15))</f>
        <v/>
      </c>
      <c r="M49" s="33">
        <f>'IN_MACRO'!$M$34*IF('IN_COST'!$E$35="SCRAP_LME",'ENG_OPS'!$M$20*'IN_COST'!$F$35*'ENG_SCEN'!$M$37,IF('IN_COST'!$E$35="PER_TON_BATT",'ENG_OPS'!$M$20*'IN_COST'!$F$35*IF('IN_COST'!$G$35="FX",'ENG_SCEN'!$M$36,IF('IN_COST'!$G$35="PPI",'ENG_SCEN'!$M$35,IF('IN_COST'!$G$35="ENERGY",'ENG_SCEN'!$M$34,IF('IN_COST'!$G$35="WAGE",'ENG_SCEN'!$M$33,IF('IN_COST'!$G$35="CPI",'ENG_SCEN'!$M$32,1))))),IF('IN_COST'!$E$35="PER_TON_PROD",'ENG_OPS'!$M$43*'IN_COST'!$F$35*IF('IN_COST'!$G$35="FX",'ENG_SCEN'!$M$36,IF('IN_COST'!$G$35="PPI",'ENG_SCEN'!$M$35,IF('IN_COST'!$G$35="ENERGY",'ENG_SCEN'!$M$34,IF('IN_COST'!$G$35="WAGE",'ENG_SCEN'!$M$33,IF('IN_COST'!$G$35="CPI",'ENG_SCEN'!$M$32,1))))),IF('IN_COST'!$E$35="PER_KWH",'ENG_OPS'!$M$63*'IN_COST'!$F$35*IF('IN_COST'!$G$35="FX",'ENG_SCEN'!$M$36,IF('IN_COST'!$G$35="PPI",'ENG_SCEN'!$M$35,IF('IN_COST'!$G$35="ENERGY",'ENG_SCEN'!$M$34,IF('IN_COST'!$G$35="WAGE",'ENG_SCEN'!$M$33,IF('IN_COST'!$G$35="CPI",'ENG_SCEN'!$M$32,1))))),IF('IN_COST'!$E$35="PER_M3",'ENG_OPS'!$M$64*'IN_COST'!$F$35*IF('IN_COST'!$G$35="FX",'ENG_SCEN'!$M$36,IF('IN_COST'!$G$35="PPI",'ENG_SCEN'!$M$35,IF('IN_COST'!$G$35="ENERGY",'ENG_SCEN'!$M$34,IF('IN_COST'!$G$35="WAGE",'ENG_SCEN'!$M$33,IF('IN_COST'!$G$35="CPI",'ENG_SCEN'!$M$32,1))))),IF('IN_COST'!$E$35="ANNUAL",'IN_COST'!$F$35*IF('IN_COST'!$G$35="FX",'ENG_SCEN'!$M$36,IF('IN_COST'!$G$35="PPI",'ENG_SCEN'!$M$35,IF('IN_COST'!$G$35="ENERGY",'ENG_SCEN'!$M$34,IF('IN_COST'!$G$35="WAGE",'ENG_SCEN'!$M$33,IF('IN_COST'!$G$35="CPI",'ENG_SCEN'!$M$32,1))))),IF('IN_COST'!$E$35="PCT_REV",'ENG_OPS'!$M$81*'IN_COST'!$F$35,IF('IN_COST'!$E$35="PCT_ASSET",'ENG_CAPEX'!$M$84*'IN_COST'!$F$35,IF('IN_COST'!$E$35="DEP",'ENG_CAPEX'!$M$81,IF('IN_COST'!$E$35="PAY",INDEX('IN_COST'!$D$15:$D$19,IFERROR(VALUE(MID('IN_COST'!$F$35,FIND(":",'IN_COST'!$F$35)+1,2)),1))*INDEX('IN_COST'!$E$15:$E$19,IFERROR(VALUE(MID('IN_COST'!$F$35,FIND(":",'IN_COST'!$F$35)+1,2)),1))*'IN_COST'!$D$10*'IN_COST'!$D$11*'ENG_SCEN'!$M$33,IF('IN_COST'!$E$35="SRV",SUM(INDEX('ENG_ALLOC'!$D$29:$P$58,(IFERROR(VALUE(MID('IN_COST'!$F$35,FIND(":",'IN_COST'!$F$35)+1,2)),1)-1)*6+1,10):INDEX('ENG_ALLOC'!$D$29:$P$58,IFERROR(VALUE(MID('IN_COST'!$F$35,FIND(":",'IN_COST'!$F$35)+1,2)),1)*6,10)),0)))))))))))*IF('IN_COST'!$E$35="DEP",'ENG_SCEN'!$G$16,IF('IN_COST'!$I$35="V",IF('IN_COST'!$E$35="SCRAP_LME",'ENG_SCEN'!$G$13,'ENG_SCEN'!$G$14),'ENG_SCEN'!$G$15))</f>
        <v/>
      </c>
      <c r="N49" s="33">
        <f>'IN_MACRO'!$N$34*IF('IN_COST'!$E$35="SCRAP_LME",'ENG_OPS'!$N$20*'IN_COST'!$F$35*'ENG_SCEN'!$N$37,IF('IN_COST'!$E$35="PER_TON_BATT",'ENG_OPS'!$N$20*'IN_COST'!$F$35*IF('IN_COST'!$G$35="FX",'ENG_SCEN'!$N$36,IF('IN_COST'!$G$35="PPI",'ENG_SCEN'!$N$35,IF('IN_COST'!$G$35="ENERGY",'ENG_SCEN'!$N$34,IF('IN_COST'!$G$35="WAGE",'ENG_SCEN'!$N$33,IF('IN_COST'!$G$35="CPI",'ENG_SCEN'!$N$32,1))))),IF('IN_COST'!$E$35="PER_TON_PROD",'ENG_OPS'!$N$43*'IN_COST'!$F$35*IF('IN_COST'!$G$35="FX",'ENG_SCEN'!$N$36,IF('IN_COST'!$G$35="PPI",'ENG_SCEN'!$N$35,IF('IN_COST'!$G$35="ENERGY",'ENG_SCEN'!$N$34,IF('IN_COST'!$G$35="WAGE",'ENG_SCEN'!$N$33,IF('IN_COST'!$G$35="CPI",'ENG_SCEN'!$N$32,1))))),IF('IN_COST'!$E$35="PER_KWH",'ENG_OPS'!$N$63*'IN_COST'!$F$35*IF('IN_COST'!$G$35="FX",'ENG_SCEN'!$N$36,IF('IN_COST'!$G$35="PPI",'ENG_SCEN'!$N$35,IF('IN_COST'!$G$35="ENERGY",'ENG_SCEN'!$N$34,IF('IN_COST'!$G$35="WAGE",'ENG_SCEN'!$N$33,IF('IN_COST'!$G$35="CPI",'ENG_SCEN'!$N$32,1))))),IF('IN_COST'!$E$35="PER_M3",'ENG_OPS'!$N$64*'IN_COST'!$F$35*IF('IN_COST'!$G$35="FX",'ENG_SCEN'!$N$36,IF('IN_COST'!$G$35="PPI",'ENG_SCEN'!$N$35,IF('IN_COST'!$G$35="ENERGY",'ENG_SCEN'!$N$34,IF('IN_COST'!$G$35="WAGE",'ENG_SCEN'!$N$33,IF('IN_COST'!$G$35="CPI",'ENG_SCEN'!$N$32,1))))),IF('IN_COST'!$E$35="ANNUAL",'IN_COST'!$F$35*IF('IN_COST'!$G$35="FX",'ENG_SCEN'!$N$36,IF('IN_COST'!$G$35="PPI",'ENG_SCEN'!$N$35,IF('IN_COST'!$G$35="ENERGY",'ENG_SCEN'!$N$34,IF('IN_COST'!$G$35="WAGE",'ENG_SCEN'!$N$33,IF('IN_COST'!$G$35="CPI",'ENG_SCEN'!$N$32,1))))),IF('IN_COST'!$E$35="PCT_REV",'ENG_OPS'!$N$81*'IN_COST'!$F$35,IF('IN_COST'!$E$35="PCT_ASSET",'ENG_CAPEX'!$N$84*'IN_COST'!$F$35,IF('IN_COST'!$E$35="DEP",'ENG_CAPEX'!$N$81,IF('IN_COST'!$E$35="PAY",INDEX('IN_COST'!$D$15:$D$19,IFERROR(VALUE(MID('IN_COST'!$F$35,FIND(":",'IN_COST'!$F$35)+1,2)),1))*INDEX('IN_COST'!$E$15:$E$19,IFERROR(VALUE(MID('IN_COST'!$F$35,FIND(":",'IN_COST'!$F$35)+1,2)),1))*'IN_COST'!$D$10*'IN_COST'!$D$11*'ENG_SCEN'!$N$33,IF('IN_COST'!$E$35="SRV",SUM(INDEX('ENG_ALLOC'!$D$29:$P$58,(IFERROR(VALUE(MID('IN_COST'!$F$35,FIND(":",'IN_COST'!$F$35)+1,2)),1)-1)*6+1,11):INDEX('ENG_ALLOC'!$D$29:$P$58,IFERROR(VALUE(MID('IN_COST'!$F$35,FIND(":",'IN_COST'!$F$35)+1,2)),1)*6,11)),0)))))))))))*IF('IN_COST'!$E$35="DEP",'ENG_SCEN'!$G$16,IF('IN_COST'!$I$35="V",IF('IN_COST'!$E$35="SCRAP_LME",'ENG_SCEN'!$G$13,'ENG_SCEN'!$G$14),'ENG_SCEN'!$G$15))</f>
        <v/>
      </c>
      <c r="O49" s="33">
        <f>'IN_MACRO'!$O$34*IF('IN_COST'!$E$35="SCRAP_LME",'ENG_OPS'!$O$20*'IN_COST'!$F$35*'ENG_SCEN'!$O$37,IF('IN_COST'!$E$35="PER_TON_BATT",'ENG_OPS'!$O$20*'IN_COST'!$F$35*IF('IN_COST'!$G$35="FX",'ENG_SCEN'!$O$36,IF('IN_COST'!$G$35="PPI",'ENG_SCEN'!$O$35,IF('IN_COST'!$G$35="ENERGY",'ENG_SCEN'!$O$34,IF('IN_COST'!$G$35="WAGE",'ENG_SCEN'!$O$33,IF('IN_COST'!$G$35="CPI",'ENG_SCEN'!$O$32,1))))),IF('IN_COST'!$E$35="PER_TON_PROD",'ENG_OPS'!$O$43*'IN_COST'!$F$35*IF('IN_COST'!$G$35="FX",'ENG_SCEN'!$O$36,IF('IN_COST'!$G$35="PPI",'ENG_SCEN'!$O$35,IF('IN_COST'!$G$35="ENERGY",'ENG_SCEN'!$O$34,IF('IN_COST'!$G$35="WAGE",'ENG_SCEN'!$O$33,IF('IN_COST'!$G$35="CPI",'ENG_SCEN'!$O$32,1))))),IF('IN_COST'!$E$35="PER_KWH",'ENG_OPS'!$O$63*'IN_COST'!$F$35*IF('IN_COST'!$G$35="FX",'ENG_SCEN'!$O$36,IF('IN_COST'!$G$35="PPI",'ENG_SCEN'!$O$35,IF('IN_COST'!$G$35="ENERGY",'ENG_SCEN'!$O$34,IF('IN_COST'!$G$35="WAGE",'ENG_SCEN'!$O$33,IF('IN_COST'!$G$35="CPI",'ENG_SCEN'!$O$32,1))))),IF('IN_COST'!$E$35="PER_M3",'ENG_OPS'!$O$64*'IN_COST'!$F$35*IF('IN_COST'!$G$35="FX",'ENG_SCEN'!$O$36,IF('IN_COST'!$G$35="PPI",'ENG_SCEN'!$O$35,IF('IN_COST'!$G$35="ENERGY",'ENG_SCEN'!$O$34,IF('IN_COST'!$G$35="WAGE",'ENG_SCEN'!$O$33,IF('IN_COST'!$G$35="CPI",'ENG_SCEN'!$O$32,1))))),IF('IN_COST'!$E$35="ANNUAL",'IN_COST'!$F$35*IF('IN_COST'!$G$35="FX",'ENG_SCEN'!$O$36,IF('IN_COST'!$G$35="PPI",'ENG_SCEN'!$O$35,IF('IN_COST'!$G$35="ENERGY",'ENG_SCEN'!$O$34,IF('IN_COST'!$G$35="WAGE",'ENG_SCEN'!$O$33,IF('IN_COST'!$G$35="CPI",'ENG_SCEN'!$O$32,1))))),IF('IN_COST'!$E$35="PCT_REV",'ENG_OPS'!$O$81*'IN_COST'!$F$35,IF('IN_COST'!$E$35="PCT_ASSET",'ENG_CAPEX'!$O$84*'IN_COST'!$F$35,IF('IN_COST'!$E$35="DEP",'ENG_CAPEX'!$O$81,IF('IN_COST'!$E$35="PAY",INDEX('IN_COST'!$D$15:$D$19,IFERROR(VALUE(MID('IN_COST'!$F$35,FIND(":",'IN_COST'!$F$35)+1,2)),1))*INDEX('IN_COST'!$E$15:$E$19,IFERROR(VALUE(MID('IN_COST'!$F$35,FIND(":",'IN_COST'!$F$35)+1,2)),1))*'IN_COST'!$D$10*'IN_COST'!$D$11*'ENG_SCEN'!$O$33,IF('IN_COST'!$E$35="SRV",SUM(INDEX('ENG_ALLOC'!$D$29:$P$58,(IFERROR(VALUE(MID('IN_COST'!$F$35,FIND(":",'IN_COST'!$F$35)+1,2)),1)-1)*6+1,12):INDEX('ENG_ALLOC'!$D$29:$P$58,IFERROR(VALUE(MID('IN_COST'!$F$35,FIND(":",'IN_COST'!$F$35)+1,2)),1)*6,12)),0)))))))))))*IF('IN_COST'!$E$35="DEP",'ENG_SCEN'!$G$16,IF('IN_COST'!$I$35="V",IF('IN_COST'!$E$35="SCRAP_LME",'ENG_SCEN'!$G$13,'ENG_SCEN'!$G$14),'ENG_SCEN'!$G$15))</f>
        <v/>
      </c>
      <c r="P49" s="33">
        <f>'IN_MACRO'!$P$34*IF('IN_COST'!$E$35="SCRAP_LME",'ENG_OPS'!$P$20*'IN_COST'!$F$35*'ENG_SCEN'!$P$37,IF('IN_COST'!$E$35="PER_TON_BATT",'ENG_OPS'!$P$20*'IN_COST'!$F$35*IF('IN_COST'!$G$35="FX",'ENG_SCEN'!$P$36,IF('IN_COST'!$G$35="PPI",'ENG_SCEN'!$P$35,IF('IN_COST'!$G$35="ENERGY",'ENG_SCEN'!$P$34,IF('IN_COST'!$G$35="WAGE",'ENG_SCEN'!$P$33,IF('IN_COST'!$G$35="CPI",'ENG_SCEN'!$P$32,1))))),IF('IN_COST'!$E$35="PER_TON_PROD",'ENG_OPS'!$P$43*'IN_COST'!$F$35*IF('IN_COST'!$G$35="FX",'ENG_SCEN'!$P$36,IF('IN_COST'!$G$35="PPI",'ENG_SCEN'!$P$35,IF('IN_COST'!$G$35="ENERGY",'ENG_SCEN'!$P$34,IF('IN_COST'!$G$35="WAGE",'ENG_SCEN'!$P$33,IF('IN_COST'!$G$35="CPI",'ENG_SCEN'!$P$32,1))))),IF('IN_COST'!$E$35="PER_KWH",'ENG_OPS'!$P$63*'IN_COST'!$F$35*IF('IN_COST'!$G$35="FX",'ENG_SCEN'!$P$36,IF('IN_COST'!$G$35="PPI",'ENG_SCEN'!$P$35,IF('IN_COST'!$G$35="ENERGY",'ENG_SCEN'!$P$34,IF('IN_COST'!$G$35="WAGE",'ENG_SCEN'!$P$33,IF('IN_COST'!$G$35="CPI",'ENG_SCEN'!$P$32,1))))),IF('IN_COST'!$E$35="PER_M3",'ENG_OPS'!$P$64*'IN_COST'!$F$35*IF('IN_COST'!$G$35="FX",'ENG_SCEN'!$P$36,IF('IN_COST'!$G$35="PPI",'ENG_SCEN'!$P$35,IF('IN_COST'!$G$35="ENERGY",'ENG_SCEN'!$P$34,IF('IN_COST'!$G$35="WAGE",'ENG_SCEN'!$P$33,IF('IN_COST'!$G$35="CPI",'ENG_SCEN'!$P$32,1))))),IF('IN_COST'!$E$35="ANNUAL",'IN_COST'!$F$35*IF('IN_COST'!$G$35="FX",'ENG_SCEN'!$P$36,IF('IN_COST'!$G$35="PPI",'ENG_SCEN'!$P$35,IF('IN_COST'!$G$35="ENERGY",'ENG_SCEN'!$P$34,IF('IN_COST'!$G$35="WAGE",'ENG_SCEN'!$P$33,IF('IN_COST'!$G$35="CPI",'ENG_SCEN'!$P$32,1))))),IF('IN_COST'!$E$35="PCT_REV",'ENG_OPS'!$P$81*'IN_COST'!$F$35,IF('IN_COST'!$E$35="PCT_ASSET",'ENG_CAPEX'!$P$84*'IN_COST'!$F$35,IF('IN_COST'!$E$35="DEP",'ENG_CAPEX'!$P$81,IF('IN_COST'!$E$35="PAY",INDEX('IN_COST'!$D$15:$D$19,IFERROR(VALUE(MID('IN_COST'!$F$35,FIND(":",'IN_COST'!$F$35)+1,2)),1))*INDEX('IN_COST'!$E$15:$E$19,IFERROR(VALUE(MID('IN_COST'!$F$35,FIND(":",'IN_COST'!$F$35)+1,2)),1))*'IN_COST'!$D$10*'IN_COST'!$D$11*'ENG_SCEN'!$P$33,IF('IN_COST'!$E$35="SRV",SUM(INDEX('ENG_ALLOC'!$D$29:$P$58,(IFERROR(VALUE(MID('IN_COST'!$F$35,FIND(":",'IN_COST'!$F$35)+1,2)),1)-1)*6+1,13):INDEX('ENG_ALLOC'!$D$29:$P$58,IFERROR(VALUE(MID('IN_COST'!$F$35,FIND(":",'IN_COST'!$F$35)+1,2)),1)*6,13)),0)))))))))))*IF('IN_COST'!$E$35="DEP",'ENG_SCEN'!$G$16,IF('IN_COST'!$I$35="V",IF('IN_COST'!$E$35="SCRAP_LME",'ENG_SCEN'!$G$13,'ENG_SCEN'!$G$14),'ENG_SCEN'!$G$15))</f>
        <v/>
      </c>
    </row>
    <row r="50">
      <c r="A50" s="15" t="inlineStr">
        <is>
          <t>DPC-04 | مواد بسته‌بندی</t>
        </is>
      </c>
      <c r="B50" s="16" t="inlineStr">
        <is>
          <t>EC.tot.3</t>
        </is>
      </c>
      <c r="C50" s="17" t="inlineStr">
        <is>
          <t>میلیون ریال</t>
        </is>
      </c>
      <c r="D50" s="33">
        <f>'IN_MACRO'!$D$34*IF('IN_COST'!$E$36="SCRAP_LME",'ENG_OPS'!$D$20*'IN_COST'!$F$36*'ENG_SCEN'!$D$37,IF('IN_COST'!$E$36="PER_TON_BATT",'ENG_OPS'!$D$20*'IN_COST'!$F$36*IF('IN_COST'!$G$36="FX",'ENG_SCEN'!$D$36,IF('IN_COST'!$G$36="PPI",'ENG_SCEN'!$D$35,IF('IN_COST'!$G$36="ENERGY",'ENG_SCEN'!$D$34,IF('IN_COST'!$G$36="WAGE",'ENG_SCEN'!$D$33,IF('IN_COST'!$G$36="CPI",'ENG_SCEN'!$D$32,1))))),IF('IN_COST'!$E$36="PER_TON_PROD",'ENG_OPS'!$D$43*'IN_COST'!$F$36*IF('IN_COST'!$G$36="FX",'ENG_SCEN'!$D$36,IF('IN_COST'!$G$36="PPI",'ENG_SCEN'!$D$35,IF('IN_COST'!$G$36="ENERGY",'ENG_SCEN'!$D$34,IF('IN_COST'!$G$36="WAGE",'ENG_SCEN'!$D$33,IF('IN_COST'!$G$36="CPI",'ENG_SCEN'!$D$32,1))))),IF('IN_COST'!$E$36="PER_KWH",'ENG_OPS'!$D$63*'IN_COST'!$F$36*IF('IN_COST'!$G$36="FX",'ENG_SCEN'!$D$36,IF('IN_COST'!$G$36="PPI",'ENG_SCEN'!$D$35,IF('IN_COST'!$G$36="ENERGY",'ENG_SCEN'!$D$34,IF('IN_COST'!$G$36="WAGE",'ENG_SCEN'!$D$33,IF('IN_COST'!$G$36="CPI",'ENG_SCEN'!$D$32,1))))),IF('IN_COST'!$E$36="PER_M3",'ENG_OPS'!$D$64*'IN_COST'!$F$36*IF('IN_COST'!$G$36="FX",'ENG_SCEN'!$D$36,IF('IN_COST'!$G$36="PPI",'ENG_SCEN'!$D$35,IF('IN_COST'!$G$36="ENERGY",'ENG_SCEN'!$D$34,IF('IN_COST'!$G$36="WAGE",'ENG_SCEN'!$D$33,IF('IN_COST'!$G$36="CPI",'ENG_SCEN'!$D$32,1))))),IF('IN_COST'!$E$36="ANNUAL",'IN_COST'!$F$36*IF('IN_COST'!$G$36="FX",'ENG_SCEN'!$D$36,IF('IN_COST'!$G$36="PPI",'ENG_SCEN'!$D$35,IF('IN_COST'!$G$36="ENERGY",'ENG_SCEN'!$D$34,IF('IN_COST'!$G$36="WAGE",'ENG_SCEN'!$D$33,IF('IN_COST'!$G$36="CPI",'ENG_SCEN'!$D$32,1))))),IF('IN_COST'!$E$36="PCT_REV",'ENG_OPS'!$D$81*'IN_COST'!$F$36,IF('IN_COST'!$E$36="PCT_ASSET",'ENG_CAPEX'!$D$84*'IN_COST'!$F$36,IF('IN_COST'!$E$36="DEP",'ENG_CAPEX'!$D$81,IF('IN_COST'!$E$36="PAY",INDEX('IN_COST'!$D$15:$D$19,IFERROR(VALUE(MID('IN_COST'!$F$36,FIND(":",'IN_COST'!$F$36)+1,2)),1))*INDEX('IN_COST'!$E$15:$E$19,IFERROR(VALUE(MID('IN_COST'!$F$36,FIND(":",'IN_COST'!$F$36)+1,2)),1))*'IN_COST'!$D$10*'IN_COST'!$D$11*'ENG_SCEN'!$D$33,IF('IN_COST'!$E$36="SRV",SUM(INDEX('ENG_ALLOC'!$D$29:$P$58,(IFERROR(VALUE(MID('IN_COST'!$F$36,FIND(":",'IN_COST'!$F$36)+1,2)),1)-1)*6+1,1):INDEX('ENG_ALLOC'!$D$29:$P$58,IFERROR(VALUE(MID('IN_COST'!$F$36,FIND(":",'IN_COST'!$F$36)+1,2)),1)*6,1)),0)))))))))))*IF('IN_COST'!$E$36="DEP",'ENG_SCEN'!$G$16,IF('IN_COST'!$I$36="V",IF('IN_COST'!$E$36="SCRAP_LME",'ENG_SCEN'!$G$13,'ENG_SCEN'!$G$14),'ENG_SCEN'!$G$15))</f>
        <v/>
      </c>
      <c r="E50" s="33">
        <f>'IN_MACRO'!$E$34*IF('IN_COST'!$E$36="SCRAP_LME",'ENG_OPS'!$E$20*'IN_COST'!$F$36*'ENG_SCEN'!$E$37,IF('IN_COST'!$E$36="PER_TON_BATT",'ENG_OPS'!$E$20*'IN_COST'!$F$36*IF('IN_COST'!$G$36="FX",'ENG_SCEN'!$E$36,IF('IN_COST'!$G$36="PPI",'ENG_SCEN'!$E$35,IF('IN_COST'!$G$36="ENERGY",'ENG_SCEN'!$E$34,IF('IN_COST'!$G$36="WAGE",'ENG_SCEN'!$E$33,IF('IN_COST'!$G$36="CPI",'ENG_SCEN'!$E$32,1))))),IF('IN_COST'!$E$36="PER_TON_PROD",'ENG_OPS'!$E$43*'IN_COST'!$F$36*IF('IN_COST'!$G$36="FX",'ENG_SCEN'!$E$36,IF('IN_COST'!$G$36="PPI",'ENG_SCEN'!$E$35,IF('IN_COST'!$G$36="ENERGY",'ENG_SCEN'!$E$34,IF('IN_COST'!$G$36="WAGE",'ENG_SCEN'!$E$33,IF('IN_COST'!$G$36="CPI",'ENG_SCEN'!$E$32,1))))),IF('IN_COST'!$E$36="PER_KWH",'ENG_OPS'!$E$63*'IN_COST'!$F$36*IF('IN_COST'!$G$36="FX",'ENG_SCEN'!$E$36,IF('IN_COST'!$G$36="PPI",'ENG_SCEN'!$E$35,IF('IN_COST'!$G$36="ENERGY",'ENG_SCEN'!$E$34,IF('IN_COST'!$G$36="WAGE",'ENG_SCEN'!$E$33,IF('IN_COST'!$G$36="CPI",'ENG_SCEN'!$E$32,1))))),IF('IN_COST'!$E$36="PER_M3",'ENG_OPS'!$E$64*'IN_COST'!$F$36*IF('IN_COST'!$G$36="FX",'ENG_SCEN'!$E$36,IF('IN_COST'!$G$36="PPI",'ENG_SCEN'!$E$35,IF('IN_COST'!$G$36="ENERGY",'ENG_SCEN'!$E$34,IF('IN_COST'!$G$36="WAGE",'ENG_SCEN'!$E$33,IF('IN_COST'!$G$36="CPI",'ENG_SCEN'!$E$32,1))))),IF('IN_COST'!$E$36="ANNUAL",'IN_COST'!$F$36*IF('IN_COST'!$G$36="FX",'ENG_SCEN'!$E$36,IF('IN_COST'!$G$36="PPI",'ENG_SCEN'!$E$35,IF('IN_COST'!$G$36="ENERGY",'ENG_SCEN'!$E$34,IF('IN_COST'!$G$36="WAGE",'ENG_SCEN'!$E$33,IF('IN_COST'!$G$36="CPI",'ENG_SCEN'!$E$32,1))))),IF('IN_COST'!$E$36="PCT_REV",'ENG_OPS'!$E$81*'IN_COST'!$F$36,IF('IN_COST'!$E$36="PCT_ASSET",'ENG_CAPEX'!$E$84*'IN_COST'!$F$36,IF('IN_COST'!$E$36="DEP",'ENG_CAPEX'!$E$81,IF('IN_COST'!$E$36="PAY",INDEX('IN_COST'!$D$15:$D$19,IFERROR(VALUE(MID('IN_COST'!$F$36,FIND(":",'IN_COST'!$F$36)+1,2)),1))*INDEX('IN_COST'!$E$15:$E$19,IFERROR(VALUE(MID('IN_COST'!$F$36,FIND(":",'IN_COST'!$F$36)+1,2)),1))*'IN_COST'!$D$10*'IN_COST'!$D$11*'ENG_SCEN'!$E$33,IF('IN_COST'!$E$36="SRV",SUM(INDEX('ENG_ALLOC'!$D$29:$P$58,(IFERROR(VALUE(MID('IN_COST'!$F$36,FIND(":",'IN_COST'!$F$36)+1,2)),1)-1)*6+1,2):INDEX('ENG_ALLOC'!$D$29:$P$58,IFERROR(VALUE(MID('IN_COST'!$F$36,FIND(":",'IN_COST'!$F$36)+1,2)),1)*6,2)),0)))))))))))*IF('IN_COST'!$E$36="DEP",'ENG_SCEN'!$G$16,IF('IN_COST'!$I$36="V",IF('IN_COST'!$E$36="SCRAP_LME",'ENG_SCEN'!$G$13,'ENG_SCEN'!$G$14),'ENG_SCEN'!$G$15))</f>
        <v/>
      </c>
      <c r="F50" s="33">
        <f>'IN_MACRO'!$F$34*IF('IN_COST'!$E$36="SCRAP_LME",'ENG_OPS'!$F$20*'IN_COST'!$F$36*'ENG_SCEN'!$F$37,IF('IN_COST'!$E$36="PER_TON_BATT",'ENG_OPS'!$F$20*'IN_COST'!$F$36*IF('IN_COST'!$G$36="FX",'ENG_SCEN'!$F$36,IF('IN_COST'!$G$36="PPI",'ENG_SCEN'!$F$35,IF('IN_COST'!$G$36="ENERGY",'ENG_SCEN'!$F$34,IF('IN_COST'!$G$36="WAGE",'ENG_SCEN'!$F$33,IF('IN_COST'!$G$36="CPI",'ENG_SCEN'!$F$32,1))))),IF('IN_COST'!$E$36="PER_TON_PROD",'ENG_OPS'!$F$43*'IN_COST'!$F$36*IF('IN_COST'!$G$36="FX",'ENG_SCEN'!$F$36,IF('IN_COST'!$G$36="PPI",'ENG_SCEN'!$F$35,IF('IN_COST'!$G$36="ENERGY",'ENG_SCEN'!$F$34,IF('IN_COST'!$G$36="WAGE",'ENG_SCEN'!$F$33,IF('IN_COST'!$G$36="CPI",'ENG_SCEN'!$F$32,1))))),IF('IN_COST'!$E$36="PER_KWH",'ENG_OPS'!$F$63*'IN_COST'!$F$36*IF('IN_COST'!$G$36="FX",'ENG_SCEN'!$F$36,IF('IN_COST'!$G$36="PPI",'ENG_SCEN'!$F$35,IF('IN_COST'!$G$36="ENERGY",'ENG_SCEN'!$F$34,IF('IN_COST'!$G$36="WAGE",'ENG_SCEN'!$F$33,IF('IN_COST'!$G$36="CPI",'ENG_SCEN'!$F$32,1))))),IF('IN_COST'!$E$36="PER_M3",'ENG_OPS'!$F$64*'IN_COST'!$F$36*IF('IN_COST'!$G$36="FX",'ENG_SCEN'!$F$36,IF('IN_COST'!$G$36="PPI",'ENG_SCEN'!$F$35,IF('IN_COST'!$G$36="ENERGY",'ENG_SCEN'!$F$34,IF('IN_COST'!$G$36="WAGE",'ENG_SCEN'!$F$33,IF('IN_COST'!$G$36="CPI",'ENG_SCEN'!$F$32,1))))),IF('IN_COST'!$E$36="ANNUAL",'IN_COST'!$F$36*IF('IN_COST'!$G$36="FX",'ENG_SCEN'!$F$36,IF('IN_COST'!$G$36="PPI",'ENG_SCEN'!$F$35,IF('IN_COST'!$G$36="ENERGY",'ENG_SCEN'!$F$34,IF('IN_COST'!$G$36="WAGE",'ENG_SCEN'!$F$33,IF('IN_COST'!$G$36="CPI",'ENG_SCEN'!$F$32,1))))),IF('IN_COST'!$E$36="PCT_REV",'ENG_OPS'!$F$81*'IN_COST'!$F$36,IF('IN_COST'!$E$36="PCT_ASSET",'ENG_CAPEX'!$F$84*'IN_COST'!$F$36,IF('IN_COST'!$E$36="DEP",'ENG_CAPEX'!$F$81,IF('IN_COST'!$E$36="PAY",INDEX('IN_COST'!$D$15:$D$19,IFERROR(VALUE(MID('IN_COST'!$F$36,FIND(":",'IN_COST'!$F$36)+1,2)),1))*INDEX('IN_COST'!$E$15:$E$19,IFERROR(VALUE(MID('IN_COST'!$F$36,FIND(":",'IN_COST'!$F$36)+1,2)),1))*'IN_COST'!$D$10*'IN_COST'!$D$11*'ENG_SCEN'!$F$33,IF('IN_COST'!$E$36="SRV",SUM(INDEX('ENG_ALLOC'!$D$29:$P$58,(IFERROR(VALUE(MID('IN_COST'!$F$36,FIND(":",'IN_COST'!$F$36)+1,2)),1)-1)*6+1,3):INDEX('ENG_ALLOC'!$D$29:$P$58,IFERROR(VALUE(MID('IN_COST'!$F$36,FIND(":",'IN_COST'!$F$36)+1,2)),1)*6,3)),0)))))))))))*IF('IN_COST'!$E$36="DEP",'ENG_SCEN'!$G$16,IF('IN_COST'!$I$36="V",IF('IN_COST'!$E$36="SCRAP_LME",'ENG_SCEN'!$G$13,'ENG_SCEN'!$G$14),'ENG_SCEN'!$G$15))</f>
        <v/>
      </c>
      <c r="G50" s="33">
        <f>'IN_MACRO'!$G$34*IF('IN_COST'!$E$36="SCRAP_LME",'ENG_OPS'!$G$20*'IN_COST'!$F$36*'ENG_SCEN'!$G$37,IF('IN_COST'!$E$36="PER_TON_BATT",'ENG_OPS'!$G$20*'IN_COST'!$F$36*IF('IN_COST'!$G$36="FX",'ENG_SCEN'!$G$36,IF('IN_COST'!$G$36="PPI",'ENG_SCEN'!$G$35,IF('IN_COST'!$G$36="ENERGY",'ENG_SCEN'!$G$34,IF('IN_COST'!$G$36="WAGE",'ENG_SCEN'!$G$33,IF('IN_COST'!$G$36="CPI",'ENG_SCEN'!$G$32,1))))),IF('IN_COST'!$E$36="PER_TON_PROD",'ENG_OPS'!$G$43*'IN_COST'!$F$36*IF('IN_COST'!$G$36="FX",'ENG_SCEN'!$G$36,IF('IN_COST'!$G$36="PPI",'ENG_SCEN'!$G$35,IF('IN_COST'!$G$36="ENERGY",'ENG_SCEN'!$G$34,IF('IN_COST'!$G$36="WAGE",'ENG_SCEN'!$G$33,IF('IN_COST'!$G$36="CPI",'ENG_SCEN'!$G$32,1))))),IF('IN_COST'!$E$36="PER_KWH",'ENG_OPS'!$G$63*'IN_COST'!$F$36*IF('IN_COST'!$G$36="FX",'ENG_SCEN'!$G$36,IF('IN_COST'!$G$36="PPI",'ENG_SCEN'!$G$35,IF('IN_COST'!$G$36="ENERGY",'ENG_SCEN'!$G$34,IF('IN_COST'!$G$36="WAGE",'ENG_SCEN'!$G$33,IF('IN_COST'!$G$36="CPI",'ENG_SCEN'!$G$32,1))))),IF('IN_COST'!$E$36="PER_M3",'ENG_OPS'!$G$64*'IN_COST'!$F$36*IF('IN_COST'!$G$36="FX",'ENG_SCEN'!$G$36,IF('IN_COST'!$G$36="PPI",'ENG_SCEN'!$G$35,IF('IN_COST'!$G$36="ENERGY",'ENG_SCEN'!$G$34,IF('IN_COST'!$G$36="WAGE",'ENG_SCEN'!$G$33,IF('IN_COST'!$G$36="CPI",'ENG_SCEN'!$G$32,1))))),IF('IN_COST'!$E$36="ANNUAL",'IN_COST'!$F$36*IF('IN_COST'!$G$36="FX",'ENG_SCEN'!$G$36,IF('IN_COST'!$G$36="PPI",'ENG_SCEN'!$G$35,IF('IN_COST'!$G$36="ENERGY",'ENG_SCEN'!$G$34,IF('IN_COST'!$G$36="WAGE",'ENG_SCEN'!$G$33,IF('IN_COST'!$G$36="CPI",'ENG_SCEN'!$G$32,1))))),IF('IN_COST'!$E$36="PCT_REV",'ENG_OPS'!$G$81*'IN_COST'!$F$36,IF('IN_COST'!$E$36="PCT_ASSET",'ENG_CAPEX'!$G$84*'IN_COST'!$F$36,IF('IN_COST'!$E$36="DEP",'ENG_CAPEX'!$G$81,IF('IN_COST'!$E$36="PAY",INDEX('IN_COST'!$D$15:$D$19,IFERROR(VALUE(MID('IN_COST'!$F$36,FIND(":",'IN_COST'!$F$36)+1,2)),1))*INDEX('IN_COST'!$E$15:$E$19,IFERROR(VALUE(MID('IN_COST'!$F$36,FIND(":",'IN_COST'!$F$36)+1,2)),1))*'IN_COST'!$D$10*'IN_COST'!$D$11*'ENG_SCEN'!$G$33,IF('IN_COST'!$E$36="SRV",SUM(INDEX('ENG_ALLOC'!$D$29:$P$58,(IFERROR(VALUE(MID('IN_COST'!$F$36,FIND(":",'IN_COST'!$F$36)+1,2)),1)-1)*6+1,4):INDEX('ENG_ALLOC'!$D$29:$P$58,IFERROR(VALUE(MID('IN_COST'!$F$36,FIND(":",'IN_COST'!$F$36)+1,2)),1)*6,4)),0)))))))))))*IF('IN_COST'!$E$36="DEP",'ENG_SCEN'!$G$16,IF('IN_COST'!$I$36="V",IF('IN_COST'!$E$36="SCRAP_LME",'ENG_SCEN'!$G$13,'ENG_SCEN'!$G$14),'ENG_SCEN'!$G$15))</f>
        <v/>
      </c>
      <c r="H50" s="33">
        <f>'IN_MACRO'!$H$34*IF('IN_COST'!$E$36="SCRAP_LME",'ENG_OPS'!$H$20*'IN_COST'!$F$36*'ENG_SCEN'!$H$37,IF('IN_COST'!$E$36="PER_TON_BATT",'ENG_OPS'!$H$20*'IN_COST'!$F$36*IF('IN_COST'!$G$36="FX",'ENG_SCEN'!$H$36,IF('IN_COST'!$G$36="PPI",'ENG_SCEN'!$H$35,IF('IN_COST'!$G$36="ENERGY",'ENG_SCEN'!$H$34,IF('IN_COST'!$G$36="WAGE",'ENG_SCEN'!$H$33,IF('IN_COST'!$G$36="CPI",'ENG_SCEN'!$H$32,1))))),IF('IN_COST'!$E$36="PER_TON_PROD",'ENG_OPS'!$H$43*'IN_COST'!$F$36*IF('IN_COST'!$G$36="FX",'ENG_SCEN'!$H$36,IF('IN_COST'!$G$36="PPI",'ENG_SCEN'!$H$35,IF('IN_COST'!$G$36="ENERGY",'ENG_SCEN'!$H$34,IF('IN_COST'!$G$36="WAGE",'ENG_SCEN'!$H$33,IF('IN_COST'!$G$36="CPI",'ENG_SCEN'!$H$32,1))))),IF('IN_COST'!$E$36="PER_KWH",'ENG_OPS'!$H$63*'IN_COST'!$F$36*IF('IN_COST'!$G$36="FX",'ENG_SCEN'!$H$36,IF('IN_COST'!$G$36="PPI",'ENG_SCEN'!$H$35,IF('IN_COST'!$G$36="ENERGY",'ENG_SCEN'!$H$34,IF('IN_COST'!$G$36="WAGE",'ENG_SCEN'!$H$33,IF('IN_COST'!$G$36="CPI",'ENG_SCEN'!$H$32,1))))),IF('IN_COST'!$E$36="PER_M3",'ENG_OPS'!$H$64*'IN_COST'!$F$36*IF('IN_COST'!$G$36="FX",'ENG_SCEN'!$H$36,IF('IN_COST'!$G$36="PPI",'ENG_SCEN'!$H$35,IF('IN_COST'!$G$36="ENERGY",'ENG_SCEN'!$H$34,IF('IN_COST'!$G$36="WAGE",'ENG_SCEN'!$H$33,IF('IN_COST'!$G$36="CPI",'ENG_SCEN'!$H$32,1))))),IF('IN_COST'!$E$36="ANNUAL",'IN_COST'!$F$36*IF('IN_COST'!$G$36="FX",'ENG_SCEN'!$H$36,IF('IN_COST'!$G$36="PPI",'ENG_SCEN'!$H$35,IF('IN_COST'!$G$36="ENERGY",'ENG_SCEN'!$H$34,IF('IN_COST'!$G$36="WAGE",'ENG_SCEN'!$H$33,IF('IN_COST'!$G$36="CPI",'ENG_SCEN'!$H$32,1))))),IF('IN_COST'!$E$36="PCT_REV",'ENG_OPS'!$H$81*'IN_COST'!$F$36,IF('IN_COST'!$E$36="PCT_ASSET",'ENG_CAPEX'!$H$84*'IN_COST'!$F$36,IF('IN_COST'!$E$36="DEP",'ENG_CAPEX'!$H$81,IF('IN_COST'!$E$36="PAY",INDEX('IN_COST'!$D$15:$D$19,IFERROR(VALUE(MID('IN_COST'!$F$36,FIND(":",'IN_COST'!$F$36)+1,2)),1))*INDEX('IN_COST'!$E$15:$E$19,IFERROR(VALUE(MID('IN_COST'!$F$36,FIND(":",'IN_COST'!$F$36)+1,2)),1))*'IN_COST'!$D$10*'IN_COST'!$D$11*'ENG_SCEN'!$H$33,IF('IN_COST'!$E$36="SRV",SUM(INDEX('ENG_ALLOC'!$D$29:$P$58,(IFERROR(VALUE(MID('IN_COST'!$F$36,FIND(":",'IN_COST'!$F$36)+1,2)),1)-1)*6+1,5):INDEX('ENG_ALLOC'!$D$29:$P$58,IFERROR(VALUE(MID('IN_COST'!$F$36,FIND(":",'IN_COST'!$F$36)+1,2)),1)*6,5)),0)))))))))))*IF('IN_COST'!$E$36="DEP",'ENG_SCEN'!$G$16,IF('IN_COST'!$I$36="V",IF('IN_COST'!$E$36="SCRAP_LME",'ENG_SCEN'!$G$13,'ENG_SCEN'!$G$14),'ENG_SCEN'!$G$15))</f>
        <v/>
      </c>
      <c r="I50" s="33">
        <f>'IN_MACRO'!$I$34*IF('IN_COST'!$E$36="SCRAP_LME",'ENG_OPS'!$I$20*'IN_COST'!$F$36*'ENG_SCEN'!$I$37,IF('IN_COST'!$E$36="PER_TON_BATT",'ENG_OPS'!$I$20*'IN_COST'!$F$36*IF('IN_COST'!$G$36="FX",'ENG_SCEN'!$I$36,IF('IN_COST'!$G$36="PPI",'ENG_SCEN'!$I$35,IF('IN_COST'!$G$36="ENERGY",'ENG_SCEN'!$I$34,IF('IN_COST'!$G$36="WAGE",'ENG_SCEN'!$I$33,IF('IN_COST'!$G$36="CPI",'ENG_SCEN'!$I$32,1))))),IF('IN_COST'!$E$36="PER_TON_PROD",'ENG_OPS'!$I$43*'IN_COST'!$F$36*IF('IN_COST'!$G$36="FX",'ENG_SCEN'!$I$36,IF('IN_COST'!$G$36="PPI",'ENG_SCEN'!$I$35,IF('IN_COST'!$G$36="ENERGY",'ENG_SCEN'!$I$34,IF('IN_COST'!$G$36="WAGE",'ENG_SCEN'!$I$33,IF('IN_COST'!$G$36="CPI",'ENG_SCEN'!$I$32,1))))),IF('IN_COST'!$E$36="PER_KWH",'ENG_OPS'!$I$63*'IN_COST'!$F$36*IF('IN_COST'!$G$36="FX",'ENG_SCEN'!$I$36,IF('IN_COST'!$G$36="PPI",'ENG_SCEN'!$I$35,IF('IN_COST'!$G$36="ENERGY",'ENG_SCEN'!$I$34,IF('IN_COST'!$G$36="WAGE",'ENG_SCEN'!$I$33,IF('IN_COST'!$G$36="CPI",'ENG_SCEN'!$I$32,1))))),IF('IN_COST'!$E$36="PER_M3",'ENG_OPS'!$I$64*'IN_COST'!$F$36*IF('IN_COST'!$G$36="FX",'ENG_SCEN'!$I$36,IF('IN_COST'!$G$36="PPI",'ENG_SCEN'!$I$35,IF('IN_COST'!$G$36="ENERGY",'ENG_SCEN'!$I$34,IF('IN_COST'!$G$36="WAGE",'ENG_SCEN'!$I$33,IF('IN_COST'!$G$36="CPI",'ENG_SCEN'!$I$32,1))))),IF('IN_COST'!$E$36="ANNUAL",'IN_COST'!$F$36*IF('IN_COST'!$G$36="FX",'ENG_SCEN'!$I$36,IF('IN_COST'!$G$36="PPI",'ENG_SCEN'!$I$35,IF('IN_COST'!$G$36="ENERGY",'ENG_SCEN'!$I$34,IF('IN_COST'!$G$36="WAGE",'ENG_SCEN'!$I$33,IF('IN_COST'!$G$36="CPI",'ENG_SCEN'!$I$32,1))))),IF('IN_COST'!$E$36="PCT_REV",'ENG_OPS'!$I$81*'IN_COST'!$F$36,IF('IN_COST'!$E$36="PCT_ASSET",'ENG_CAPEX'!$I$84*'IN_COST'!$F$36,IF('IN_COST'!$E$36="DEP",'ENG_CAPEX'!$I$81,IF('IN_COST'!$E$36="PAY",INDEX('IN_COST'!$D$15:$D$19,IFERROR(VALUE(MID('IN_COST'!$F$36,FIND(":",'IN_COST'!$F$36)+1,2)),1))*INDEX('IN_COST'!$E$15:$E$19,IFERROR(VALUE(MID('IN_COST'!$F$36,FIND(":",'IN_COST'!$F$36)+1,2)),1))*'IN_COST'!$D$10*'IN_COST'!$D$11*'ENG_SCEN'!$I$33,IF('IN_COST'!$E$36="SRV",SUM(INDEX('ENG_ALLOC'!$D$29:$P$58,(IFERROR(VALUE(MID('IN_COST'!$F$36,FIND(":",'IN_COST'!$F$36)+1,2)),1)-1)*6+1,6):INDEX('ENG_ALLOC'!$D$29:$P$58,IFERROR(VALUE(MID('IN_COST'!$F$36,FIND(":",'IN_COST'!$F$36)+1,2)),1)*6,6)),0)))))))))))*IF('IN_COST'!$E$36="DEP",'ENG_SCEN'!$G$16,IF('IN_COST'!$I$36="V",IF('IN_COST'!$E$36="SCRAP_LME",'ENG_SCEN'!$G$13,'ENG_SCEN'!$G$14),'ENG_SCEN'!$G$15))</f>
        <v/>
      </c>
      <c r="J50" s="33">
        <f>'IN_MACRO'!$J$34*IF('IN_COST'!$E$36="SCRAP_LME",'ENG_OPS'!$J$20*'IN_COST'!$F$36*'ENG_SCEN'!$J$37,IF('IN_COST'!$E$36="PER_TON_BATT",'ENG_OPS'!$J$20*'IN_COST'!$F$36*IF('IN_COST'!$G$36="FX",'ENG_SCEN'!$J$36,IF('IN_COST'!$G$36="PPI",'ENG_SCEN'!$J$35,IF('IN_COST'!$G$36="ENERGY",'ENG_SCEN'!$J$34,IF('IN_COST'!$G$36="WAGE",'ENG_SCEN'!$J$33,IF('IN_COST'!$G$36="CPI",'ENG_SCEN'!$J$32,1))))),IF('IN_COST'!$E$36="PER_TON_PROD",'ENG_OPS'!$J$43*'IN_COST'!$F$36*IF('IN_COST'!$G$36="FX",'ENG_SCEN'!$J$36,IF('IN_COST'!$G$36="PPI",'ENG_SCEN'!$J$35,IF('IN_COST'!$G$36="ENERGY",'ENG_SCEN'!$J$34,IF('IN_COST'!$G$36="WAGE",'ENG_SCEN'!$J$33,IF('IN_COST'!$G$36="CPI",'ENG_SCEN'!$J$32,1))))),IF('IN_COST'!$E$36="PER_KWH",'ENG_OPS'!$J$63*'IN_COST'!$F$36*IF('IN_COST'!$G$36="FX",'ENG_SCEN'!$J$36,IF('IN_COST'!$G$36="PPI",'ENG_SCEN'!$J$35,IF('IN_COST'!$G$36="ENERGY",'ENG_SCEN'!$J$34,IF('IN_COST'!$G$36="WAGE",'ENG_SCEN'!$J$33,IF('IN_COST'!$G$36="CPI",'ENG_SCEN'!$J$32,1))))),IF('IN_COST'!$E$36="PER_M3",'ENG_OPS'!$J$64*'IN_COST'!$F$36*IF('IN_COST'!$G$36="FX",'ENG_SCEN'!$J$36,IF('IN_COST'!$G$36="PPI",'ENG_SCEN'!$J$35,IF('IN_COST'!$G$36="ENERGY",'ENG_SCEN'!$J$34,IF('IN_COST'!$G$36="WAGE",'ENG_SCEN'!$J$33,IF('IN_COST'!$G$36="CPI",'ENG_SCEN'!$J$32,1))))),IF('IN_COST'!$E$36="ANNUAL",'IN_COST'!$F$36*IF('IN_COST'!$G$36="FX",'ENG_SCEN'!$J$36,IF('IN_COST'!$G$36="PPI",'ENG_SCEN'!$J$35,IF('IN_COST'!$G$36="ENERGY",'ENG_SCEN'!$J$34,IF('IN_COST'!$G$36="WAGE",'ENG_SCEN'!$J$33,IF('IN_COST'!$G$36="CPI",'ENG_SCEN'!$J$32,1))))),IF('IN_COST'!$E$36="PCT_REV",'ENG_OPS'!$J$81*'IN_COST'!$F$36,IF('IN_COST'!$E$36="PCT_ASSET",'ENG_CAPEX'!$J$84*'IN_COST'!$F$36,IF('IN_COST'!$E$36="DEP",'ENG_CAPEX'!$J$81,IF('IN_COST'!$E$36="PAY",INDEX('IN_COST'!$D$15:$D$19,IFERROR(VALUE(MID('IN_COST'!$F$36,FIND(":",'IN_COST'!$F$36)+1,2)),1))*INDEX('IN_COST'!$E$15:$E$19,IFERROR(VALUE(MID('IN_COST'!$F$36,FIND(":",'IN_COST'!$F$36)+1,2)),1))*'IN_COST'!$D$10*'IN_COST'!$D$11*'ENG_SCEN'!$J$33,IF('IN_COST'!$E$36="SRV",SUM(INDEX('ENG_ALLOC'!$D$29:$P$58,(IFERROR(VALUE(MID('IN_COST'!$F$36,FIND(":",'IN_COST'!$F$36)+1,2)),1)-1)*6+1,7):INDEX('ENG_ALLOC'!$D$29:$P$58,IFERROR(VALUE(MID('IN_COST'!$F$36,FIND(":",'IN_COST'!$F$36)+1,2)),1)*6,7)),0)))))))))))*IF('IN_COST'!$E$36="DEP",'ENG_SCEN'!$G$16,IF('IN_COST'!$I$36="V",IF('IN_COST'!$E$36="SCRAP_LME",'ENG_SCEN'!$G$13,'ENG_SCEN'!$G$14),'ENG_SCEN'!$G$15))</f>
        <v/>
      </c>
      <c r="K50" s="33">
        <f>'IN_MACRO'!$K$34*IF('IN_COST'!$E$36="SCRAP_LME",'ENG_OPS'!$K$20*'IN_COST'!$F$36*'ENG_SCEN'!$K$37,IF('IN_COST'!$E$36="PER_TON_BATT",'ENG_OPS'!$K$20*'IN_COST'!$F$36*IF('IN_COST'!$G$36="FX",'ENG_SCEN'!$K$36,IF('IN_COST'!$G$36="PPI",'ENG_SCEN'!$K$35,IF('IN_COST'!$G$36="ENERGY",'ENG_SCEN'!$K$34,IF('IN_COST'!$G$36="WAGE",'ENG_SCEN'!$K$33,IF('IN_COST'!$G$36="CPI",'ENG_SCEN'!$K$32,1))))),IF('IN_COST'!$E$36="PER_TON_PROD",'ENG_OPS'!$K$43*'IN_COST'!$F$36*IF('IN_COST'!$G$36="FX",'ENG_SCEN'!$K$36,IF('IN_COST'!$G$36="PPI",'ENG_SCEN'!$K$35,IF('IN_COST'!$G$36="ENERGY",'ENG_SCEN'!$K$34,IF('IN_COST'!$G$36="WAGE",'ENG_SCEN'!$K$33,IF('IN_COST'!$G$36="CPI",'ENG_SCEN'!$K$32,1))))),IF('IN_COST'!$E$36="PER_KWH",'ENG_OPS'!$K$63*'IN_COST'!$F$36*IF('IN_COST'!$G$36="FX",'ENG_SCEN'!$K$36,IF('IN_COST'!$G$36="PPI",'ENG_SCEN'!$K$35,IF('IN_COST'!$G$36="ENERGY",'ENG_SCEN'!$K$34,IF('IN_COST'!$G$36="WAGE",'ENG_SCEN'!$K$33,IF('IN_COST'!$G$36="CPI",'ENG_SCEN'!$K$32,1))))),IF('IN_COST'!$E$36="PER_M3",'ENG_OPS'!$K$64*'IN_COST'!$F$36*IF('IN_COST'!$G$36="FX",'ENG_SCEN'!$K$36,IF('IN_COST'!$G$36="PPI",'ENG_SCEN'!$K$35,IF('IN_COST'!$G$36="ENERGY",'ENG_SCEN'!$K$34,IF('IN_COST'!$G$36="WAGE",'ENG_SCEN'!$K$33,IF('IN_COST'!$G$36="CPI",'ENG_SCEN'!$K$32,1))))),IF('IN_COST'!$E$36="ANNUAL",'IN_COST'!$F$36*IF('IN_COST'!$G$36="FX",'ENG_SCEN'!$K$36,IF('IN_COST'!$G$36="PPI",'ENG_SCEN'!$K$35,IF('IN_COST'!$G$36="ENERGY",'ENG_SCEN'!$K$34,IF('IN_COST'!$G$36="WAGE",'ENG_SCEN'!$K$33,IF('IN_COST'!$G$36="CPI",'ENG_SCEN'!$K$32,1))))),IF('IN_COST'!$E$36="PCT_REV",'ENG_OPS'!$K$81*'IN_COST'!$F$36,IF('IN_COST'!$E$36="PCT_ASSET",'ENG_CAPEX'!$K$84*'IN_COST'!$F$36,IF('IN_COST'!$E$36="DEP",'ENG_CAPEX'!$K$81,IF('IN_COST'!$E$36="PAY",INDEX('IN_COST'!$D$15:$D$19,IFERROR(VALUE(MID('IN_COST'!$F$36,FIND(":",'IN_COST'!$F$36)+1,2)),1))*INDEX('IN_COST'!$E$15:$E$19,IFERROR(VALUE(MID('IN_COST'!$F$36,FIND(":",'IN_COST'!$F$36)+1,2)),1))*'IN_COST'!$D$10*'IN_COST'!$D$11*'ENG_SCEN'!$K$33,IF('IN_COST'!$E$36="SRV",SUM(INDEX('ENG_ALLOC'!$D$29:$P$58,(IFERROR(VALUE(MID('IN_COST'!$F$36,FIND(":",'IN_COST'!$F$36)+1,2)),1)-1)*6+1,8):INDEX('ENG_ALLOC'!$D$29:$P$58,IFERROR(VALUE(MID('IN_COST'!$F$36,FIND(":",'IN_COST'!$F$36)+1,2)),1)*6,8)),0)))))))))))*IF('IN_COST'!$E$36="DEP",'ENG_SCEN'!$G$16,IF('IN_COST'!$I$36="V",IF('IN_COST'!$E$36="SCRAP_LME",'ENG_SCEN'!$G$13,'ENG_SCEN'!$G$14),'ENG_SCEN'!$G$15))</f>
        <v/>
      </c>
      <c r="L50" s="33">
        <f>'IN_MACRO'!$L$34*IF('IN_COST'!$E$36="SCRAP_LME",'ENG_OPS'!$L$20*'IN_COST'!$F$36*'ENG_SCEN'!$L$37,IF('IN_COST'!$E$36="PER_TON_BATT",'ENG_OPS'!$L$20*'IN_COST'!$F$36*IF('IN_COST'!$G$36="FX",'ENG_SCEN'!$L$36,IF('IN_COST'!$G$36="PPI",'ENG_SCEN'!$L$35,IF('IN_COST'!$G$36="ENERGY",'ENG_SCEN'!$L$34,IF('IN_COST'!$G$36="WAGE",'ENG_SCEN'!$L$33,IF('IN_COST'!$G$36="CPI",'ENG_SCEN'!$L$32,1))))),IF('IN_COST'!$E$36="PER_TON_PROD",'ENG_OPS'!$L$43*'IN_COST'!$F$36*IF('IN_COST'!$G$36="FX",'ENG_SCEN'!$L$36,IF('IN_COST'!$G$36="PPI",'ENG_SCEN'!$L$35,IF('IN_COST'!$G$36="ENERGY",'ENG_SCEN'!$L$34,IF('IN_COST'!$G$36="WAGE",'ENG_SCEN'!$L$33,IF('IN_COST'!$G$36="CPI",'ENG_SCEN'!$L$32,1))))),IF('IN_COST'!$E$36="PER_KWH",'ENG_OPS'!$L$63*'IN_COST'!$F$36*IF('IN_COST'!$G$36="FX",'ENG_SCEN'!$L$36,IF('IN_COST'!$G$36="PPI",'ENG_SCEN'!$L$35,IF('IN_COST'!$G$36="ENERGY",'ENG_SCEN'!$L$34,IF('IN_COST'!$G$36="WAGE",'ENG_SCEN'!$L$33,IF('IN_COST'!$G$36="CPI",'ENG_SCEN'!$L$32,1))))),IF('IN_COST'!$E$36="PER_M3",'ENG_OPS'!$L$64*'IN_COST'!$F$36*IF('IN_COST'!$G$36="FX",'ENG_SCEN'!$L$36,IF('IN_COST'!$G$36="PPI",'ENG_SCEN'!$L$35,IF('IN_COST'!$G$36="ENERGY",'ENG_SCEN'!$L$34,IF('IN_COST'!$G$36="WAGE",'ENG_SCEN'!$L$33,IF('IN_COST'!$G$36="CPI",'ENG_SCEN'!$L$32,1))))),IF('IN_COST'!$E$36="ANNUAL",'IN_COST'!$F$36*IF('IN_COST'!$G$36="FX",'ENG_SCEN'!$L$36,IF('IN_COST'!$G$36="PPI",'ENG_SCEN'!$L$35,IF('IN_COST'!$G$36="ENERGY",'ENG_SCEN'!$L$34,IF('IN_COST'!$G$36="WAGE",'ENG_SCEN'!$L$33,IF('IN_COST'!$G$36="CPI",'ENG_SCEN'!$L$32,1))))),IF('IN_COST'!$E$36="PCT_REV",'ENG_OPS'!$L$81*'IN_COST'!$F$36,IF('IN_COST'!$E$36="PCT_ASSET",'ENG_CAPEX'!$L$84*'IN_COST'!$F$36,IF('IN_COST'!$E$36="DEP",'ENG_CAPEX'!$L$81,IF('IN_COST'!$E$36="PAY",INDEX('IN_COST'!$D$15:$D$19,IFERROR(VALUE(MID('IN_COST'!$F$36,FIND(":",'IN_COST'!$F$36)+1,2)),1))*INDEX('IN_COST'!$E$15:$E$19,IFERROR(VALUE(MID('IN_COST'!$F$36,FIND(":",'IN_COST'!$F$36)+1,2)),1))*'IN_COST'!$D$10*'IN_COST'!$D$11*'ENG_SCEN'!$L$33,IF('IN_COST'!$E$36="SRV",SUM(INDEX('ENG_ALLOC'!$D$29:$P$58,(IFERROR(VALUE(MID('IN_COST'!$F$36,FIND(":",'IN_COST'!$F$36)+1,2)),1)-1)*6+1,9):INDEX('ENG_ALLOC'!$D$29:$P$58,IFERROR(VALUE(MID('IN_COST'!$F$36,FIND(":",'IN_COST'!$F$36)+1,2)),1)*6,9)),0)))))))))))*IF('IN_COST'!$E$36="DEP",'ENG_SCEN'!$G$16,IF('IN_COST'!$I$36="V",IF('IN_COST'!$E$36="SCRAP_LME",'ENG_SCEN'!$G$13,'ENG_SCEN'!$G$14),'ENG_SCEN'!$G$15))</f>
        <v/>
      </c>
      <c r="M50" s="33">
        <f>'IN_MACRO'!$M$34*IF('IN_COST'!$E$36="SCRAP_LME",'ENG_OPS'!$M$20*'IN_COST'!$F$36*'ENG_SCEN'!$M$37,IF('IN_COST'!$E$36="PER_TON_BATT",'ENG_OPS'!$M$20*'IN_COST'!$F$36*IF('IN_COST'!$G$36="FX",'ENG_SCEN'!$M$36,IF('IN_COST'!$G$36="PPI",'ENG_SCEN'!$M$35,IF('IN_COST'!$G$36="ENERGY",'ENG_SCEN'!$M$34,IF('IN_COST'!$G$36="WAGE",'ENG_SCEN'!$M$33,IF('IN_COST'!$G$36="CPI",'ENG_SCEN'!$M$32,1))))),IF('IN_COST'!$E$36="PER_TON_PROD",'ENG_OPS'!$M$43*'IN_COST'!$F$36*IF('IN_COST'!$G$36="FX",'ENG_SCEN'!$M$36,IF('IN_COST'!$G$36="PPI",'ENG_SCEN'!$M$35,IF('IN_COST'!$G$36="ENERGY",'ENG_SCEN'!$M$34,IF('IN_COST'!$G$36="WAGE",'ENG_SCEN'!$M$33,IF('IN_COST'!$G$36="CPI",'ENG_SCEN'!$M$32,1))))),IF('IN_COST'!$E$36="PER_KWH",'ENG_OPS'!$M$63*'IN_COST'!$F$36*IF('IN_COST'!$G$36="FX",'ENG_SCEN'!$M$36,IF('IN_COST'!$G$36="PPI",'ENG_SCEN'!$M$35,IF('IN_COST'!$G$36="ENERGY",'ENG_SCEN'!$M$34,IF('IN_COST'!$G$36="WAGE",'ENG_SCEN'!$M$33,IF('IN_COST'!$G$36="CPI",'ENG_SCEN'!$M$32,1))))),IF('IN_COST'!$E$36="PER_M3",'ENG_OPS'!$M$64*'IN_COST'!$F$36*IF('IN_COST'!$G$36="FX",'ENG_SCEN'!$M$36,IF('IN_COST'!$G$36="PPI",'ENG_SCEN'!$M$35,IF('IN_COST'!$G$36="ENERGY",'ENG_SCEN'!$M$34,IF('IN_COST'!$G$36="WAGE",'ENG_SCEN'!$M$33,IF('IN_COST'!$G$36="CPI",'ENG_SCEN'!$M$32,1))))),IF('IN_COST'!$E$36="ANNUAL",'IN_COST'!$F$36*IF('IN_COST'!$G$36="FX",'ENG_SCEN'!$M$36,IF('IN_COST'!$G$36="PPI",'ENG_SCEN'!$M$35,IF('IN_COST'!$G$36="ENERGY",'ENG_SCEN'!$M$34,IF('IN_COST'!$G$36="WAGE",'ENG_SCEN'!$M$33,IF('IN_COST'!$G$36="CPI",'ENG_SCEN'!$M$32,1))))),IF('IN_COST'!$E$36="PCT_REV",'ENG_OPS'!$M$81*'IN_COST'!$F$36,IF('IN_COST'!$E$36="PCT_ASSET",'ENG_CAPEX'!$M$84*'IN_COST'!$F$36,IF('IN_COST'!$E$36="DEP",'ENG_CAPEX'!$M$81,IF('IN_COST'!$E$36="PAY",INDEX('IN_COST'!$D$15:$D$19,IFERROR(VALUE(MID('IN_COST'!$F$36,FIND(":",'IN_COST'!$F$36)+1,2)),1))*INDEX('IN_COST'!$E$15:$E$19,IFERROR(VALUE(MID('IN_COST'!$F$36,FIND(":",'IN_COST'!$F$36)+1,2)),1))*'IN_COST'!$D$10*'IN_COST'!$D$11*'ENG_SCEN'!$M$33,IF('IN_COST'!$E$36="SRV",SUM(INDEX('ENG_ALLOC'!$D$29:$P$58,(IFERROR(VALUE(MID('IN_COST'!$F$36,FIND(":",'IN_COST'!$F$36)+1,2)),1)-1)*6+1,10):INDEX('ENG_ALLOC'!$D$29:$P$58,IFERROR(VALUE(MID('IN_COST'!$F$36,FIND(":",'IN_COST'!$F$36)+1,2)),1)*6,10)),0)))))))))))*IF('IN_COST'!$E$36="DEP",'ENG_SCEN'!$G$16,IF('IN_COST'!$I$36="V",IF('IN_COST'!$E$36="SCRAP_LME",'ENG_SCEN'!$G$13,'ENG_SCEN'!$G$14),'ENG_SCEN'!$G$15))</f>
        <v/>
      </c>
      <c r="N50" s="33">
        <f>'IN_MACRO'!$N$34*IF('IN_COST'!$E$36="SCRAP_LME",'ENG_OPS'!$N$20*'IN_COST'!$F$36*'ENG_SCEN'!$N$37,IF('IN_COST'!$E$36="PER_TON_BATT",'ENG_OPS'!$N$20*'IN_COST'!$F$36*IF('IN_COST'!$G$36="FX",'ENG_SCEN'!$N$36,IF('IN_COST'!$G$36="PPI",'ENG_SCEN'!$N$35,IF('IN_COST'!$G$36="ENERGY",'ENG_SCEN'!$N$34,IF('IN_COST'!$G$36="WAGE",'ENG_SCEN'!$N$33,IF('IN_COST'!$G$36="CPI",'ENG_SCEN'!$N$32,1))))),IF('IN_COST'!$E$36="PER_TON_PROD",'ENG_OPS'!$N$43*'IN_COST'!$F$36*IF('IN_COST'!$G$36="FX",'ENG_SCEN'!$N$36,IF('IN_COST'!$G$36="PPI",'ENG_SCEN'!$N$35,IF('IN_COST'!$G$36="ENERGY",'ENG_SCEN'!$N$34,IF('IN_COST'!$G$36="WAGE",'ENG_SCEN'!$N$33,IF('IN_COST'!$G$36="CPI",'ENG_SCEN'!$N$32,1))))),IF('IN_COST'!$E$36="PER_KWH",'ENG_OPS'!$N$63*'IN_COST'!$F$36*IF('IN_COST'!$G$36="FX",'ENG_SCEN'!$N$36,IF('IN_COST'!$G$36="PPI",'ENG_SCEN'!$N$35,IF('IN_COST'!$G$36="ENERGY",'ENG_SCEN'!$N$34,IF('IN_COST'!$G$36="WAGE",'ENG_SCEN'!$N$33,IF('IN_COST'!$G$36="CPI",'ENG_SCEN'!$N$32,1))))),IF('IN_COST'!$E$36="PER_M3",'ENG_OPS'!$N$64*'IN_COST'!$F$36*IF('IN_COST'!$G$36="FX",'ENG_SCEN'!$N$36,IF('IN_COST'!$G$36="PPI",'ENG_SCEN'!$N$35,IF('IN_COST'!$G$36="ENERGY",'ENG_SCEN'!$N$34,IF('IN_COST'!$G$36="WAGE",'ENG_SCEN'!$N$33,IF('IN_COST'!$G$36="CPI",'ENG_SCEN'!$N$32,1))))),IF('IN_COST'!$E$36="ANNUAL",'IN_COST'!$F$36*IF('IN_COST'!$G$36="FX",'ENG_SCEN'!$N$36,IF('IN_COST'!$G$36="PPI",'ENG_SCEN'!$N$35,IF('IN_COST'!$G$36="ENERGY",'ENG_SCEN'!$N$34,IF('IN_COST'!$G$36="WAGE",'ENG_SCEN'!$N$33,IF('IN_COST'!$G$36="CPI",'ENG_SCEN'!$N$32,1))))),IF('IN_COST'!$E$36="PCT_REV",'ENG_OPS'!$N$81*'IN_COST'!$F$36,IF('IN_COST'!$E$36="PCT_ASSET",'ENG_CAPEX'!$N$84*'IN_COST'!$F$36,IF('IN_COST'!$E$36="DEP",'ENG_CAPEX'!$N$81,IF('IN_COST'!$E$36="PAY",INDEX('IN_COST'!$D$15:$D$19,IFERROR(VALUE(MID('IN_COST'!$F$36,FIND(":",'IN_COST'!$F$36)+1,2)),1))*INDEX('IN_COST'!$E$15:$E$19,IFERROR(VALUE(MID('IN_COST'!$F$36,FIND(":",'IN_COST'!$F$36)+1,2)),1))*'IN_COST'!$D$10*'IN_COST'!$D$11*'ENG_SCEN'!$N$33,IF('IN_COST'!$E$36="SRV",SUM(INDEX('ENG_ALLOC'!$D$29:$P$58,(IFERROR(VALUE(MID('IN_COST'!$F$36,FIND(":",'IN_COST'!$F$36)+1,2)),1)-1)*6+1,11):INDEX('ENG_ALLOC'!$D$29:$P$58,IFERROR(VALUE(MID('IN_COST'!$F$36,FIND(":",'IN_COST'!$F$36)+1,2)),1)*6,11)),0)))))))))))*IF('IN_COST'!$E$36="DEP",'ENG_SCEN'!$G$16,IF('IN_COST'!$I$36="V",IF('IN_COST'!$E$36="SCRAP_LME",'ENG_SCEN'!$G$13,'ENG_SCEN'!$G$14),'ENG_SCEN'!$G$15))</f>
        <v/>
      </c>
      <c r="O50" s="33">
        <f>'IN_MACRO'!$O$34*IF('IN_COST'!$E$36="SCRAP_LME",'ENG_OPS'!$O$20*'IN_COST'!$F$36*'ENG_SCEN'!$O$37,IF('IN_COST'!$E$36="PER_TON_BATT",'ENG_OPS'!$O$20*'IN_COST'!$F$36*IF('IN_COST'!$G$36="FX",'ENG_SCEN'!$O$36,IF('IN_COST'!$G$36="PPI",'ENG_SCEN'!$O$35,IF('IN_COST'!$G$36="ENERGY",'ENG_SCEN'!$O$34,IF('IN_COST'!$G$36="WAGE",'ENG_SCEN'!$O$33,IF('IN_COST'!$G$36="CPI",'ENG_SCEN'!$O$32,1))))),IF('IN_COST'!$E$36="PER_TON_PROD",'ENG_OPS'!$O$43*'IN_COST'!$F$36*IF('IN_COST'!$G$36="FX",'ENG_SCEN'!$O$36,IF('IN_COST'!$G$36="PPI",'ENG_SCEN'!$O$35,IF('IN_COST'!$G$36="ENERGY",'ENG_SCEN'!$O$34,IF('IN_COST'!$G$36="WAGE",'ENG_SCEN'!$O$33,IF('IN_COST'!$G$36="CPI",'ENG_SCEN'!$O$32,1))))),IF('IN_COST'!$E$36="PER_KWH",'ENG_OPS'!$O$63*'IN_COST'!$F$36*IF('IN_COST'!$G$36="FX",'ENG_SCEN'!$O$36,IF('IN_COST'!$G$36="PPI",'ENG_SCEN'!$O$35,IF('IN_COST'!$G$36="ENERGY",'ENG_SCEN'!$O$34,IF('IN_COST'!$G$36="WAGE",'ENG_SCEN'!$O$33,IF('IN_COST'!$G$36="CPI",'ENG_SCEN'!$O$32,1))))),IF('IN_COST'!$E$36="PER_M3",'ENG_OPS'!$O$64*'IN_COST'!$F$36*IF('IN_COST'!$G$36="FX",'ENG_SCEN'!$O$36,IF('IN_COST'!$G$36="PPI",'ENG_SCEN'!$O$35,IF('IN_COST'!$G$36="ENERGY",'ENG_SCEN'!$O$34,IF('IN_COST'!$G$36="WAGE",'ENG_SCEN'!$O$33,IF('IN_COST'!$G$36="CPI",'ENG_SCEN'!$O$32,1))))),IF('IN_COST'!$E$36="ANNUAL",'IN_COST'!$F$36*IF('IN_COST'!$G$36="FX",'ENG_SCEN'!$O$36,IF('IN_COST'!$G$36="PPI",'ENG_SCEN'!$O$35,IF('IN_COST'!$G$36="ENERGY",'ENG_SCEN'!$O$34,IF('IN_COST'!$G$36="WAGE",'ENG_SCEN'!$O$33,IF('IN_COST'!$G$36="CPI",'ENG_SCEN'!$O$32,1))))),IF('IN_COST'!$E$36="PCT_REV",'ENG_OPS'!$O$81*'IN_COST'!$F$36,IF('IN_COST'!$E$36="PCT_ASSET",'ENG_CAPEX'!$O$84*'IN_COST'!$F$36,IF('IN_COST'!$E$36="DEP",'ENG_CAPEX'!$O$81,IF('IN_COST'!$E$36="PAY",INDEX('IN_COST'!$D$15:$D$19,IFERROR(VALUE(MID('IN_COST'!$F$36,FIND(":",'IN_COST'!$F$36)+1,2)),1))*INDEX('IN_COST'!$E$15:$E$19,IFERROR(VALUE(MID('IN_COST'!$F$36,FIND(":",'IN_COST'!$F$36)+1,2)),1))*'IN_COST'!$D$10*'IN_COST'!$D$11*'ENG_SCEN'!$O$33,IF('IN_COST'!$E$36="SRV",SUM(INDEX('ENG_ALLOC'!$D$29:$P$58,(IFERROR(VALUE(MID('IN_COST'!$F$36,FIND(":",'IN_COST'!$F$36)+1,2)),1)-1)*6+1,12):INDEX('ENG_ALLOC'!$D$29:$P$58,IFERROR(VALUE(MID('IN_COST'!$F$36,FIND(":",'IN_COST'!$F$36)+1,2)),1)*6,12)),0)))))))))))*IF('IN_COST'!$E$36="DEP",'ENG_SCEN'!$G$16,IF('IN_COST'!$I$36="V",IF('IN_COST'!$E$36="SCRAP_LME",'ENG_SCEN'!$G$13,'ENG_SCEN'!$G$14),'ENG_SCEN'!$G$15))</f>
        <v/>
      </c>
      <c r="P50" s="33">
        <f>'IN_MACRO'!$P$34*IF('IN_COST'!$E$36="SCRAP_LME",'ENG_OPS'!$P$20*'IN_COST'!$F$36*'ENG_SCEN'!$P$37,IF('IN_COST'!$E$36="PER_TON_BATT",'ENG_OPS'!$P$20*'IN_COST'!$F$36*IF('IN_COST'!$G$36="FX",'ENG_SCEN'!$P$36,IF('IN_COST'!$G$36="PPI",'ENG_SCEN'!$P$35,IF('IN_COST'!$G$36="ENERGY",'ENG_SCEN'!$P$34,IF('IN_COST'!$G$36="WAGE",'ENG_SCEN'!$P$33,IF('IN_COST'!$G$36="CPI",'ENG_SCEN'!$P$32,1))))),IF('IN_COST'!$E$36="PER_TON_PROD",'ENG_OPS'!$P$43*'IN_COST'!$F$36*IF('IN_COST'!$G$36="FX",'ENG_SCEN'!$P$36,IF('IN_COST'!$G$36="PPI",'ENG_SCEN'!$P$35,IF('IN_COST'!$G$36="ENERGY",'ENG_SCEN'!$P$34,IF('IN_COST'!$G$36="WAGE",'ENG_SCEN'!$P$33,IF('IN_COST'!$G$36="CPI",'ENG_SCEN'!$P$32,1))))),IF('IN_COST'!$E$36="PER_KWH",'ENG_OPS'!$P$63*'IN_COST'!$F$36*IF('IN_COST'!$G$36="FX",'ENG_SCEN'!$P$36,IF('IN_COST'!$G$36="PPI",'ENG_SCEN'!$P$35,IF('IN_COST'!$G$36="ENERGY",'ENG_SCEN'!$P$34,IF('IN_COST'!$G$36="WAGE",'ENG_SCEN'!$P$33,IF('IN_COST'!$G$36="CPI",'ENG_SCEN'!$P$32,1))))),IF('IN_COST'!$E$36="PER_M3",'ENG_OPS'!$P$64*'IN_COST'!$F$36*IF('IN_COST'!$G$36="FX",'ENG_SCEN'!$P$36,IF('IN_COST'!$G$36="PPI",'ENG_SCEN'!$P$35,IF('IN_COST'!$G$36="ENERGY",'ENG_SCEN'!$P$34,IF('IN_COST'!$G$36="WAGE",'ENG_SCEN'!$P$33,IF('IN_COST'!$G$36="CPI",'ENG_SCEN'!$P$32,1))))),IF('IN_COST'!$E$36="ANNUAL",'IN_COST'!$F$36*IF('IN_COST'!$G$36="FX",'ENG_SCEN'!$P$36,IF('IN_COST'!$G$36="PPI",'ENG_SCEN'!$P$35,IF('IN_COST'!$G$36="ENERGY",'ENG_SCEN'!$P$34,IF('IN_COST'!$G$36="WAGE",'ENG_SCEN'!$P$33,IF('IN_COST'!$G$36="CPI",'ENG_SCEN'!$P$32,1))))),IF('IN_COST'!$E$36="PCT_REV",'ENG_OPS'!$P$81*'IN_COST'!$F$36,IF('IN_COST'!$E$36="PCT_ASSET",'ENG_CAPEX'!$P$84*'IN_COST'!$F$36,IF('IN_COST'!$E$36="DEP",'ENG_CAPEX'!$P$81,IF('IN_COST'!$E$36="PAY",INDEX('IN_COST'!$D$15:$D$19,IFERROR(VALUE(MID('IN_COST'!$F$36,FIND(":",'IN_COST'!$F$36)+1,2)),1))*INDEX('IN_COST'!$E$15:$E$19,IFERROR(VALUE(MID('IN_COST'!$F$36,FIND(":",'IN_COST'!$F$36)+1,2)),1))*'IN_COST'!$D$10*'IN_COST'!$D$11*'ENG_SCEN'!$P$33,IF('IN_COST'!$E$36="SRV",SUM(INDEX('ENG_ALLOC'!$D$29:$P$58,(IFERROR(VALUE(MID('IN_COST'!$F$36,FIND(":",'IN_COST'!$F$36)+1,2)),1)-1)*6+1,13):INDEX('ENG_ALLOC'!$D$29:$P$58,IFERROR(VALUE(MID('IN_COST'!$F$36,FIND(":",'IN_COST'!$F$36)+1,2)),1)*6,13)),0)))))))))))*IF('IN_COST'!$E$36="DEP",'ENG_SCEN'!$G$16,IF('IN_COST'!$I$36="V",IF('IN_COST'!$E$36="SCRAP_LME",'ENG_SCEN'!$G$13,'ENG_SCEN'!$G$14),'ENG_SCEN'!$G$15))</f>
        <v/>
      </c>
    </row>
    <row r="51">
      <c r="A51" s="15" t="inlineStr">
        <is>
          <t>DPC-05 | حمل‌ونقل ورودی مواد</t>
        </is>
      </c>
      <c r="B51" s="16" t="inlineStr">
        <is>
          <t>EC.tot.4</t>
        </is>
      </c>
      <c r="C51" s="17" t="inlineStr">
        <is>
          <t>میلیون ریال</t>
        </is>
      </c>
      <c r="D51" s="33">
        <f>'IN_MACRO'!$D$34*IF('IN_COST'!$E$37="SCRAP_LME",'ENG_OPS'!$D$20*'IN_COST'!$F$37*'ENG_SCEN'!$D$37,IF('IN_COST'!$E$37="PER_TON_BATT",'ENG_OPS'!$D$20*'IN_COST'!$F$37*IF('IN_COST'!$G$37="FX",'ENG_SCEN'!$D$36,IF('IN_COST'!$G$37="PPI",'ENG_SCEN'!$D$35,IF('IN_COST'!$G$37="ENERGY",'ENG_SCEN'!$D$34,IF('IN_COST'!$G$37="WAGE",'ENG_SCEN'!$D$33,IF('IN_COST'!$G$37="CPI",'ENG_SCEN'!$D$32,1))))),IF('IN_COST'!$E$37="PER_TON_PROD",'ENG_OPS'!$D$43*'IN_COST'!$F$37*IF('IN_COST'!$G$37="FX",'ENG_SCEN'!$D$36,IF('IN_COST'!$G$37="PPI",'ENG_SCEN'!$D$35,IF('IN_COST'!$G$37="ENERGY",'ENG_SCEN'!$D$34,IF('IN_COST'!$G$37="WAGE",'ENG_SCEN'!$D$33,IF('IN_COST'!$G$37="CPI",'ENG_SCEN'!$D$32,1))))),IF('IN_COST'!$E$37="PER_KWH",'ENG_OPS'!$D$63*'IN_COST'!$F$37*IF('IN_COST'!$G$37="FX",'ENG_SCEN'!$D$36,IF('IN_COST'!$G$37="PPI",'ENG_SCEN'!$D$35,IF('IN_COST'!$G$37="ENERGY",'ENG_SCEN'!$D$34,IF('IN_COST'!$G$37="WAGE",'ENG_SCEN'!$D$33,IF('IN_COST'!$G$37="CPI",'ENG_SCEN'!$D$32,1))))),IF('IN_COST'!$E$37="PER_M3",'ENG_OPS'!$D$64*'IN_COST'!$F$37*IF('IN_COST'!$G$37="FX",'ENG_SCEN'!$D$36,IF('IN_COST'!$G$37="PPI",'ENG_SCEN'!$D$35,IF('IN_COST'!$G$37="ENERGY",'ENG_SCEN'!$D$34,IF('IN_COST'!$G$37="WAGE",'ENG_SCEN'!$D$33,IF('IN_COST'!$G$37="CPI",'ENG_SCEN'!$D$32,1))))),IF('IN_COST'!$E$37="ANNUAL",'IN_COST'!$F$37*IF('IN_COST'!$G$37="FX",'ENG_SCEN'!$D$36,IF('IN_COST'!$G$37="PPI",'ENG_SCEN'!$D$35,IF('IN_COST'!$G$37="ENERGY",'ENG_SCEN'!$D$34,IF('IN_COST'!$G$37="WAGE",'ENG_SCEN'!$D$33,IF('IN_COST'!$G$37="CPI",'ENG_SCEN'!$D$32,1))))),IF('IN_COST'!$E$37="PCT_REV",'ENG_OPS'!$D$81*'IN_COST'!$F$37,IF('IN_COST'!$E$37="PCT_ASSET",'ENG_CAPEX'!$D$84*'IN_COST'!$F$37,IF('IN_COST'!$E$37="DEP",'ENG_CAPEX'!$D$81,IF('IN_COST'!$E$37="PAY",INDEX('IN_COST'!$D$15:$D$19,IFERROR(VALUE(MID('IN_COST'!$F$37,FIND(":",'IN_COST'!$F$37)+1,2)),1))*INDEX('IN_COST'!$E$15:$E$19,IFERROR(VALUE(MID('IN_COST'!$F$37,FIND(":",'IN_COST'!$F$37)+1,2)),1))*'IN_COST'!$D$10*'IN_COST'!$D$11*'ENG_SCEN'!$D$33,IF('IN_COST'!$E$37="SRV",SUM(INDEX('ENG_ALLOC'!$D$29:$P$58,(IFERROR(VALUE(MID('IN_COST'!$F$37,FIND(":",'IN_COST'!$F$37)+1,2)),1)-1)*6+1,1):INDEX('ENG_ALLOC'!$D$29:$P$58,IFERROR(VALUE(MID('IN_COST'!$F$37,FIND(":",'IN_COST'!$F$37)+1,2)),1)*6,1)),0)))))))))))*IF('IN_COST'!$E$37="DEP",'ENG_SCEN'!$G$16,IF('IN_COST'!$I$37="V",IF('IN_COST'!$E$37="SCRAP_LME",'ENG_SCEN'!$G$13,'ENG_SCEN'!$G$14),'ENG_SCEN'!$G$15))</f>
        <v/>
      </c>
      <c r="E51" s="33">
        <f>'IN_MACRO'!$E$34*IF('IN_COST'!$E$37="SCRAP_LME",'ENG_OPS'!$E$20*'IN_COST'!$F$37*'ENG_SCEN'!$E$37,IF('IN_COST'!$E$37="PER_TON_BATT",'ENG_OPS'!$E$20*'IN_COST'!$F$37*IF('IN_COST'!$G$37="FX",'ENG_SCEN'!$E$36,IF('IN_COST'!$G$37="PPI",'ENG_SCEN'!$E$35,IF('IN_COST'!$G$37="ENERGY",'ENG_SCEN'!$E$34,IF('IN_COST'!$G$37="WAGE",'ENG_SCEN'!$E$33,IF('IN_COST'!$G$37="CPI",'ENG_SCEN'!$E$32,1))))),IF('IN_COST'!$E$37="PER_TON_PROD",'ENG_OPS'!$E$43*'IN_COST'!$F$37*IF('IN_COST'!$G$37="FX",'ENG_SCEN'!$E$36,IF('IN_COST'!$G$37="PPI",'ENG_SCEN'!$E$35,IF('IN_COST'!$G$37="ENERGY",'ENG_SCEN'!$E$34,IF('IN_COST'!$G$37="WAGE",'ENG_SCEN'!$E$33,IF('IN_COST'!$G$37="CPI",'ENG_SCEN'!$E$32,1))))),IF('IN_COST'!$E$37="PER_KWH",'ENG_OPS'!$E$63*'IN_COST'!$F$37*IF('IN_COST'!$G$37="FX",'ENG_SCEN'!$E$36,IF('IN_COST'!$G$37="PPI",'ENG_SCEN'!$E$35,IF('IN_COST'!$G$37="ENERGY",'ENG_SCEN'!$E$34,IF('IN_COST'!$G$37="WAGE",'ENG_SCEN'!$E$33,IF('IN_COST'!$G$37="CPI",'ENG_SCEN'!$E$32,1))))),IF('IN_COST'!$E$37="PER_M3",'ENG_OPS'!$E$64*'IN_COST'!$F$37*IF('IN_COST'!$G$37="FX",'ENG_SCEN'!$E$36,IF('IN_COST'!$G$37="PPI",'ENG_SCEN'!$E$35,IF('IN_COST'!$G$37="ENERGY",'ENG_SCEN'!$E$34,IF('IN_COST'!$G$37="WAGE",'ENG_SCEN'!$E$33,IF('IN_COST'!$G$37="CPI",'ENG_SCEN'!$E$32,1))))),IF('IN_COST'!$E$37="ANNUAL",'IN_COST'!$F$37*IF('IN_COST'!$G$37="FX",'ENG_SCEN'!$E$36,IF('IN_COST'!$G$37="PPI",'ENG_SCEN'!$E$35,IF('IN_COST'!$G$37="ENERGY",'ENG_SCEN'!$E$34,IF('IN_COST'!$G$37="WAGE",'ENG_SCEN'!$E$33,IF('IN_COST'!$G$37="CPI",'ENG_SCEN'!$E$32,1))))),IF('IN_COST'!$E$37="PCT_REV",'ENG_OPS'!$E$81*'IN_COST'!$F$37,IF('IN_COST'!$E$37="PCT_ASSET",'ENG_CAPEX'!$E$84*'IN_COST'!$F$37,IF('IN_COST'!$E$37="DEP",'ENG_CAPEX'!$E$81,IF('IN_COST'!$E$37="PAY",INDEX('IN_COST'!$D$15:$D$19,IFERROR(VALUE(MID('IN_COST'!$F$37,FIND(":",'IN_COST'!$F$37)+1,2)),1))*INDEX('IN_COST'!$E$15:$E$19,IFERROR(VALUE(MID('IN_COST'!$F$37,FIND(":",'IN_COST'!$F$37)+1,2)),1))*'IN_COST'!$D$10*'IN_COST'!$D$11*'ENG_SCEN'!$E$33,IF('IN_COST'!$E$37="SRV",SUM(INDEX('ENG_ALLOC'!$D$29:$P$58,(IFERROR(VALUE(MID('IN_COST'!$F$37,FIND(":",'IN_COST'!$F$37)+1,2)),1)-1)*6+1,2):INDEX('ENG_ALLOC'!$D$29:$P$58,IFERROR(VALUE(MID('IN_COST'!$F$37,FIND(":",'IN_COST'!$F$37)+1,2)),1)*6,2)),0)))))))))))*IF('IN_COST'!$E$37="DEP",'ENG_SCEN'!$G$16,IF('IN_COST'!$I$37="V",IF('IN_COST'!$E$37="SCRAP_LME",'ENG_SCEN'!$G$13,'ENG_SCEN'!$G$14),'ENG_SCEN'!$G$15))</f>
        <v/>
      </c>
      <c r="F51" s="33">
        <f>'IN_MACRO'!$F$34*IF('IN_COST'!$E$37="SCRAP_LME",'ENG_OPS'!$F$20*'IN_COST'!$F$37*'ENG_SCEN'!$F$37,IF('IN_COST'!$E$37="PER_TON_BATT",'ENG_OPS'!$F$20*'IN_COST'!$F$37*IF('IN_COST'!$G$37="FX",'ENG_SCEN'!$F$36,IF('IN_COST'!$G$37="PPI",'ENG_SCEN'!$F$35,IF('IN_COST'!$G$37="ENERGY",'ENG_SCEN'!$F$34,IF('IN_COST'!$G$37="WAGE",'ENG_SCEN'!$F$33,IF('IN_COST'!$G$37="CPI",'ENG_SCEN'!$F$32,1))))),IF('IN_COST'!$E$37="PER_TON_PROD",'ENG_OPS'!$F$43*'IN_COST'!$F$37*IF('IN_COST'!$G$37="FX",'ENG_SCEN'!$F$36,IF('IN_COST'!$G$37="PPI",'ENG_SCEN'!$F$35,IF('IN_COST'!$G$37="ENERGY",'ENG_SCEN'!$F$34,IF('IN_COST'!$G$37="WAGE",'ENG_SCEN'!$F$33,IF('IN_COST'!$G$37="CPI",'ENG_SCEN'!$F$32,1))))),IF('IN_COST'!$E$37="PER_KWH",'ENG_OPS'!$F$63*'IN_COST'!$F$37*IF('IN_COST'!$G$37="FX",'ENG_SCEN'!$F$36,IF('IN_COST'!$G$37="PPI",'ENG_SCEN'!$F$35,IF('IN_COST'!$G$37="ENERGY",'ENG_SCEN'!$F$34,IF('IN_COST'!$G$37="WAGE",'ENG_SCEN'!$F$33,IF('IN_COST'!$G$37="CPI",'ENG_SCEN'!$F$32,1))))),IF('IN_COST'!$E$37="PER_M3",'ENG_OPS'!$F$64*'IN_COST'!$F$37*IF('IN_COST'!$G$37="FX",'ENG_SCEN'!$F$36,IF('IN_COST'!$G$37="PPI",'ENG_SCEN'!$F$35,IF('IN_COST'!$G$37="ENERGY",'ENG_SCEN'!$F$34,IF('IN_COST'!$G$37="WAGE",'ENG_SCEN'!$F$33,IF('IN_COST'!$G$37="CPI",'ENG_SCEN'!$F$32,1))))),IF('IN_COST'!$E$37="ANNUAL",'IN_COST'!$F$37*IF('IN_COST'!$G$37="FX",'ENG_SCEN'!$F$36,IF('IN_COST'!$G$37="PPI",'ENG_SCEN'!$F$35,IF('IN_COST'!$G$37="ENERGY",'ENG_SCEN'!$F$34,IF('IN_COST'!$G$37="WAGE",'ENG_SCEN'!$F$33,IF('IN_COST'!$G$37="CPI",'ENG_SCEN'!$F$32,1))))),IF('IN_COST'!$E$37="PCT_REV",'ENG_OPS'!$F$81*'IN_COST'!$F$37,IF('IN_COST'!$E$37="PCT_ASSET",'ENG_CAPEX'!$F$84*'IN_COST'!$F$37,IF('IN_COST'!$E$37="DEP",'ENG_CAPEX'!$F$81,IF('IN_COST'!$E$37="PAY",INDEX('IN_COST'!$D$15:$D$19,IFERROR(VALUE(MID('IN_COST'!$F$37,FIND(":",'IN_COST'!$F$37)+1,2)),1))*INDEX('IN_COST'!$E$15:$E$19,IFERROR(VALUE(MID('IN_COST'!$F$37,FIND(":",'IN_COST'!$F$37)+1,2)),1))*'IN_COST'!$D$10*'IN_COST'!$D$11*'ENG_SCEN'!$F$33,IF('IN_COST'!$E$37="SRV",SUM(INDEX('ENG_ALLOC'!$D$29:$P$58,(IFERROR(VALUE(MID('IN_COST'!$F$37,FIND(":",'IN_COST'!$F$37)+1,2)),1)-1)*6+1,3):INDEX('ENG_ALLOC'!$D$29:$P$58,IFERROR(VALUE(MID('IN_COST'!$F$37,FIND(":",'IN_COST'!$F$37)+1,2)),1)*6,3)),0)))))))))))*IF('IN_COST'!$E$37="DEP",'ENG_SCEN'!$G$16,IF('IN_COST'!$I$37="V",IF('IN_COST'!$E$37="SCRAP_LME",'ENG_SCEN'!$G$13,'ENG_SCEN'!$G$14),'ENG_SCEN'!$G$15))</f>
        <v/>
      </c>
      <c r="G51" s="33">
        <f>'IN_MACRO'!$G$34*IF('IN_COST'!$E$37="SCRAP_LME",'ENG_OPS'!$G$20*'IN_COST'!$F$37*'ENG_SCEN'!$G$37,IF('IN_COST'!$E$37="PER_TON_BATT",'ENG_OPS'!$G$20*'IN_COST'!$F$37*IF('IN_COST'!$G$37="FX",'ENG_SCEN'!$G$36,IF('IN_COST'!$G$37="PPI",'ENG_SCEN'!$G$35,IF('IN_COST'!$G$37="ENERGY",'ENG_SCEN'!$G$34,IF('IN_COST'!$G$37="WAGE",'ENG_SCEN'!$G$33,IF('IN_COST'!$G$37="CPI",'ENG_SCEN'!$G$32,1))))),IF('IN_COST'!$E$37="PER_TON_PROD",'ENG_OPS'!$G$43*'IN_COST'!$F$37*IF('IN_COST'!$G$37="FX",'ENG_SCEN'!$G$36,IF('IN_COST'!$G$37="PPI",'ENG_SCEN'!$G$35,IF('IN_COST'!$G$37="ENERGY",'ENG_SCEN'!$G$34,IF('IN_COST'!$G$37="WAGE",'ENG_SCEN'!$G$33,IF('IN_COST'!$G$37="CPI",'ENG_SCEN'!$G$32,1))))),IF('IN_COST'!$E$37="PER_KWH",'ENG_OPS'!$G$63*'IN_COST'!$F$37*IF('IN_COST'!$G$37="FX",'ENG_SCEN'!$G$36,IF('IN_COST'!$G$37="PPI",'ENG_SCEN'!$G$35,IF('IN_COST'!$G$37="ENERGY",'ENG_SCEN'!$G$34,IF('IN_COST'!$G$37="WAGE",'ENG_SCEN'!$G$33,IF('IN_COST'!$G$37="CPI",'ENG_SCEN'!$G$32,1))))),IF('IN_COST'!$E$37="PER_M3",'ENG_OPS'!$G$64*'IN_COST'!$F$37*IF('IN_COST'!$G$37="FX",'ENG_SCEN'!$G$36,IF('IN_COST'!$G$37="PPI",'ENG_SCEN'!$G$35,IF('IN_COST'!$G$37="ENERGY",'ENG_SCEN'!$G$34,IF('IN_COST'!$G$37="WAGE",'ENG_SCEN'!$G$33,IF('IN_COST'!$G$37="CPI",'ENG_SCEN'!$G$32,1))))),IF('IN_COST'!$E$37="ANNUAL",'IN_COST'!$F$37*IF('IN_COST'!$G$37="FX",'ENG_SCEN'!$G$36,IF('IN_COST'!$G$37="PPI",'ENG_SCEN'!$G$35,IF('IN_COST'!$G$37="ENERGY",'ENG_SCEN'!$G$34,IF('IN_COST'!$G$37="WAGE",'ENG_SCEN'!$G$33,IF('IN_COST'!$G$37="CPI",'ENG_SCEN'!$G$32,1))))),IF('IN_COST'!$E$37="PCT_REV",'ENG_OPS'!$G$81*'IN_COST'!$F$37,IF('IN_COST'!$E$37="PCT_ASSET",'ENG_CAPEX'!$G$84*'IN_COST'!$F$37,IF('IN_COST'!$E$37="DEP",'ENG_CAPEX'!$G$81,IF('IN_COST'!$E$37="PAY",INDEX('IN_COST'!$D$15:$D$19,IFERROR(VALUE(MID('IN_COST'!$F$37,FIND(":",'IN_COST'!$F$37)+1,2)),1))*INDEX('IN_COST'!$E$15:$E$19,IFERROR(VALUE(MID('IN_COST'!$F$37,FIND(":",'IN_COST'!$F$37)+1,2)),1))*'IN_COST'!$D$10*'IN_COST'!$D$11*'ENG_SCEN'!$G$33,IF('IN_COST'!$E$37="SRV",SUM(INDEX('ENG_ALLOC'!$D$29:$P$58,(IFERROR(VALUE(MID('IN_COST'!$F$37,FIND(":",'IN_COST'!$F$37)+1,2)),1)-1)*6+1,4):INDEX('ENG_ALLOC'!$D$29:$P$58,IFERROR(VALUE(MID('IN_COST'!$F$37,FIND(":",'IN_COST'!$F$37)+1,2)),1)*6,4)),0)))))))))))*IF('IN_COST'!$E$37="DEP",'ENG_SCEN'!$G$16,IF('IN_COST'!$I$37="V",IF('IN_COST'!$E$37="SCRAP_LME",'ENG_SCEN'!$G$13,'ENG_SCEN'!$G$14),'ENG_SCEN'!$G$15))</f>
        <v/>
      </c>
      <c r="H51" s="33">
        <f>'IN_MACRO'!$H$34*IF('IN_COST'!$E$37="SCRAP_LME",'ENG_OPS'!$H$20*'IN_COST'!$F$37*'ENG_SCEN'!$H$37,IF('IN_COST'!$E$37="PER_TON_BATT",'ENG_OPS'!$H$20*'IN_COST'!$F$37*IF('IN_COST'!$G$37="FX",'ENG_SCEN'!$H$36,IF('IN_COST'!$G$37="PPI",'ENG_SCEN'!$H$35,IF('IN_COST'!$G$37="ENERGY",'ENG_SCEN'!$H$34,IF('IN_COST'!$G$37="WAGE",'ENG_SCEN'!$H$33,IF('IN_COST'!$G$37="CPI",'ENG_SCEN'!$H$32,1))))),IF('IN_COST'!$E$37="PER_TON_PROD",'ENG_OPS'!$H$43*'IN_COST'!$F$37*IF('IN_COST'!$G$37="FX",'ENG_SCEN'!$H$36,IF('IN_COST'!$G$37="PPI",'ENG_SCEN'!$H$35,IF('IN_COST'!$G$37="ENERGY",'ENG_SCEN'!$H$34,IF('IN_COST'!$G$37="WAGE",'ENG_SCEN'!$H$33,IF('IN_COST'!$G$37="CPI",'ENG_SCEN'!$H$32,1))))),IF('IN_COST'!$E$37="PER_KWH",'ENG_OPS'!$H$63*'IN_COST'!$F$37*IF('IN_COST'!$G$37="FX",'ENG_SCEN'!$H$36,IF('IN_COST'!$G$37="PPI",'ENG_SCEN'!$H$35,IF('IN_COST'!$G$37="ENERGY",'ENG_SCEN'!$H$34,IF('IN_COST'!$G$37="WAGE",'ENG_SCEN'!$H$33,IF('IN_COST'!$G$37="CPI",'ENG_SCEN'!$H$32,1))))),IF('IN_COST'!$E$37="PER_M3",'ENG_OPS'!$H$64*'IN_COST'!$F$37*IF('IN_COST'!$G$37="FX",'ENG_SCEN'!$H$36,IF('IN_COST'!$G$37="PPI",'ENG_SCEN'!$H$35,IF('IN_COST'!$G$37="ENERGY",'ENG_SCEN'!$H$34,IF('IN_COST'!$G$37="WAGE",'ENG_SCEN'!$H$33,IF('IN_COST'!$G$37="CPI",'ENG_SCEN'!$H$32,1))))),IF('IN_COST'!$E$37="ANNUAL",'IN_COST'!$F$37*IF('IN_COST'!$G$37="FX",'ENG_SCEN'!$H$36,IF('IN_COST'!$G$37="PPI",'ENG_SCEN'!$H$35,IF('IN_COST'!$G$37="ENERGY",'ENG_SCEN'!$H$34,IF('IN_COST'!$G$37="WAGE",'ENG_SCEN'!$H$33,IF('IN_COST'!$G$37="CPI",'ENG_SCEN'!$H$32,1))))),IF('IN_COST'!$E$37="PCT_REV",'ENG_OPS'!$H$81*'IN_COST'!$F$37,IF('IN_COST'!$E$37="PCT_ASSET",'ENG_CAPEX'!$H$84*'IN_COST'!$F$37,IF('IN_COST'!$E$37="DEP",'ENG_CAPEX'!$H$81,IF('IN_COST'!$E$37="PAY",INDEX('IN_COST'!$D$15:$D$19,IFERROR(VALUE(MID('IN_COST'!$F$37,FIND(":",'IN_COST'!$F$37)+1,2)),1))*INDEX('IN_COST'!$E$15:$E$19,IFERROR(VALUE(MID('IN_COST'!$F$37,FIND(":",'IN_COST'!$F$37)+1,2)),1))*'IN_COST'!$D$10*'IN_COST'!$D$11*'ENG_SCEN'!$H$33,IF('IN_COST'!$E$37="SRV",SUM(INDEX('ENG_ALLOC'!$D$29:$P$58,(IFERROR(VALUE(MID('IN_COST'!$F$37,FIND(":",'IN_COST'!$F$37)+1,2)),1)-1)*6+1,5):INDEX('ENG_ALLOC'!$D$29:$P$58,IFERROR(VALUE(MID('IN_COST'!$F$37,FIND(":",'IN_COST'!$F$37)+1,2)),1)*6,5)),0)))))))))))*IF('IN_COST'!$E$37="DEP",'ENG_SCEN'!$G$16,IF('IN_COST'!$I$37="V",IF('IN_COST'!$E$37="SCRAP_LME",'ENG_SCEN'!$G$13,'ENG_SCEN'!$G$14),'ENG_SCEN'!$G$15))</f>
        <v/>
      </c>
      <c r="I51" s="33">
        <f>'IN_MACRO'!$I$34*IF('IN_COST'!$E$37="SCRAP_LME",'ENG_OPS'!$I$20*'IN_COST'!$F$37*'ENG_SCEN'!$I$37,IF('IN_COST'!$E$37="PER_TON_BATT",'ENG_OPS'!$I$20*'IN_COST'!$F$37*IF('IN_COST'!$G$37="FX",'ENG_SCEN'!$I$36,IF('IN_COST'!$G$37="PPI",'ENG_SCEN'!$I$35,IF('IN_COST'!$G$37="ENERGY",'ENG_SCEN'!$I$34,IF('IN_COST'!$G$37="WAGE",'ENG_SCEN'!$I$33,IF('IN_COST'!$G$37="CPI",'ENG_SCEN'!$I$32,1))))),IF('IN_COST'!$E$37="PER_TON_PROD",'ENG_OPS'!$I$43*'IN_COST'!$F$37*IF('IN_COST'!$G$37="FX",'ENG_SCEN'!$I$36,IF('IN_COST'!$G$37="PPI",'ENG_SCEN'!$I$35,IF('IN_COST'!$G$37="ENERGY",'ENG_SCEN'!$I$34,IF('IN_COST'!$G$37="WAGE",'ENG_SCEN'!$I$33,IF('IN_COST'!$G$37="CPI",'ENG_SCEN'!$I$32,1))))),IF('IN_COST'!$E$37="PER_KWH",'ENG_OPS'!$I$63*'IN_COST'!$F$37*IF('IN_COST'!$G$37="FX",'ENG_SCEN'!$I$36,IF('IN_COST'!$G$37="PPI",'ENG_SCEN'!$I$35,IF('IN_COST'!$G$37="ENERGY",'ENG_SCEN'!$I$34,IF('IN_COST'!$G$37="WAGE",'ENG_SCEN'!$I$33,IF('IN_COST'!$G$37="CPI",'ENG_SCEN'!$I$32,1))))),IF('IN_COST'!$E$37="PER_M3",'ENG_OPS'!$I$64*'IN_COST'!$F$37*IF('IN_COST'!$G$37="FX",'ENG_SCEN'!$I$36,IF('IN_COST'!$G$37="PPI",'ENG_SCEN'!$I$35,IF('IN_COST'!$G$37="ENERGY",'ENG_SCEN'!$I$34,IF('IN_COST'!$G$37="WAGE",'ENG_SCEN'!$I$33,IF('IN_COST'!$G$37="CPI",'ENG_SCEN'!$I$32,1))))),IF('IN_COST'!$E$37="ANNUAL",'IN_COST'!$F$37*IF('IN_COST'!$G$37="FX",'ENG_SCEN'!$I$36,IF('IN_COST'!$G$37="PPI",'ENG_SCEN'!$I$35,IF('IN_COST'!$G$37="ENERGY",'ENG_SCEN'!$I$34,IF('IN_COST'!$G$37="WAGE",'ENG_SCEN'!$I$33,IF('IN_COST'!$G$37="CPI",'ENG_SCEN'!$I$32,1))))),IF('IN_COST'!$E$37="PCT_REV",'ENG_OPS'!$I$81*'IN_COST'!$F$37,IF('IN_COST'!$E$37="PCT_ASSET",'ENG_CAPEX'!$I$84*'IN_COST'!$F$37,IF('IN_COST'!$E$37="DEP",'ENG_CAPEX'!$I$81,IF('IN_COST'!$E$37="PAY",INDEX('IN_COST'!$D$15:$D$19,IFERROR(VALUE(MID('IN_COST'!$F$37,FIND(":",'IN_COST'!$F$37)+1,2)),1))*INDEX('IN_COST'!$E$15:$E$19,IFERROR(VALUE(MID('IN_COST'!$F$37,FIND(":",'IN_COST'!$F$37)+1,2)),1))*'IN_COST'!$D$10*'IN_COST'!$D$11*'ENG_SCEN'!$I$33,IF('IN_COST'!$E$37="SRV",SUM(INDEX('ENG_ALLOC'!$D$29:$P$58,(IFERROR(VALUE(MID('IN_COST'!$F$37,FIND(":",'IN_COST'!$F$37)+1,2)),1)-1)*6+1,6):INDEX('ENG_ALLOC'!$D$29:$P$58,IFERROR(VALUE(MID('IN_COST'!$F$37,FIND(":",'IN_COST'!$F$37)+1,2)),1)*6,6)),0)))))))))))*IF('IN_COST'!$E$37="DEP",'ENG_SCEN'!$G$16,IF('IN_COST'!$I$37="V",IF('IN_COST'!$E$37="SCRAP_LME",'ENG_SCEN'!$G$13,'ENG_SCEN'!$G$14),'ENG_SCEN'!$G$15))</f>
        <v/>
      </c>
      <c r="J51" s="33">
        <f>'IN_MACRO'!$J$34*IF('IN_COST'!$E$37="SCRAP_LME",'ENG_OPS'!$J$20*'IN_COST'!$F$37*'ENG_SCEN'!$J$37,IF('IN_COST'!$E$37="PER_TON_BATT",'ENG_OPS'!$J$20*'IN_COST'!$F$37*IF('IN_COST'!$G$37="FX",'ENG_SCEN'!$J$36,IF('IN_COST'!$G$37="PPI",'ENG_SCEN'!$J$35,IF('IN_COST'!$G$37="ENERGY",'ENG_SCEN'!$J$34,IF('IN_COST'!$G$37="WAGE",'ENG_SCEN'!$J$33,IF('IN_COST'!$G$37="CPI",'ENG_SCEN'!$J$32,1))))),IF('IN_COST'!$E$37="PER_TON_PROD",'ENG_OPS'!$J$43*'IN_COST'!$F$37*IF('IN_COST'!$G$37="FX",'ENG_SCEN'!$J$36,IF('IN_COST'!$G$37="PPI",'ENG_SCEN'!$J$35,IF('IN_COST'!$G$37="ENERGY",'ENG_SCEN'!$J$34,IF('IN_COST'!$G$37="WAGE",'ENG_SCEN'!$J$33,IF('IN_COST'!$G$37="CPI",'ENG_SCEN'!$J$32,1))))),IF('IN_COST'!$E$37="PER_KWH",'ENG_OPS'!$J$63*'IN_COST'!$F$37*IF('IN_COST'!$G$37="FX",'ENG_SCEN'!$J$36,IF('IN_COST'!$G$37="PPI",'ENG_SCEN'!$J$35,IF('IN_COST'!$G$37="ENERGY",'ENG_SCEN'!$J$34,IF('IN_COST'!$G$37="WAGE",'ENG_SCEN'!$J$33,IF('IN_COST'!$G$37="CPI",'ENG_SCEN'!$J$32,1))))),IF('IN_COST'!$E$37="PER_M3",'ENG_OPS'!$J$64*'IN_COST'!$F$37*IF('IN_COST'!$G$37="FX",'ENG_SCEN'!$J$36,IF('IN_COST'!$G$37="PPI",'ENG_SCEN'!$J$35,IF('IN_COST'!$G$37="ENERGY",'ENG_SCEN'!$J$34,IF('IN_COST'!$G$37="WAGE",'ENG_SCEN'!$J$33,IF('IN_COST'!$G$37="CPI",'ENG_SCEN'!$J$32,1))))),IF('IN_COST'!$E$37="ANNUAL",'IN_COST'!$F$37*IF('IN_COST'!$G$37="FX",'ENG_SCEN'!$J$36,IF('IN_COST'!$G$37="PPI",'ENG_SCEN'!$J$35,IF('IN_COST'!$G$37="ENERGY",'ENG_SCEN'!$J$34,IF('IN_COST'!$G$37="WAGE",'ENG_SCEN'!$J$33,IF('IN_COST'!$G$37="CPI",'ENG_SCEN'!$J$32,1))))),IF('IN_COST'!$E$37="PCT_REV",'ENG_OPS'!$J$81*'IN_COST'!$F$37,IF('IN_COST'!$E$37="PCT_ASSET",'ENG_CAPEX'!$J$84*'IN_COST'!$F$37,IF('IN_COST'!$E$37="DEP",'ENG_CAPEX'!$J$81,IF('IN_COST'!$E$37="PAY",INDEX('IN_COST'!$D$15:$D$19,IFERROR(VALUE(MID('IN_COST'!$F$37,FIND(":",'IN_COST'!$F$37)+1,2)),1))*INDEX('IN_COST'!$E$15:$E$19,IFERROR(VALUE(MID('IN_COST'!$F$37,FIND(":",'IN_COST'!$F$37)+1,2)),1))*'IN_COST'!$D$10*'IN_COST'!$D$11*'ENG_SCEN'!$J$33,IF('IN_COST'!$E$37="SRV",SUM(INDEX('ENG_ALLOC'!$D$29:$P$58,(IFERROR(VALUE(MID('IN_COST'!$F$37,FIND(":",'IN_COST'!$F$37)+1,2)),1)-1)*6+1,7):INDEX('ENG_ALLOC'!$D$29:$P$58,IFERROR(VALUE(MID('IN_COST'!$F$37,FIND(":",'IN_COST'!$F$37)+1,2)),1)*6,7)),0)))))))))))*IF('IN_COST'!$E$37="DEP",'ENG_SCEN'!$G$16,IF('IN_COST'!$I$37="V",IF('IN_COST'!$E$37="SCRAP_LME",'ENG_SCEN'!$G$13,'ENG_SCEN'!$G$14),'ENG_SCEN'!$G$15))</f>
        <v/>
      </c>
      <c r="K51" s="33">
        <f>'IN_MACRO'!$K$34*IF('IN_COST'!$E$37="SCRAP_LME",'ENG_OPS'!$K$20*'IN_COST'!$F$37*'ENG_SCEN'!$K$37,IF('IN_COST'!$E$37="PER_TON_BATT",'ENG_OPS'!$K$20*'IN_COST'!$F$37*IF('IN_COST'!$G$37="FX",'ENG_SCEN'!$K$36,IF('IN_COST'!$G$37="PPI",'ENG_SCEN'!$K$35,IF('IN_COST'!$G$37="ENERGY",'ENG_SCEN'!$K$34,IF('IN_COST'!$G$37="WAGE",'ENG_SCEN'!$K$33,IF('IN_COST'!$G$37="CPI",'ENG_SCEN'!$K$32,1))))),IF('IN_COST'!$E$37="PER_TON_PROD",'ENG_OPS'!$K$43*'IN_COST'!$F$37*IF('IN_COST'!$G$37="FX",'ENG_SCEN'!$K$36,IF('IN_COST'!$G$37="PPI",'ENG_SCEN'!$K$35,IF('IN_COST'!$G$37="ENERGY",'ENG_SCEN'!$K$34,IF('IN_COST'!$G$37="WAGE",'ENG_SCEN'!$K$33,IF('IN_COST'!$G$37="CPI",'ENG_SCEN'!$K$32,1))))),IF('IN_COST'!$E$37="PER_KWH",'ENG_OPS'!$K$63*'IN_COST'!$F$37*IF('IN_COST'!$G$37="FX",'ENG_SCEN'!$K$36,IF('IN_COST'!$G$37="PPI",'ENG_SCEN'!$K$35,IF('IN_COST'!$G$37="ENERGY",'ENG_SCEN'!$K$34,IF('IN_COST'!$G$37="WAGE",'ENG_SCEN'!$K$33,IF('IN_COST'!$G$37="CPI",'ENG_SCEN'!$K$32,1))))),IF('IN_COST'!$E$37="PER_M3",'ENG_OPS'!$K$64*'IN_COST'!$F$37*IF('IN_COST'!$G$37="FX",'ENG_SCEN'!$K$36,IF('IN_COST'!$G$37="PPI",'ENG_SCEN'!$K$35,IF('IN_COST'!$G$37="ENERGY",'ENG_SCEN'!$K$34,IF('IN_COST'!$G$37="WAGE",'ENG_SCEN'!$K$33,IF('IN_COST'!$G$37="CPI",'ENG_SCEN'!$K$32,1))))),IF('IN_COST'!$E$37="ANNUAL",'IN_COST'!$F$37*IF('IN_COST'!$G$37="FX",'ENG_SCEN'!$K$36,IF('IN_COST'!$G$37="PPI",'ENG_SCEN'!$K$35,IF('IN_COST'!$G$37="ENERGY",'ENG_SCEN'!$K$34,IF('IN_COST'!$G$37="WAGE",'ENG_SCEN'!$K$33,IF('IN_COST'!$G$37="CPI",'ENG_SCEN'!$K$32,1))))),IF('IN_COST'!$E$37="PCT_REV",'ENG_OPS'!$K$81*'IN_COST'!$F$37,IF('IN_COST'!$E$37="PCT_ASSET",'ENG_CAPEX'!$K$84*'IN_COST'!$F$37,IF('IN_COST'!$E$37="DEP",'ENG_CAPEX'!$K$81,IF('IN_COST'!$E$37="PAY",INDEX('IN_COST'!$D$15:$D$19,IFERROR(VALUE(MID('IN_COST'!$F$37,FIND(":",'IN_COST'!$F$37)+1,2)),1))*INDEX('IN_COST'!$E$15:$E$19,IFERROR(VALUE(MID('IN_COST'!$F$37,FIND(":",'IN_COST'!$F$37)+1,2)),1))*'IN_COST'!$D$10*'IN_COST'!$D$11*'ENG_SCEN'!$K$33,IF('IN_COST'!$E$37="SRV",SUM(INDEX('ENG_ALLOC'!$D$29:$P$58,(IFERROR(VALUE(MID('IN_COST'!$F$37,FIND(":",'IN_COST'!$F$37)+1,2)),1)-1)*6+1,8):INDEX('ENG_ALLOC'!$D$29:$P$58,IFERROR(VALUE(MID('IN_COST'!$F$37,FIND(":",'IN_COST'!$F$37)+1,2)),1)*6,8)),0)))))))))))*IF('IN_COST'!$E$37="DEP",'ENG_SCEN'!$G$16,IF('IN_COST'!$I$37="V",IF('IN_COST'!$E$37="SCRAP_LME",'ENG_SCEN'!$G$13,'ENG_SCEN'!$G$14),'ENG_SCEN'!$G$15))</f>
        <v/>
      </c>
      <c r="L51" s="33">
        <f>'IN_MACRO'!$L$34*IF('IN_COST'!$E$37="SCRAP_LME",'ENG_OPS'!$L$20*'IN_COST'!$F$37*'ENG_SCEN'!$L$37,IF('IN_COST'!$E$37="PER_TON_BATT",'ENG_OPS'!$L$20*'IN_COST'!$F$37*IF('IN_COST'!$G$37="FX",'ENG_SCEN'!$L$36,IF('IN_COST'!$G$37="PPI",'ENG_SCEN'!$L$35,IF('IN_COST'!$G$37="ENERGY",'ENG_SCEN'!$L$34,IF('IN_COST'!$G$37="WAGE",'ENG_SCEN'!$L$33,IF('IN_COST'!$G$37="CPI",'ENG_SCEN'!$L$32,1))))),IF('IN_COST'!$E$37="PER_TON_PROD",'ENG_OPS'!$L$43*'IN_COST'!$F$37*IF('IN_COST'!$G$37="FX",'ENG_SCEN'!$L$36,IF('IN_COST'!$G$37="PPI",'ENG_SCEN'!$L$35,IF('IN_COST'!$G$37="ENERGY",'ENG_SCEN'!$L$34,IF('IN_COST'!$G$37="WAGE",'ENG_SCEN'!$L$33,IF('IN_COST'!$G$37="CPI",'ENG_SCEN'!$L$32,1))))),IF('IN_COST'!$E$37="PER_KWH",'ENG_OPS'!$L$63*'IN_COST'!$F$37*IF('IN_COST'!$G$37="FX",'ENG_SCEN'!$L$36,IF('IN_COST'!$G$37="PPI",'ENG_SCEN'!$L$35,IF('IN_COST'!$G$37="ENERGY",'ENG_SCEN'!$L$34,IF('IN_COST'!$G$37="WAGE",'ENG_SCEN'!$L$33,IF('IN_COST'!$G$37="CPI",'ENG_SCEN'!$L$32,1))))),IF('IN_COST'!$E$37="PER_M3",'ENG_OPS'!$L$64*'IN_COST'!$F$37*IF('IN_COST'!$G$37="FX",'ENG_SCEN'!$L$36,IF('IN_COST'!$G$37="PPI",'ENG_SCEN'!$L$35,IF('IN_COST'!$G$37="ENERGY",'ENG_SCEN'!$L$34,IF('IN_COST'!$G$37="WAGE",'ENG_SCEN'!$L$33,IF('IN_COST'!$G$37="CPI",'ENG_SCEN'!$L$32,1))))),IF('IN_COST'!$E$37="ANNUAL",'IN_COST'!$F$37*IF('IN_COST'!$G$37="FX",'ENG_SCEN'!$L$36,IF('IN_COST'!$G$37="PPI",'ENG_SCEN'!$L$35,IF('IN_COST'!$G$37="ENERGY",'ENG_SCEN'!$L$34,IF('IN_COST'!$G$37="WAGE",'ENG_SCEN'!$L$33,IF('IN_COST'!$G$37="CPI",'ENG_SCEN'!$L$32,1))))),IF('IN_COST'!$E$37="PCT_REV",'ENG_OPS'!$L$81*'IN_COST'!$F$37,IF('IN_COST'!$E$37="PCT_ASSET",'ENG_CAPEX'!$L$84*'IN_COST'!$F$37,IF('IN_COST'!$E$37="DEP",'ENG_CAPEX'!$L$81,IF('IN_COST'!$E$37="PAY",INDEX('IN_COST'!$D$15:$D$19,IFERROR(VALUE(MID('IN_COST'!$F$37,FIND(":",'IN_COST'!$F$37)+1,2)),1))*INDEX('IN_COST'!$E$15:$E$19,IFERROR(VALUE(MID('IN_COST'!$F$37,FIND(":",'IN_COST'!$F$37)+1,2)),1))*'IN_COST'!$D$10*'IN_COST'!$D$11*'ENG_SCEN'!$L$33,IF('IN_COST'!$E$37="SRV",SUM(INDEX('ENG_ALLOC'!$D$29:$P$58,(IFERROR(VALUE(MID('IN_COST'!$F$37,FIND(":",'IN_COST'!$F$37)+1,2)),1)-1)*6+1,9):INDEX('ENG_ALLOC'!$D$29:$P$58,IFERROR(VALUE(MID('IN_COST'!$F$37,FIND(":",'IN_COST'!$F$37)+1,2)),1)*6,9)),0)))))))))))*IF('IN_COST'!$E$37="DEP",'ENG_SCEN'!$G$16,IF('IN_COST'!$I$37="V",IF('IN_COST'!$E$37="SCRAP_LME",'ENG_SCEN'!$G$13,'ENG_SCEN'!$G$14),'ENG_SCEN'!$G$15))</f>
        <v/>
      </c>
      <c r="M51" s="33">
        <f>'IN_MACRO'!$M$34*IF('IN_COST'!$E$37="SCRAP_LME",'ENG_OPS'!$M$20*'IN_COST'!$F$37*'ENG_SCEN'!$M$37,IF('IN_COST'!$E$37="PER_TON_BATT",'ENG_OPS'!$M$20*'IN_COST'!$F$37*IF('IN_COST'!$G$37="FX",'ENG_SCEN'!$M$36,IF('IN_COST'!$G$37="PPI",'ENG_SCEN'!$M$35,IF('IN_COST'!$G$37="ENERGY",'ENG_SCEN'!$M$34,IF('IN_COST'!$G$37="WAGE",'ENG_SCEN'!$M$33,IF('IN_COST'!$G$37="CPI",'ENG_SCEN'!$M$32,1))))),IF('IN_COST'!$E$37="PER_TON_PROD",'ENG_OPS'!$M$43*'IN_COST'!$F$37*IF('IN_COST'!$G$37="FX",'ENG_SCEN'!$M$36,IF('IN_COST'!$G$37="PPI",'ENG_SCEN'!$M$35,IF('IN_COST'!$G$37="ENERGY",'ENG_SCEN'!$M$34,IF('IN_COST'!$G$37="WAGE",'ENG_SCEN'!$M$33,IF('IN_COST'!$G$37="CPI",'ENG_SCEN'!$M$32,1))))),IF('IN_COST'!$E$37="PER_KWH",'ENG_OPS'!$M$63*'IN_COST'!$F$37*IF('IN_COST'!$G$37="FX",'ENG_SCEN'!$M$36,IF('IN_COST'!$G$37="PPI",'ENG_SCEN'!$M$35,IF('IN_COST'!$G$37="ENERGY",'ENG_SCEN'!$M$34,IF('IN_COST'!$G$37="WAGE",'ENG_SCEN'!$M$33,IF('IN_COST'!$G$37="CPI",'ENG_SCEN'!$M$32,1))))),IF('IN_COST'!$E$37="PER_M3",'ENG_OPS'!$M$64*'IN_COST'!$F$37*IF('IN_COST'!$G$37="FX",'ENG_SCEN'!$M$36,IF('IN_COST'!$G$37="PPI",'ENG_SCEN'!$M$35,IF('IN_COST'!$G$37="ENERGY",'ENG_SCEN'!$M$34,IF('IN_COST'!$G$37="WAGE",'ENG_SCEN'!$M$33,IF('IN_COST'!$G$37="CPI",'ENG_SCEN'!$M$32,1))))),IF('IN_COST'!$E$37="ANNUAL",'IN_COST'!$F$37*IF('IN_COST'!$G$37="FX",'ENG_SCEN'!$M$36,IF('IN_COST'!$G$37="PPI",'ENG_SCEN'!$M$35,IF('IN_COST'!$G$37="ENERGY",'ENG_SCEN'!$M$34,IF('IN_COST'!$G$37="WAGE",'ENG_SCEN'!$M$33,IF('IN_COST'!$G$37="CPI",'ENG_SCEN'!$M$32,1))))),IF('IN_COST'!$E$37="PCT_REV",'ENG_OPS'!$M$81*'IN_COST'!$F$37,IF('IN_COST'!$E$37="PCT_ASSET",'ENG_CAPEX'!$M$84*'IN_COST'!$F$37,IF('IN_COST'!$E$37="DEP",'ENG_CAPEX'!$M$81,IF('IN_COST'!$E$37="PAY",INDEX('IN_COST'!$D$15:$D$19,IFERROR(VALUE(MID('IN_COST'!$F$37,FIND(":",'IN_COST'!$F$37)+1,2)),1))*INDEX('IN_COST'!$E$15:$E$19,IFERROR(VALUE(MID('IN_COST'!$F$37,FIND(":",'IN_COST'!$F$37)+1,2)),1))*'IN_COST'!$D$10*'IN_COST'!$D$11*'ENG_SCEN'!$M$33,IF('IN_COST'!$E$37="SRV",SUM(INDEX('ENG_ALLOC'!$D$29:$P$58,(IFERROR(VALUE(MID('IN_COST'!$F$37,FIND(":",'IN_COST'!$F$37)+1,2)),1)-1)*6+1,10):INDEX('ENG_ALLOC'!$D$29:$P$58,IFERROR(VALUE(MID('IN_COST'!$F$37,FIND(":",'IN_COST'!$F$37)+1,2)),1)*6,10)),0)))))))))))*IF('IN_COST'!$E$37="DEP",'ENG_SCEN'!$G$16,IF('IN_COST'!$I$37="V",IF('IN_COST'!$E$37="SCRAP_LME",'ENG_SCEN'!$G$13,'ENG_SCEN'!$G$14),'ENG_SCEN'!$G$15))</f>
        <v/>
      </c>
      <c r="N51" s="33">
        <f>'IN_MACRO'!$N$34*IF('IN_COST'!$E$37="SCRAP_LME",'ENG_OPS'!$N$20*'IN_COST'!$F$37*'ENG_SCEN'!$N$37,IF('IN_COST'!$E$37="PER_TON_BATT",'ENG_OPS'!$N$20*'IN_COST'!$F$37*IF('IN_COST'!$G$37="FX",'ENG_SCEN'!$N$36,IF('IN_COST'!$G$37="PPI",'ENG_SCEN'!$N$35,IF('IN_COST'!$G$37="ENERGY",'ENG_SCEN'!$N$34,IF('IN_COST'!$G$37="WAGE",'ENG_SCEN'!$N$33,IF('IN_COST'!$G$37="CPI",'ENG_SCEN'!$N$32,1))))),IF('IN_COST'!$E$37="PER_TON_PROD",'ENG_OPS'!$N$43*'IN_COST'!$F$37*IF('IN_COST'!$G$37="FX",'ENG_SCEN'!$N$36,IF('IN_COST'!$G$37="PPI",'ENG_SCEN'!$N$35,IF('IN_COST'!$G$37="ENERGY",'ENG_SCEN'!$N$34,IF('IN_COST'!$G$37="WAGE",'ENG_SCEN'!$N$33,IF('IN_COST'!$G$37="CPI",'ENG_SCEN'!$N$32,1))))),IF('IN_COST'!$E$37="PER_KWH",'ENG_OPS'!$N$63*'IN_COST'!$F$37*IF('IN_COST'!$G$37="FX",'ENG_SCEN'!$N$36,IF('IN_COST'!$G$37="PPI",'ENG_SCEN'!$N$35,IF('IN_COST'!$G$37="ENERGY",'ENG_SCEN'!$N$34,IF('IN_COST'!$G$37="WAGE",'ENG_SCEN'!$N$33,IF('IN_COST'!$G$37="CPI",'ENG_SCEN'!$N$32,1))))),IF('IN_COST'!$E$37="PER_M3",'ENG_OPS'!$N$64*'IN_COST'!$F$37*IF('IN_COST'!$G$37="FX",'ENG_SCEN'!$N$36,IF('IN_COST'!$G$37="PPI",'ENG_SCEN'!$N$35,IF('IN_COST'!$G$37="ENERGY",'ENG_SCEN'!$N$34,IF('IN_COST'!$G$37="WAGE",'ENG_SCEN'!$N$33,IF('IN_COST'!$G$37="CPI",'ENG_SCEN'!$N$32,1))))),IF('IN_COST'!$E$37="ANNUAL",'IN_COST'!$F$37*IF('IN_COST'!$G$37="FX",'ENG_SCEN'!$N$36,IF('IN_COST'!$G$37="PPI",'ENG_SCEN'!$N$35,IF('IN_COST'!$G$37="ENERGY",'ENG_SCEN'!$N$34,IF('IN_COST'!$G$37="WAGE",'ENG_SCEN'!$N$33,IF('IN_COST'!$G$37="CPI",'ENG_SCEN'!$N$32,1))))),IF('IN_COST'!$E$37="PCT_REV",'ENG_OPS'!$N$81*'IN_COST'!$F$37,IF('IN_COST'!$E$37="PCT_ASSET",'ENG_CAPEX'!$N$84*'IN_COST'!$F$37,IF('IN_COST'!$E$37="DEP",'ENG_CAPEX'!$N$81,IF('IN_COST'!$E$37="PAY",INDEX('IN_COST'!$D$15:$D$19,IFERROR(VALUE(MID('IN_COST'!$F$37,FIND(":",'IN_COST'!$F$37)+1,2)),1))*INDEX('IN_COST'!$E$15:$E$19,IFERROR(VALUE(MID('IN_COST'!$F$37,FIND(":",'IN_COST'!$F$37)+1,2)),1))*'IN_COST'!$D$10*'IN_COST'!$D$11*'ENG_SCEN'!$N$33,IF('IN_COST'!$E$37="SRV",SUM(INDEX('ENG_ALLOC'!$D$29:$P$58,(IFERROR(VALUE(MID('IN_COST'!$F$37,FIND(":",'IN_COST'!$F$37)+1,2)),1)-1)*6+1,11):INDEX('ENG_ALLOC'!$D$29:$P$58,IFERROR(VALUE(MID('IN_COST'!$F$37,FIND(":",'IN_COST'!$F$37)+1,2)),1)*6,11)),0)))))))))))*IF('IN_COST'!$E$37="DEP",'ENG_SCEN'!$G$16,IF('IN_COST'!$I$37="V",IF('IN_COST'!$E$37="SCRAP_LME",'ENG_SCEN'!$G$13,'ENG_SCEN'!$G$14),'ENG_SCEN'!$G$15))</f>
        <v/>
      </c>
      <c r="O51" s="33">
        <f>'IN_MACRO'!$O$34*IF('IN_COST'!$E$37="SCRAP_LME",'ENG_OPS'!$O$20*'IN_COST'!$F$37*'ENG_SCEN'!$O$37,IF('IN_COST'!$E$37="PER_TON_BATT",'ENG_OPS'!$O$20*'IN_COST'!$F$37*IF('IN_COST'!$G$37="FX",'ENG_SCEN'!$O$36,IF('IN_COST'!$G$37="PPI",'ENG_SCEN'!$O$35,IF('IN_COST'!$G$37="ENERGY",'ENG_SCEN'!$O$34,IF('IN_COST'!$G$37="WAGE",'ENG_SCEN'!$O$33,IF('IN_COST'!$G$37="CPI",'ENG_SCEN'!$O$32,1))))),IF('IN_COST'!$E$37="PER_TON_PROD",'ENG_OPS'!$O$43*'IN_COST'!$F$37*IF('IN_COST'!$G$37="FX",'ENG_SCEN'!$O$36,IF('IN_COST'!$G$37="PPI",'ENG_SCEN'!$O$35,IF('IN_COST'!$G$37="ENERGY",'ENG_SCEN'!$O$34,IF('IN_COST'!$G$37="WAGE",'ENG_SCEN'!$O$33,IF('IN_COST'!$G$37="CPI",'ENG_SCEN'!$O$32,1))))),IF('IN_COST'!$E$37="PER_KWH",'ENG_OPS'!$O$63*'IN_COST'!$F$37*IF('IN_COST'!$G$37="FX",'ENG_SCEN'!$O$36,IF('IN_COST'!$G$37="PPI",'ENG_SCEN'!$O$35,IF('IN_COST'!$G$37="ENERGY",'ENG_SCEN'!$O$34,IF('IN_COST'!$G$37="WAGE",'ENG_SCEN'!$O$33,IF('IN_COST'!$G$37="CPI",'ENG_SCEN'!$O$32,1))))),IF('IN_COST'!$E$37="PER_M3",'ENG_OPS'!$O$64*'IN_COST'!$F$37*IF('IN_COST'!$G$37="FX",'ENG_SCEN'!$O$36,IF('IN_COST'!$G$37="PPI",'ENG_SCEN'!$O$35,IF('IN_COST'!$G$37="ENERGY",'ENG_SCEN'!$O$34,IF('IN_COST'!$G$37="WAGE",'ENG_SCEN'!$O$33,IF('IN_COST'!$G$37="CPI",'ENG_SCEN'!$O$32,1))))),IF('IN_COST'!$E$37="ANNUAL",'IN_COST'!$F$37*IF('IN_COST'!$G$37="FX",'ENG_SCEN'!$O$36,IF('IN_COST'!$G$37="PPI",'ENG_SCEN'!$O$35,IF('IN_COST'!$G$37="ENERGY",'ENG_SCEN'!$O$34,IF('IN_COST'!$G$37="WAGE",'ENG_SCEN'!$O$33,IF('IN_COST'!$G$37="CPI",'ENG_SCEN'!$O$32,1))))),IF('IN_COST'!$E$37="PCT_REV",'ENG_OPS'!$O$81*'IN_COST'!$F$37,IF('IN_COST'!$E$37="PCT_ASSET",'ENG_CAPEX'!$O$84*'IN_COST'!$F$37,IF('IN_COST'!$E$37="DEP",'ENG_CAPEX'!$O$81,IF('IN_COST'!$E$37="PAY",INDEX('IN_COST'!$D$15:$D$19,IFERROR(VALUE(MID('IN_COST'!$F$37,FIND(":",'IN_COST'!$F$37)+1,2)),1))*INDEX('IN_COST'!$E$15:$E$19,IFERROR(VALUE(MID('IN_COST'!$F$37,FIND(":",'IN_COST'!$F$37)+1,2)),1))*'IN_COST'!$D$10*'IN_COST'!$D$11*'ENG_SCEN'!$O$33,IF('IN_COST'!$E$37="SRV",SUM(INDEX('ENG_ALLOC'!$D$29:$P$58,(IFERROR(VALUE(MID('IN_COST'!$F$37,FIND(":",'IN_COST'!$F$37)+1,2)),1)-1)*6+1,12):INDEX('ENG_ALLOC'!$D$29:$P$58,IFERROR(VALUE(MID('IN_COST'!$F$37,FIND(":",'IN_COST'!$F$37)+1,2)),1)*6,12)),0)))))))))))*IF('IN_COST'!$E$37="DEP",'ENG_SCEN'!$G$16,IF('IN_COST'!$I$37="V",IF('IN_COST'!$E$37="SCRAP_LME",'ENG_SCEN'!$G$13,'ENG_SCEN'!$G$14),'ENG_SCEN'!$G$15))</f>
        <v/>
      </c>
      <c r="P51" s="33">
        <f>'IN_MACRO'!$P$34*IF('IN_COST'!$E$37="SCRAP_LME",'ENG_OPS'!$P$20*'IN_COST'!$F$37*'ENG_SCEN'!$P$37,IF('IN_COST'!$E$37="PER_TON_BATT",'ENG_OPS'!$P$20*'IN_COST'!$F$37*IF('IN_COST'!$G$37="FX",'ENG_SCEN'!$P$36,IF('IN_COST'!$G$37="PPI",'ENG_SCEN'!$P$35,IF('IN_COST'!$G$37="ENERGY",'ENG_SCEN'!$P$34,IF('IN_COST'!$G$37="WAGE",'ENG_SCEN'!$P$33,IF('IN_COST'!$G$37="CPI",'ENG_SCEN'!$P$32,1))))),IF('IN_COST'!$E$37="PER_TON_PROD",'ENG_OPS'!$P$43*'IN_COST'!$F$37*IF('IN_COST'!$G$37="FX",'ENG_SCEN'!$P$36,IF('IN_COST'!$G$37="PPI",'ENG_SCEN'!$P$35,IF('IN_COST'!$G$37="ENERGY",'ENG_SCEN'!$P$34,IF('IN_COST'!$G$37="WAGE",'ENG_SCEN'!$P$33,IF('IN_COST'!$G$37="CPI",'ENG_SCEN'!$P$32,1))))),IF('IN_COST'!$E$37="PER_KWH",'ENG_OPS'!$P$63*'IN_COST'!$F$37*IF('IN_COST'!$G$37="FX",'ENG_SCEN'!$P$36,IF('IN_COST'!$G$37="PPI",'ENG_SCEN'!$P$35,IF('IN_COST'!$G$37="ENERGY",'ENG_SCEN'!$P$34,IF('IN_COST'!$G$37="WAGE",'ENG_SCEN'!$P$33,IF('IN_COST'!$G$37="CPI",'ENG_SCEN'!$P$32,1))))),IF('IN_COST'!$E$37="PER_M3",'ENG_OPS'!$P$64*'IN_COST'!$F$37*IF('IN_COST'!$G$37="FX",'ENG_SCEN'!$P$36,IF('IN_COST'!$G$37="PPI",'ENG_SCEN'!$P$35,IF('IN_COST'!$G$37="ENERGY",'ENG_SCEN'!$P$34,IF('IN_COST'!$G$37="WAGE",'ENG_SCEN'!$P$33,IF('IN_COST'!$G$37="CPI",'ENG_SCEN'!$P$32,1))))),IF('IN_COST'!$E$37="ANNUAL",'IN_COST'!$F$37*IF('IN_COST'!$G$37="FX",'ENG_SCEN'!$P$36,IF('IN_COST'!$G$37="PPI",'ENG_SCEN'!$P$35,IF('IN_COST'!$G$37="ENERGY",'ENG_SCEN'!$P$34,IF('IN_COST'!$G$37="WAGE",'ENG_SCEN'!$P$33,IF('IN_COST'!$G$37="CPI",'ENG_SCEN'!$P$32,1))))),IF('IN_COST'!$E$37="PCT_REV",'ENG_OPS'!$P$81*'IN_COST'!$F$37,IF('IN_COST'!$E$37="PCT_ASSET",'ENG_CAPEX'!$P$84*'IN_COST'!$F$37,IF('IN_COST'!$E$37="DEP",'ENG_CAPEX'!$P$81,IF('IN_COST'!$E$37="PAY",INDEX('IN_COST'!$D$15:$D$19,IFERROR(VALUE(MID('IN_COST'!$F$37,FIND(":",'IN_COST'!$F$37)+1,2)),1))*INDEX('IN_COST'!$E$15:$E$19,IFERROR(VALUE(MID('IN_COST'!$F$37,FIND(":",'IN_COST'!$F$37)+1,2)),1))*'IN_COST'!$D$10*'IN_COST'!$D$11*'ENG_SCEN'!$P$33,IF('IN_COST'!$E$37="SRV",SUM(INDEX('ENG_ALLOC'!$D$29:$P$58,(IFERROR(VALUE(MID('IN_COST'!$F$37,FIND(":",'IN_COST'!$F$37)+1,2)),1)-1)*6+1,13):INDEX('ENG_ALLOC'!$D$29:$P$58,IFERROR(VALUE(MID('IN_COST'!$F$37,FIND(":",'IN_COST'!$F$37)+1,2)),1)*6,13)),0)))))))))))*IF('IN_COST'!$E$37="DEP",'ENG_SCEN'!$G$16,IF('IN_COST'!$I$37="V",IF('IN_COST'!$E$37="SCRAP_LME",'ENG_SCEN'!$G$13,'ENG_SCEN'!$G$14),'ENG_SCEN'!$G$15))</f>
        <v/>
      </c>
    </row>
    <row r="52">
      <c r="A52" s="15" t="inlineStr">
        <is>
          <t>DPC-06 | انرژی الکتریکی فرآیندی</t>
        </is>
      </c>
      <c r="B52" s="16" t="inlineStr">
        <is>
          <t>EC.tot.5</t>
        </is>
      </c>
      <c r="C52" s="17" t="inlineStr">
        <is>
          <t>میلیون ریال</t>
        </is>
      </c>
      <c r="D52" s="33">
        <f>'IN_MACRO'!$D$34*IF('IN_COST'!$E$38="SCRAP_LME",'ENG_OPS'!$D$20*'IN_COST'!$F$38*'ENG_SCEN'!$D$37,IF('IN_COST'!$E$38="PER_TON_BATT",'ENG_OPS'!$D$20*'IN_COST'!$F$38*IF('IN_COST'!$G$38="FX",'ENG_SCEN'!$D$36,IF('IN_COST'!$G$38="PPI",'ENG_SCEN'!$D$35,IF('IN_COST'!$G$38="ENERGY",'ENG_SCEN'!$D$34,IF('IN_COST'!$G$38="WAGE",'ENG_SCEN'!$D$33,IF('IN_COST'!$G$38="CPI",'ENG_SCEN'!$D$32,1))))),IF('IN_COST'!$E$38="PER_TON_PROD",'ENG_OPS'!$D$43*'IN_COST'!$F$38*IF('IN_COST'!$G$38="FX",'ENG_SCEN'!$D$36,IF('IN_COST'!$G$38="PPI",'ENG_SCEN'!$D$35,IF('IN_COST'!$G$38="ENERGY",'ENG_SCEN'!$D$34,IF('IN_COST'!$G$38="WAGE",'ENG_SCEN'!$D$33,IF('IN_COST'!$G$38="CPI",'ENG_SCEN'!$D$32,1))))),IF('IN_COST'!$E$38="PER_KWH",'ENG_OPS'!$D$63*'IN_COST'!$F$38*IF('IN_COST'!$G$38="FX",'ENG_SCEN'!$D$36,IF('IN_COST'!$G$38="PPI",'ENG_SCEN'!$D$35,IF('IN_COST'!$G$38="ENERGY",'ENG_SCEN'!$D$34,IF('IN_COST'!$G$38="WAGE",'ENG_SCEN'!$D$33,IF('IN_COST'!$G$38="CPI",'ENG_SCEN'!$D$32,1))))),IF('IN_COST'!$E$38="PER_M3",'ENG_OPS'!$D$64*'IN_COST'!$F$38*IF('IN_COST'!$G$38="FX",'ENG_SCEN'!$D$36,IF('IN_COST'!$G$38="PPI",'ENG_SCEN'!$D$35,IF('IN_COST'!$G$38="ENERGY",'ENG_SCEN'!$D$34,IF('IN_COST'!$G$38="WAGE",'ENG_SCEN'!$D$33,IF('IN_COST'!$G$38="CPI",'ENG_SCEN'!$D$32,1))))),IF('IN_COST'!$E$38="ANNUAL",'IN_COST'!$F$38*IF('IN_COST'!$G$38="FX",'ENG_SCEN'!$D$36,IF('IN_COST'!$G$38="PPI",'ENG_SCEN'!$D$35,IF('IN_COST'!$G$38="ENERGY",'ENG_SCEN'!$D$34,IF('IN_COST'!$G$38="WAGE",'ENG_SCEN'!$D$33,IF('IN_COST'!$G$38="CPI",'ENG_SCEN'!$D$32,1))))),IF('IN_COST'!$E$38="PCT_REV",'ENG_OPS'!$D$81*'IN_COST'!$F$38,IF('IN_COST'!$E$38="PCT_ASSET",'ENG_CAPEX'!$D$84*'IN_COST'!$F$38,IF('IN_COST'!$E$38="DEP",'ENG_CAPEX'!$D$81,IF('IN_COST'!$E$38="PAY",INDEX('IN_COST'!$D$15:$D$19,IFERROR(VALUE(MID('IN_COST'!$F$38,FIND(":",'IN_COST'!$F$38)+1,2)),1))*INDEX('IN_COST'!$E$15:$E$19,IFERROR(VALUE(MID('IN_COST'!$F$38,FIND(":",'IN_COST'!$F$38)+1,2)),1))*'IN_COST'!$D$10*'IN_COST'!$D$11*'ENG_SCEN'!$D$33,IF('IN_COST'!$E$38="SRV",SUM(INDEX('ENG_ALLOC'!$D$29:$P$58,(IFERROR(VALUE(MID('IN_COST'!$F$38,FIND(":",'IN_COST'!$F$38)+1,2)),1)-1)*6+1,1):INDEX('ENG_ALLOC'!$D$29:$P$58,IFERROR(VALUE(MID('IN_COST'!$F$38,FIND(":",'IN_COST'!$F$38)+1,2)),1)*6,1)),0)))))))))))*IF('IN_COST'!$E$38="DEP",'ENG_SCEN'!$G$16,IF('IN_COST'!$I$38="V",IF('IN_COST'!$E$38="SCRAP_LME",'ENG_SCEN'!$G$13,'ENG_SCEN'!$G$14),'ENG_SCEN'!$G$15))</f>
        <v/>
      </c>
      <c r="E52" s="33">
        <f>'IN_MACRO'!$E$34*IF('IN_COST'!$E$38="SCRAP_LME",'ENG_OPS'!$E$20*'IN_COST'!$F$38*'ENG_SCEN'!$E$37,IF('IN_COST'!$E$38="PER_TON_BATT",'ENG_OPS'!$E$20*'IN_COST'!$F$38*IF('IN_COST'!$G$38="FX",'ENG_SCEN'!$E$36,IF('IN_COST'!$G$38="PPI",'ENG_SCEN'!$E$35,IF('IN_COST'!$G$38="ENERGY",'ENG_SCEN'!$E$34,IF('IN_COST'!$G$38="WAGE",'ENG_SCEN'!$E$33,IF('IN_COST'!$G$38="CPI",'ENG_SCEN'!$E$32,1))))),IF('IN_COST'!$E$38="PER_TON_PROD",'ENG_OPS'!$E$43*'IN_COST'!$F$38*IF('IN_COST'!$G$38="FX",'ENG_SCEN'!$E$36,IF('IN_COST'!$G$38="PPI",'ENG_SCEN'!$E$35,IF('IN_COST'!$G$38="ENERGY",'ENG_SCEN'!$E$34,IF('IN_COST'!$G$38="WAGE",'ENG_SCEN'!$E$33,IF('IN_COST'!$G$38="CPI",'ENG_SCEN'!$E$32,1))))),IF('IN_COST'!$E$38="PER_KWH",'ENG_OPS'!$E$63*'IN_COST'!$F$38*IF('IN_COST'!$G$38="FX",'ENG_SCEN'!$E$36,IF('IN_COST'!$G$38="PPI",'ENG_SCEN'!$E$35,IF('IN_COST'!$G$38="ENERGY",'ENG_SCEN'!$E$34,IF('IN_COST'!$G$38="WAGE",'ENG_SCEN'!$E$33,IF('IN_COST'!$G$38="CPI",'ENG_SCEN'!$E$32,1))))),IF('IN_COST'!$E$38="PER_M3",'ENG_OPS'!$E$64*'IN_COST'!$F$38*IF('IN_COST'!$G$38="FX",'ENG_SCEN'!$E$36,IF('IN_COST'!$G$38="PPI",'ENG_SCEN'!$E$35,IF('IN_COST'!$G$38="ENERGY",'ENG_SCEN'!$E$34,IF('IN_COST'!$G$38="WAGE",'ENG_SCEN'!$E$33,IF('IN_COST'!$G$38="CPI",'ENG_SCEN'!$E$32,1))))),IF('IN_COST'!$E$38="ANNUAL",'IN_COST'!$F$38*IF('IN_COST'!$G$38="FX",'ENG_SCEN'!$E$36,IF('IN_COST'!$G$38="PPI",'ENG_SCEN'!$E$35,IF('IN_COST'!$G$38="ENERGY",'ENG_SCEN'!$E$34,IF('IN_COST'!$G$38="WAGE",'ENG_SCEN'!$E$33,IF('IN_COST'!$G$38="CPI",'ENG_SCEN'!$E$32,1))))),IF('IN_COST'!$E$38="PCT_REV",'ENG_OPS'!$E$81*'IN_COST'!$F$38,IF('IN_COST'!$E$38="PCT_ASSET",'ENG_CAPEX'!$E$84*'IN_COST'!$F$38,IF('IN_COST'!$E$38="DEP",'ENG_CAPEX'!$E$81,IF('IN_COST'!$E$38="PAY",INDEX('IN_COST'!$D$15:$D$19,IFERROR(VALUE(MID('IN_COST'!$F$38,FIND(":",'IN_COST'!$F$38)+1,2)),1))*INDEX('IN_COST'!$E$15:$E$19,IFERROR(VALUE(MID('IN_COST'!$F$38,FIND(":",'IN_COST'!$F$38)+1,2)),1))*'IN_COST'!$D$10*'IN_COST'!$D$11*'ENG_SCEN'!$E$33,IF('IN_COST'!$E$38="SRV",SUM(INDEX('ENG_ALLOC'!$D$29:$P$58,(IFERROR(VALUE(MID('IN_COST'!$F$38,FIND(":",'IN_COST'!$F$38)+1,2)),1)-1)*6+1,2):INDEX('ENG_ALLOC'!$D$29:$P$58,IFERROR(VALUE(MID('IN_COST'!$F$38,FIND(":",'IN_COST'!$F$38)+1,2)),1)*6,2)),0)))))))))))*IF('IN_COST'!$E$38="DEP",'ENG_SCEN'!$G$16,IF('IN_COST'!$I$38="V",IF('IN_COST'!$E$38="SCRAP_LME",'ENG_SCEN'!$G$13,'ENG_SCEN'!$G$14),'ENG_SCEN'!$G$15))</f>
        <v/>
      </c>
      <c r="F52" s="33">
        <f>'IN_MACRO'!$F$34*IF('IN_COST'!$E$38="SCRAP_LME",'ENG_OPS'!$F$20*'IN_COST'!$F$38*'ENG_SCEN'!$F$37,IF('IN_COST'!$E$38="PER_TON_BATT",'ENG_OPS'!$F$20*'IN_COST'!$F$38*IF('IN_COST'!$G$38="FX",'ENG_SCEN'!$F$36,IF('IN_COST'!$G$38="PPI",'ENG_SCEN'!$F$35,IF('IN_COST'!$G$38="ENERGY",'ENG_SCEN'!$F$34,IF('IN_COST'!$G$38="WAGE",'ENG_SCEN'!$F$33,IF('IN_COST'!$G$38="CPI",'ENG_SCEN'!$F$32,1))))),IF('IN_COST'!$E$38="PER_TON_PROD",'ENG_OPS'!$F$43*'IN_COST'!$F$38*IF('IN_COST'!$G$38="FX",'ENG_SCEN'!$F$36,IF('IN_COST'!$G$38="PPI",'ENG_SCEN'!$F$35,IF('IN_COST'!$G$38="ENERGY",'ENG_SCEN'!$F$34,IF('IN_COST'!$G$38="WAGE",'ENG_SCEN'!$F$33,IF('IN_COST'!$G$38="CPI",'ENG_SCEN'!$F$32,1))))),IF('IN_COST'!$E$38="PER_KWH",'ENG_OPS'!$F$63*'IN_COST'!$F$38*IF('IN_COST'!$G$38="FX",'ENG_SCEN'!$F$36,IF('IN_COST'!$G$38="PPI",'ENG_SCEN'!$F$35,IF('IN_COST'!$G$38="ENERGY",'ENG_SCEN'!$F$34,IF('IN_COST'!$G$38="WAGE",'ENG_SCEN'!$F$33,IF('IN_COST'!$G$38="CPI",'ENG_SCEN'!$F$32,1))))),IF('IN_COST'!$E$38="PER_M3",'ENG_OPS'!$F$64*'IN_COST'!$F$38*IF('IN_COST'!$G$38="FX",'ENG_SCEN'!$F$36,IF('IN_COST'!$G$38="PPI",'ENG_SCEN'!$F$35,IF('IN_COST'!$G$38="ENERGY",'ENG_SCEN'!$F$34,IF('IN_COST'!$G$38="WAGE",'ENG_SCEN'!$F$33,IF('IN_COST'!$G$38="CPI",'ENG_SCEN'!$F$32,1))))),IF('IN_COST'!$E$38="ANNUAL",'IN_COST'!$F$38*IF('IN_COST'!$G$38="FX",'ENG_SCEN'!$F$36,IF('IN_COST'!$G$38="PPI",'ENG_SCEN'!$F$35,IF('IN_COST'!$G$38="ENERGY",'ENG_SCEN'!$F$34,IF('IN_COST'!$G$38="WAGE",'ENG_SCEN'!$F$33,IF('IN_COST'!$G$38="CPI",'ENG_SCEN'!$F$32,1))))),IF('IN_COST'!$E$38="PCT_REV",'ENG_OPS'!$F$81*'IN_COST'!$F$38,IF('IN_COST'!$E$38="PCT_ASSET",'ENG_CAPEX'!$F$84*'IN_COST'!$F$38,IF('IN_COST'!$E$38="DEP",'ENG_CAPEX'!$F$81,IF('IN_COST'!$E$38="PAY",INDEX('IN_COST'!$D$15:$D$19,IFERROR(VALUE(MID('IN_COST'!$F$38,FIND(":",'IN_COST'!$F$38)+1,2)),1))*INDEX('IN_COST'!$E$15:$E$19,IFERROR(VALUE(MID('IN_COST'!$F$38,FIND(":",'IN_COST'!$F$38)+1,2)),1))*'IN_COST'!$D$10*'IN_COST'!$D$11*'ENG_SCEN'!$F$33,IF('IN_COST'!$E$38="SRV",SUM(INDEX('ENG_ALLOC'!$D$29:$P$58,(IFERROR(VALUE(MID('IN_COST'!$F$38,FIND(":",'IN_COST'!$F$38)+1,2)),1)-1)*6+1,3):INDEX('ENG_ALLOC'!$D$29:$P$58,IFERROR(VALUE(MID('IN_COST'!$F$38,FIND(":",'IN_COST'!$F$38)+1,2)),1)*6,3)),0)))))))))))*IF('IN_COST'!$E$38="DEP",'ENG_SCEN'!$G$16,IF('IN_COST'!$I$38="V",IF('IN_COST'!$E$38="SCRAP_LME",'ENG_SCEN'!$G$13,'ENG_SCEN'!$G$14),'ENG_SCEN'!$G$15))</f>
        <v/>
      </c>
      <c r="G52" s="33">
        <f>'IN_MACRO'!$G$34*IF('IN_COST'!$E$38="SCRAP_LME",'ENG_OPS'!$G$20*'IN_COST'!$F$38*'ENG_SCEN'!$G$37,IF('IN_COST'!$E$38="PER_TON_BATT",'ENG_OPS'!$G$20*'IN_COST'!$F$38*IF('IN_COST'!$G$38="FX",'ENG_SCEN'!$G$36,IF('IN_COST'!$G$38="PPI",'ENG_SCEN'!$G$35,IF('IN_COST'!$G$38="ENERGY",'ENG_SCEN'!$G$34,IF('IN_COST'!$G$38="WAGE",'ENG_SCEN'!$G$33,IF('IN_COST'!$G$38="CPI",'ENG_SCEN'!$G$32,1))))),IF('IN_COST'!$E$38="PER_TON_PROD",'ENG_OPS'!$G$43*'IN_COST'!$F$38*IF('IN_COST'!$G$38="FX",'ENG_SCEN'!$G$36,IF('IN_COST'!$G$38="PPI",'ENG_SCEN'!$G$35,IF('IN_COST'!$G$38="ENERGY",'ENG_SCEN'!$G$34,IF('IN_COST'!$G$38="WAGE",'ENG_SCEN'!$G$33,IF('IN_COST'!$G$38="CPI",'ENG_SCEN'!$G$32,1))))),IF('IN_COST'!$E$38="PER_KWH",'ENG_OPS'!$G$63*'IN_COST'!$F$38*IF('IN_COST'!$G$38="FX",'ENG_SCEN'!$G$36,IF('IN_COST'!$G$38="PPI",'ENG_SCEN'!$G$35,IF('IN_COST'!$G$38="ENERGY",'ENG_SCEN'!$G$34,IF('IN_COST'!$G$38="WAGE",'ENG_SCEN'!$G$33,IF('IN_COST'!$G$38="CPI",'ENG_SCEN'!$G$32,1))))),IF('IN_COST'!$E$38="PER_M3",'ENG_OPS'!$G$64*'IN_COST'!$F$38*IF('IN_COST'!$G$38="FX",'ENG_SCEN'!$G$36,IF('IN_COST'!$G$38="PPI",'ENG_SCEN'!$G$35,IF('IN_COST'!$G$38="ENERGY",'ENG_SCEN'!$G$34,IF('IN_COST'!$G$38="WAGE",'ENG_SCEN'!$G$33,IF('IN_COST'!$G$38="CPI",'ENG_SCEN'!$G$32,1))))),IF('IN_COST'!$E$38="ANNUAL",'IN_COST'!$F$38*IF('IN_COST'!$G$38="FX",'ENG_SCEN'!$G$36,IF('IN_COST'!$G$38="PPI",'ENG_SCEN'!$G$35,IF('IN_COST'!$G$38="ENERGY",'ENG_SCEN'!$G$34,IF('IN_COST'!$G$38="WAGE",'ENG_SCEN'!$G$33,IF('IN_COST'!$G$38="CPI",'ENG_SCEN'!$G$32,1))))),IF('IN_COST'!$E$38="PCT_REV",'ENG_OPS'!$G$81*'IN_COST'!$F$38,IF('IN_COST'!$E$38="PCT_ASSET",'ENG_CAPEX'!$G$84*'IN_COST'!$F$38,IF('IN_COST'!$E$38="DEP",'ENG_CAPEX'!$G$81,IF('IN_COST'!$E$38="PAY",INDEX('IN_COST'!$D$15:$D$19,IFERROR(VALUE(MID('IN_COST'!$F$38,FIND(":",'IN_COST'!$F$38)+1,2)),1))*INDEX('IN_COST'!$E$15:$E$19,IFERROR(VALUE(MID('IN_COST'!$F$38,FIND(":",'IN_COST'!$F$38)+1,2)),1))*'IN_COST'!$D$10*'IN_COST'!$D$11*'ENG_SCEN'!$G$33,IF('IN_COST'!$E$38="SRV",SUM(INDEX('ENG_ALLOC'!$D$29:$P$58,(IFERROR(VALUE(MID('IN_COST'!$F$38,FIND(":",'IN_COST'!$F$38)+1,2)),1)-1)*6+1,4):INDEX('ENG_ALLOC'!$D$29:$P$58,IFERROR(VALUE(MID('IN_COST'!$F$38,FIND(":",'IN_COST'!$F$38)+1,2)),1)*6,4)),0)))))))))))*IF('IN_COST'!$E$38="DEP",'ENG_SCEN'!$G$16,IF('IN_COST'!$I$38="V",IF('IN_COST'!$E$38="SCRAP_LME",'ENG_SCEN'!$G$13,'ENG_SCEN'!$G$14),'ENG_SCEN'!$G$15))</f>
        <v/>
      </c>
      <c r="H52" s="33">
        <f>'IN_MACRO'!$H$34*IF('IN_COST'!$E$38="SCRAP_LME",'ENG_OPS'!$H$20*'IN_COST'!$F$38*'ENG_SCEN'!$H$37,IF('IN_COST'!$E$38="PER_TON_BATT",'ENG_OPS'!$H$20*'IN_COST'!$F$38*IF('IN_COST'!$G$38="FX",'ENG_SCEN'!$H$36,IF('IN_COST'!$G$38="PPI",'ENG_SCEN'!$H$35,IF('IN_COST'!$G$38="ENERGY",'ENG_SCEN'!$H$34,IF('IN_COST'!$G$38="WAGE",'ENG_SCEN'!$H$33,IF('IN_COST'!$G$38="CPI",'ENG_SCEN'!$H$32,1))))),IF('IN_COST'!$E$38="PER_TON_PROD",'ENG_OPS'!$H$43*'IN_COST'!$F$38*IF('IN_COST'!$G$38="FX",'ENG_SCEN'!$H$36,IF('IN_COST'!$G$38="PPI",'ENG_SCEN'!$H$35,IF('IN_COST'!$G$38="ENERGY",'ENG_SCEN'!$H$34,IF('IN_COST'!$G$38="WAGE",'ENG_SCEN'!$H$33,IF('IN_COST'!$G$38="CPI",'ENG_SCEN'!$H$32,1))))),IF('IN_COST'!$E$38="PER_KWH",'ENG_OPS'!$H$63*'IN_COST'!$F$38*IF('IN_COST'!$G$38="FX",'ENG_SCEN'!$H$36,IF('IN_COST'!$G$38="PPI",'ENG_SCEN'!$H$35,IF('IN_COST'!$G$38="ENERGY",'ENG_SCEN'!$H$34,IF('IN_COST'!$G$38="WAGE",'ENG_SCEN'!$H$33,IF('IN_COST'!$G$38="CPI",'ENG_SCEN'!$H$32,1))))),IF('IN_COST'!$E$38="PER_M3",'ENG_OPS'!$H$64*'IN_COST'!$F$38*IF('IN_COST'!$G$38="FX",'ENG_SCEN'!$H$36,IF('IN_COST'!$G$38="PPI",'ENG_SCEN'!$H$35,IF('IN_COST'!$G$38="ENERGY",'ENG_SCEN'!$H$34,IF('IN_COST'!$G$38="WAGE",'ENG_SCEN'!$H$33,IF('IN_COST'!$G$38="CPI",'ENG_SCEN'!$H$32,1))))),IF('IN_COST'!$E$38="ANNUAL",'IN_COST'!$F$38*IF('IN_COST'!$G$38="FX",'ENG_SCEN'!$H$36,IF('IN_COST'!$G$38="PPI",'ENG_SCEN'!$H$35,IF('IN_COST'!$G$38="ENERGY",'ENG_SCEN'!$H$34,IF('IN_COST'!$G$38="WAGE",'ENG_SCEN'!$H$33,IF('IN_COST'!$G$38="CPI",'ENG_SCEN'!$H$32,1))))),IF('IN_COST'!$E$38="PCT_REV",'ENG_OPS'!$H$81*'IN_COST'!$F$38,IF('IN_COST'!$E$38="PCT_ASSET",'ENG_CAPEX'!$H$84*'IN_COST'!$F$38,IF('IN_COST'!$E$38="DEP",'ENG_CAPEX'!$H$81,IF('IN_COST'!$E$38="PAY",INDEX('IN_COST'!$D$15:$D$19,IFERROR(VALUE(MID('IN_COST'!$F$38,FIND(":",'IN_COST'!$F$38)+1,2)),1))*INDEX('IN_COST'!$E$15:$E$19,IFERROR(VALUE(MID('IN_COST'!$F$38,FIND(":",'IN_COST'!$F$38)+1,2)),1))*'IN_COST'!$D$10*'IN_COST'!$D$11*'ENG_SCEN'!$H$33,IF('IN_COST'!$E$38="SRV",SUM(INDEX('ENG_ALLOC'!$D$29:$P$58,(IFERROR(VALUE(MID('IN_COST'!$F$38,FIND(":",'IN_COST'!$F$38)+1,2)),1)-1)*6+1,5):INDEX('ENG_ALLOC'!$D$29:$P$58,IFERROR(VALUE(MID('IN_COST'!$F$38,FIND(":",'IN_COST'!$F$38)+1,2)),1)*6,5)),0)))))))))))*IF('IN_COST'!$E$38="DEP",'ENG_SCEN'!$G$16,IF('IN_COST'!$I$38="V",IF('IN_COST'!$E$38="SCRAP_LME",'ENG_SCEN'!$G$13,'ENG_SCEN'!$G$14),'ENG_SCEN'!$G$15))</f>
        <v/>
      </c>
      <c r="I52" s="33">
        <f>'IN_MACRO'!$I$34*IF('IN_COST'!$E$38="SCRAP_LME",'ENG_OPS'!$I$20*'IN_COST'!$F$38*'ENG_SCEN'!$I$37,IF('IN_COST'!$E$38="PER_TON_BATT",'ENG_OPS'!$I$20*'IN_COST'!$F$38*IF('IN_COST'!$G$38="FX",'ENG_SCEN'!$I$36,IF('IN_COST'!$G$38="PPI",'ENG_SCEN'!$I$35,IF('IN_COST'!$G$38="ENERGY",'ENG_SCEN'!$I$34,IF('IN_COST'!$G$38="WAGE",'ENG_SCEN'!$I$33,IF('IN_COST'!$G$38="CPI",'ENG_SCEN'!$I$32,1))))),IF('IN_COST'!$E$38="PER_TON_PROD",'ENG_OPS'!$I$43*'IN_COST'!$F$38*IF('IN_COST'!$G$38="FX",'ENG_SCEN'!$I$36,IF('IN_COST'!$G$38="PPI",'ENG_SCEN'!$I$35,IF('IN_COST'!$G$38="ENERGY",'ENG_SCEN'!$I$34,IF('IN_COST'!$G$38="WAGE",'ENG_SCEN'!$I$33,IF('IN_COST'!$G$38="CPI",'ENG_SCEN'!$I$32,1))))),IF('IN_COST'!$E$38="PER_KWH",'ENG_OPS'!$I$63*'IN_COST'!$F$38*IF('IN_COST'!$G$38="FX",'ENG_SCEN'!$I$36,IF('IN_COST'!$G$38="PPI",'ENG_SCEN'!$I$35,IF('IN_COST'!$G$38="ENERGY",'ENG_SCEN'!$I$34,IF('IN_COST'!$G$38="WAGE",'ENG_SCEN'!$I$33,IF('IN_COST'!$G$38="CPI",'ENG_SCEN'!$I$32,1))))),IF('IN_COST'!$E$38="PER_M3",'ENG_OPS'!$I$64*'IN_COST'!$F$38*IF('IN_COST'!$G$38="FX",'ENG_SCEN'!$I$36,IF('IN_COST'!$G$38="PPI",'ENG_SCEN'!$I$35,IF('IN_COST'!$G$38="ENERGY",'ENG_SCEN'!$I$34,IF('IN_COST'!$G$38="WAGE",'ENG_SCEN'!$I$33,IF('IN_COST'!$G$38="CPI",'ENG_SCEN'!$I$32,1))))),IF('IN_COST'!$E$38="ANNUAL",'IN_COST'!$F$38*IF('IN_COST'!$G$38="FX",'ENG_SCEN'!$I$36,IF('IN_COST'!$G$38="PPI",'ENG_SCEN'!$I$35,IF('IN_COST'!$G$38="ENERGY",'ENG_SCEN'!$I$34,IF('IN_COST'!$G$38="WAGE",'ENG_SCEN'!$I$33,IF('IN_COST'!$G$38="CPI",'ENG_SCEN'!$I$32,1))))),IF('IN_COST'!$E$38="PCT_REV",'ENG_OPS'!$I$81*'IN_COST'!$F$38,IF('IN_COST'!$E$38="PCT_ASSET",'ENG_CAPEX'!$I$84*'IN_COST'!$F$38,IF('IN_COST'!$E$38="DEP",'ENG_CAPEX'!$I$81,IF('IN_COST'!$E$38="PAY",INDEX('IN_COST'!$D$15:$D$19,IFERROR(VALUE(MID('IN_COST'!$F$38,FIND(":",'IN_COST'!$F$38)+1,2)),1))*INDEX('IN_COST'!$E$15:$E$19,IFERROR(VALUE(MID('IN_COST'!$F$38,FIND(":",'IN_COST'!$F$38)+1,2)),1))*'IN_COST'!$D$10*'IN_COST'!$D$11*'ENG_SCEN'!$I$33,IF('IN_COST'!$E$38="SRV",SUM(INDEX('ENG_ALLOC'!$D$29:$P$58,(IFERROR(VALUE(MID('IN_COST'!$F$38,FIND(":",'IN_COST'!$F$38)+1,2)),1)-1)*6+1,6):INDEX('ENG_ALLOC'!$D$29:$P$58,IFERROR(VALUE(MID('IN_COST'!$F$38,FIND(":",'IN_COST'!$F$38)+1,2)),1)*6,6)),0)))))))))))*IF('IN_COST'!$E$38="DEP",'ENG_SCEN'!$G$16,IF('IN_COST'!$I$38="V",IF('IN_COST'!$E$38="SCRAP_LME",'ENG_SCEN'!$G$13,'ENG_SCEN'!$G$14),'ENG_SCEN'!$G$15))</f>
        <v/>
      </c>
      <c r="J52" s="33">
        <f>'IN_MACRO'!$J$34*IF('IN_COST'!$E$38="SCRAP_LME",'ENG_OPS'!$J$20*'IN_COST'!$F$38*'ENG_SCEN'!$J$37,IF('IN_COST'!$E$38="PER_TON_BATT",'ENG_OPS'!$J$20*'IN_COST'!$F$38*IF('IN_COST'!$G$38="FX",'ENG_SCEN'!$J$36,IF('IN_COST'!$G$38="PPI",'ENG_SCEN'!$J$35,IF('IN_COST'!$G$38="ENERGY",'ENG_SCEN'!$J$34,IF('IN_COST'!$G$38="WAGE",'ENG_SCEN'!$J$33,IF('IN_COST'!$G$38="CPI",'ENG_SCEN'!$J$32,1))))),IF('IN_COST'!$E$38="PER_TON_PROD",'ENG_OPS'!$J$43*'IN_COST'!$F$38*IF('IN_COST'!$G$38="FX",'ENG_SCEN'!$J$36,IF('IN_COST'!$G$38="PPI",'ENG_SCEN'!$J$35,IF('IN_COST'!$G$38="ENERGY",'ENG_SCEN'!$J$34,IF('IN_COST'!$G$38="WAGE",'ENG_SCEN'!$J$33,IF('IN_COST'!$G$38="CPI",'ENG_SCEN'!$J$32,1))))),IF('IN_COST'!$E$38="PER_KWH",'ENG_OPS'!$J$63*'IN_COST'!$F$38*IF('IN_COST'!$G$38="FX",'ENG_SCEN'!$J$36,IF('IN_COST'!$G$38="PPI",'ENG_SCEN'!$J$35,IF('IN_COST'!$G$38="ENERGY",'ENG_SCEN'!$J$34,IF('IN_COST'!$G$38="WAGE",'ENG_SCEN'!$J$33,IF('IN_COST'!$G$38="CPI",'ENG_SCEN'!$J$32,1))))),IF('IN_COST'!$E$38="PER_M3",'ENG_OPS'!$J$64*'IN_COST'!$F$38*IF('IN_COST'!$G$38="FX",'ENG_SCEN'!$J$36,IF('IN_COST'!$G$38="PPI",'ENG_SCEN'!$J$35,IF('IN_COST'!$G$38="ENERGY",'ENG_SCEN'!$J$34,IF('IN_COST'!$G$38="WAGE",'ENG_SCEN'!$J$33,IF('IN_COST'!$G$38="CPI",'ENG_SCEN'!$J$32,1))))),IF('IN_COST'!$E$38="ANNUAL",'IN_COST'!$F$38*IF('IN_COST'!$G$38="FX",'ENG_SCEN'!$J$36,IF('IN_COST'!$G$38="PPI",'ENG_SCEN'!$J$35,IF('IN_COST'!$G$38="ENERGY",'ENG_SCEN'!$J$34,IF('IN_COST'!$G$38="WAGE",'ENG_SCEN'!$J$33,IF('IN_COST'!$G$38="CPI",'ENG_SCEN'!$J$32,1))))),IF('IN_COST'!$E$38="PCT_REV",'ENG_OPS'!$J$81*'IN_COST'!$F$38,IF('IN_COST'!$E$38="PCT_ASSET",'ENG_CAPEX'!$J$84*'IN_COST'!$F$38,IF('IN_COST'!$E$38="DEP",'ENG_CAPEX'!$J$81,IF('IN_COST'!$E$38="PAY",INDEX('IN_COST'!$D$15:$D$19,IFERROR(VALUE(MID('IN_COST'!$F$38,FIND(":",'IN_COST'!$F$38)+1,2)),1))*INDEX('IN_COST'!$E$15:$E$19,IFERROR(VALUE(MID('IN_COST'!$F$38,FIND(":",'IN_COST'!$F$38)+1,2)),1))*'IN_COST'!$D$10*'IN_COST'!$D$11*'ENG_SCEN'!$J$33,IF('IN_COST'!$E$38="SRV",SUM(INDEX('ENG_ALLOC'!$D$29:$P$58,(IFERROR(VALUE(MID('IN_COST'!$F$38,FIND(":",'IN_COST'!$F$38)+1,2)),1)-1)*6+1,7):INDEX('ENG_ALLOC'!$D$29:$P$58,IFERROR(VALUE(MID('IN_COST'!$F$38,FIND(":",'IN_COST'!$F$38)+1,2)),1)*6,7)),0)))))))))))*IF('IN_COST'!$E$38="DEP",'ENG_SCEN'!$G$16,IF('IN_COST'!$I$38="V",IF('IN_COST'!$E$38="SCRAP_LME",'ENG_SCEN'!$G$13,'ENG_SCEN'!$G$14),'ENG_SCEN'!$G$15))</f>
        <v/>
      </c>
      <c r="K52" s="33">
        <f>'IN_MACRO'!$K$34*IF('IN_COST'!$E$38="SCRAP_LME",'ENG_OPS'!$K$20*'IN_COST'!$F$38*'ENG_SCEN'!$K$37,IF('IN_COST'!$E$38="PER_TON_BATT",'ENG_OPS'!$K$20*'IN_COST'!$F$38*IF('IN_COST'!$G$38="FX",'ENG_SCEN'!$K$36,IF('IN_COST'!$G$38="PPI",'ENG_SCEN'!$K$35,IF('IN_COST'!$G$38="ENERGY",'ENG_SCEN'!$K$34,IF('IN_COST'!$G$38="WAGE",'ENG_SCEN'!$K$33,IF('IN_COST'!$G$38="CPI",'ENG_SCEN'!$K$32,1))))),IF('IN_COST'!$E$38="PER_TON_PROD",'ENG_OPS'!$K$43*'IN_COST'!$F$38*IF('IN_COST'!$G$38="FX",'ENG_SCEN'!$K$36,IF('IN_COST'!$G$38="PPI",'ENG_SCEN'!$K$35,IF('IN_COST'!$G$38="ENERGY",'ENG_SCEN'!$K$34,IF('IN_COST'!$G$38="WAGE",'ENG_SCEN'!$K$33,IF('IN_COST'!$G$38="CPI",'ENG_SCEN'!$K$32,1))))),IF('IN_COST'!$E$38="PER_KWH",'ENG_OPS'!$K$63*'IN_COST'!$F$38*IF('IN_COST'!$G$38="FX",'ENG_SCEN'!$K$36,IF('IN_COST'!$G$38="PPI",'ENG_SCEN'!$K$35,IF('IN_COST'!$G$38="ENERGY",'ENG_SCEN'!$K$34,IF('IN_COST'!$G$38="WAGE",'ENG_SCEN'!$K$33,IF('IN_COST'!$G$38="CPI",'ENG_SCEN'!$K$32,1))))),IF('IN_COST'!$E$38="PER_M3",'ENG_OPS'!$K$64*'IN_COST'!$F$38*IF('IN_COST'!$G$38="FX",'ENG_SCEN'!$K$36,IF('IN_COST'!$G$38="PPI",'ENG_SCEN'!$K$35,IF('IN_COST'!$G$38="ENERGY",'ENG_SCEN'!$K$34,IF('IN_COST'!$G$38="WAGE",'ENG_SCEN'!$K$33,IF('IN_COST'!$G$38="CPI",'ENG_SCEN'!$K$32,1))))),IF('IN_COST'!$E$38="ANNUAL",'IN_COST'!$F$38*IF('IN_COST'!$G$38="FX",'ENG_SCEN'!$K$36,IF('IN_COST'!$G$38="PPI",'ENG_SCEN'!$K$35,IF('IN_COST'!$G$38="ENERGY",'ENG_SCEN'!$K$34,IF('IN_COST'!$G$38="WAGE",'ENG_SCEN'!$K$33,IF('IN_COST'!$G$38="CPI",'ENG_SCEN'!$K$32,1))))),IF('IN_COST'!$E$38="PCT_REV",'ENG_OPS'!$K$81*'IN_COST'!$F$38,IF('IN_COST'!$E$38="PCT_ASSET",'ENG_CAPEX'!$K$84*'IN_COST'!$F$38,IF('IN_COST'!$E$38="DEP",'ENG_CAPEX'!$K$81,IF('IN_COST'!$E$38="PAY",INDEX('IN_COST'!$D$15:$D$19,IFERROR(VALUE(MID('IN_COST'!$F$38,FIND(":",'IN_COST'!$F$38)+1,2)),1))*INDEX('IN_COST'!$E$15:$E$19,IFERROR(VALUE(MID('IN_COST'!$F$38,FIND(":",'IN_COST'!$F$38)+1,2)),1))*'IN_COST'!$D$10*'IN_COST'!$D$11*'ENG_SCEN'!$K$33,IF('IN_COST'!$E$38="SRV",SUM(INDEX('ENG_ALLOC'!$D$29:$P$58,(IFERROR(VALUE(MID('IN_COST'!$F$38,FIND(":",'IN_COST'!$F$38)+1,2)),1)-1)*6+1,8):INDEX('ENG_ALLOC'!$D$29:$P$58,IFERROR(VALUE(MID('IN_COST'!$F$38,FIND(":",'IN_COST'!$F$38)+1,2)),1)*6,8)),0)))))))))))*IF('IN_COST'!$E$38="DEP",'ENG_SCEN'!$G$16,IF('IN_COST'!$I$38="V",IF('IN_COST'!$E$38="SCRAP_LME",'ENG_SCEN'!$G$13,'ENG_SCEN'!$G$14),'ENG_SCEN'!$G$15))</f>
        <v/>
      </c>
      <c r="L52" s="33">
        <f>'IN_MACRO'!$L$34*IF('IN_COST'!$E$38="SCRAP_LME",'ENG_OPS'!$L$20*'IN_COST'!$F$38*'ENG_SCEN'!$L$37,IF('IN_COST'!$E$38="PER_TON_BATT",'ENG_OPS'!$L$20*'IN_COST'!$F$38*IF('IN_COST'!$G$38="FX",'ENG_SCEN'!$L$36,IF('IN_COST'!$G$38="PPI",'ENG_SCEN'!$L$35,IF('IN_COST'!$G$38="ENERGY",'ENG_SCEN'!$L$34,IF('IN_COST'!$G$38="WAGE",'ENG_SCEN'!$L$33,IF('IN_COST'!$G$38="CPI",'ENG_SCEN'!$L$32,1))))),IF('IN_COST'!$E$38="PER_TON_PROD",'ENG_OPS'!$L$43*'IN_COST'!$F$38*IF('IN_COST'!$G$38="FX",'ENG_SCEN'!$L$36,IF('IN_COST'!$G$38="PPI",'ENG_SCEN'!$L$35,IF('IN_COST'!$G$38="ENERGY",'ENG_SCEN'!$L$34,IF('IN_COST'!$G$38="WAGE",'ENG_SCEN'!$L$33,IF('IN_COST'!$G$38="CPI",'ENG_SCEN'!$L$32,1))))),IF('IN_COST'!$E$38="PER_KWH",'ENG_OPS'!$L$63*'IN_COST'!$F$38*IF('IN_COST'!$G$38="FX",'ENG_SCEN'!$L$36,IF('IN_COST'!$G$38="PPI",'ENG_SCEN'!$L$35,IF('IN_COST'!$G$38="ENERGY",'ENG_SCEN'!$L$34,IF('IN_COST'!$G$38="WAGE",'ENG_SCEN'!$L$33,IF('IN_COST'!$G$38="CPI",'ENG_SCEN'!$L$32,1))))),IF('IN_COST'!$E$38="PER_M3",'ENG_OPS'!$L$64*'IN_COST'!$F$38*IF('IN_COST'!$G$38="FX",'ENG_SCEN'!$L$36,IF('IN_COST'!$G$38="PPI",'ENG_SCEN'!$L$35,IF('IN_COST'!$G$38="ENERGY",'ENG_SCEN'!$L$34,IF('IN_COST'!$G$38="WAGE",'ENG_SCEN'!$L$33,IF('IN_COST'!$G$38="CPI",'ENG_SCEN'!$L$32,1))))),IF('IN_COST'!$E$38="ANNUAL",'IN_COST'!$F$38*IF('IN_COST'!$G$38="FX",'ENG_SCEN'!$L$36,IF('IN_COST'!$G$38="PPI",'ENG_SCEN'!$L$35,IF('IN_COST'!$G$38="ENERGY",'ENG_SCEN'!$L$34,IF('IN_COST'!$G$38="WAGE",'ENG_SCEN'!$L$33,IF('IN_COST'!$G$38="CPI",'ENG_SCEN'!$L$32,1))))),IF('IN_COST'!$E$38="PCT_REV",'ENG_OPS'!$L$81*'IN_COST'!$F$38,IF('IN_COST'!$E$38="PCT_ASSET",'ENG_CAPEX'!$L$84*'IN_COST'!$F$38,IF('IN_COST'!$E$38="DEP",'ENG_CAPEX'!$L$81,IF('IN_COST'!$E$38="PAY",INDEX('IN_COST'!$D$15:$D$19,IFERROR(VALUE(MID('IN_COST'!$F$38,FIND(":",'IN_COST'!$F$38)+1,2)),1))*INDEX('IN_COST'!$E$15:$E$19,IFERROR(VALUE(MID('IN_COST'!$F$38,FIND(":",'IN_COST'!$F$38)+1,2)),1))*'IN_COST'!$D$10*'IN_COST'!$D$11*'ENG_SCEN'!$L$33,IF('IN_COST'!$E$38="SRV",SUM(INDEX('ENG_ALLOC'!$D$29:$P$58,(IFERROR(VALUE(MID('IN_COST'!$F$38,FIND(":",'IN_COST'!$F$38)+1,2)),1)-1)*6+1,9):INDEX('ENG_ALLOC'!$D$29:$P$58,IFERROR(VALUE(MID('IN_COST'!$F$38,FIND(":",'IN_COST'!$F$38)+1,2)),1)*6,9)),0)))))))))))*IF('IN_COST'!$E$38="DEP",'ENG_SCEN'!$G$16,IF('IN_COST'!$I$38="V",IF('IN_COST'!$E$38="SCRAP_LME",'ENG_SCEN'!$G$13,'ENG_SCEN'!$G$14),'ENG_SCEN'!$G$15))</f>
        <v/>
      </c>
      <c r="M52" s="33">
        <f>'IN_MACRO'!$M$34*IF('IN_COST'!$E$38="SCRAP_LME",'ENG_OPS'!$M$20*'IN_COST'!$F$38*'ENG_SCEN'!$M$37,IF('IN_COST'!$E$38="PER_TON_BATT",'ENG_OPS'!$M$20*'IN_COST'!$F$38*IF('IN_COST'!$G$38="FX",'ENG_SCEN'!$M$36,IF('IN_COST'!$G$38="PPI",'ENG_SCEN'!$M$35,IF('IN_COST'!$G$38="ENERGY",'ENG_SCEN'!$M$34,IF('IN_COST'!$G$38="WAGE",'ENG_SCEN'!$M$33,IF('IN_COST'!$G$38="CPI",'ENG_SCEN'!$M$32,1))))),IF('IN_COST'!$E$38="PER_TON_PROD",'ENG_OPS'!$M$43*'IN_COST'!$F$38*IF('IN_COST'!$G$38="FX",'ENG_SCEN'!$M$36,IF('IN_COST'!$G$38="PPI",'ENG_SCEN'!$M$35,IF('IN_COST'!$G$38="ENERGY",'ENG_SCEN'!$M$34,IF('IN_COST'!$G$38="WAGE",'ENG_SCEN'!$M$33,IF('IN_COST'!$G$38="CPI",'ENG_SCEN'!$M$32,1))))),IF('IN_COST'!$E$38="PER_KWH",'ENG_OPS'!$M$63*'IN_COST'!$F$38*IF('IN_COST'!$G$38="FX",'ENG_SCEN'!$M$36,IF('IN_COST'!$G$38="PPI",'ENG_SCEN'!$M$35,IF('IN_COST'!$G$38="ENERGY",'ENG_SCEN'!$M$34,IF('IN_COST'!$G$38="WAGE",'ENG_SCEN'!$M$33,IF('IN_COST'!$G$38="CPI",'ENG_SCEN'!$M$32,1))))),IF('IN_COST'!$E$38="PER_M3",'ENG_OPS'!$M$64*'IN_COST'!$F$38*IF('IN_COST'!$G$38="FX",'ENG_SCEN'!$M$36,IF('IN_COST'!$G$38="PPI",'ENG_SCEN'!$M$35,IF('IN_COST'!$G$38="ENERGY",'ENG_SCEN'!$M$34,IF('IN_COST'!$G$38="WAGE",'ENG_SCEN'!$M$33,IF('IN_COST'!$G$38="CPI",'ENG_SCEN'!$M$32,1))))),IF('IN_COST'!$E$38="ANNUAL",'IN_COST'!$F$38*IF('IN_COST'!$G$38="FX",'ENG_SCEN'!$M$36,IF('IN_COST'!$G$38="PPI",'ENG_SCEN'!$M$35,IF('IN_COST'!$G$38="ENERGY",'ENG_SCEN'!$M$34,IF('IN_COST'!$G$38="WAGE",'ENG_SCEN'!$M$33,IF('IN_COST'!$G$38="CPI",'ENG_SCEN'!$M$32,1))))),IF('IN_COST'!$E$38="PCT_REV",'ENG_OPS'!$M$81*'IN_COST'!$F$38,IF('IN_COST'!$E$38="PCT_ASSET",'ENG_CAPEX'!$M$84*'IN_COST'!$F$38,IF('IN_COST'!$E$38="DEP",'ENG_CAPEX'!$M$81,IF('IN_COST'!$E$38="PAY",INDEX('IN_COST'!$D$15:$D$19,IFERROR(VALUE(MID('IN_COST'!$F$38,FIND(":",'IN_COST'!$F$38)+1,2)),1))*INDEX('IN_COST'!$E$15:$E$19,IFERROR(VALUE(MID('IN_COST'!$F$38,FIND(":",'IN_COST'!$F$38)+1,2)),1))*'IN_COST'!$D$10*'IN_COST'!$D$11*'ENG_SCEN'!$M$33,IF('IN_COST'!$E$38="SRV",SUM(INDEX('ENG_ALLOC'!$D$29:$P$58,(IFERROR(VALUE(MID('IN_COST'!$F$38,FIND(":",'IN_COST'!$F$38)+1,2)),1)-1)*6+1,10):INDEX('ENG_ALLOC'!$D$29:$P$58,IFERROR(VALUE(MID('IN_COST'!$F$38,FIND(":",'IN_COST'!$F$38)+1,2)),1)*6,10)),0)))))))))))*IF('IN_COST'!$E$38="DEP",'ENG_SCEN'!$G$16,IF('IN_COST'!$I$38="V",IF('IN_COST'!$E$38="SCRAP_LME",'ENG_SCEN'!$G$13,'ENG_SCEN'!$G$14),'ENG_SCEN'!$G$15))</f>
        <v/>
      </c>
      <c r="N52" s="33">
        <f>'IN_MACRO'!$N$34*IF('IN_COST'!$E$38="SCRAP_LME",'ENG_OPS'!$N$20*'IN_COST'!$F$38*'ENG_SCEN'!$N$37,IF('IN_COST'!$E$38="PER_TON_BATT",'ENG_OPS'!$N$20*'IN_COST'!$F$38*IF('IN_COST'!$G$38="FX",'ENG_SCEN'!$N$36,IF('IN_COST'!$G$38="PPI",'ENG_SCEN'!$N$35,IF('IN_COST'!$G$38="ENERGY",'ENG_SCEN'!$N$34,IF('IN_COST'!$G$38="WAGE",'ENG_SCEN'!$N$33,IF('IN_COST'!$G$38="CPI",'ENG_SCEN'!$N$32,1))))),IF('IN_COST'!$E$38="PER_TON_PROD",'ENG_OPS'!$N$43*'IN_COST'!$F$38*IF('IN_COST'!$G$38="FX",'ENG_SCEN'!$N$36,IF('IN_COST'!$G$38="PPI",'ENG_SCEN'!$N$35,IF('IN_COST'!$G$38="ENERGY",'ENG_SCEN'!$N$34,IF('IN_COST'!$G$38="WAGE",'ENG_SCEN'!$N$33,IF('IN_COST'!$G$38="CPI",'ENG_SCEN'!$N$32,1))))),IF('IN_COST'!$E$38="PER_KWH",'ENG_OPS'!$N$63*'IN_COST'!$F$38*IF('IN_COST'!$G$38="FX",'ENG_SCEN'!$N$36,IF('IN_COST'!$G$38="PPI",'ENG_SCEN'!$N$35,IF('IN_COST'!$G$38="ENERGY",'ENG_SCEN'!$N$34,IF('IN_COST'!$G$38="WAGE",'ENG_SCEN'!$N$33,IF('IN_COST'!$G$38="CPI",'ENG_SCEN'!$N$32,1))))),IF('IN_COST'!$E$38="PER_M3",'ENG_OPS'!$N$64*'IN_COST'!$F$38*IF('IN_COST'!$G$38="FX",'ENG_SCEN'!$N$36,IF('IN_COST'!$G$38="PPI",'ENG_SCEN'!$N$35,IF('IN_COST'!$G$38="ENERGY",'ENG_SCEN'!$N$34,IF('IN_COST'!$G$38="WAGE",'ENG_SCEN'!$N$33,IF('IN_COST'!$G$38="CPI",'ENG_SCEN'!$N$32,1))))),IF('IN_COST'!$E$38="ANNUAL",'IN_COST'!$F$38*IF('IN_COST'!$G$38="FX",'ENG_SCEN'!$N$36,IF('IN_COST'!$G$38="PPI",'ENG_SCEN'!$N$35,IF('IN_COST'!$G$38="ENERGY",'ENG_SCEN'!$N$34,IF('IN_COST'!$G$38="WAGE",'ENG_SCEN'!$N$33,IF('IN_COST'!$G$38="CPI",'ENG_SCEN'!$N$32,1))))),IF('IN_COST'!$E$38="PCT_REV",'ENG_OPS'!$N$81*'IN_COST'!$F$38,IF('IN_COST'!$E$38="PCT_ASSET",'ENG_CAPEX'!$N$84*'IN_COST'!$F$38,IF('IN_COST'!$E$38="DEP",'ENG_CAPEX'!$N$81,IF('IN_COST'!$E$38="PAY",INDEX('IN_COST'!$D$15:$D$19,IFERROR(VALUE(MID('IN_COST'!$F$38,FIND(":",'IN_COST'!$F$38)+1,2)),1))*INDEX('IN_COST'!$E$15:$E$19,IFERROR(VALUE(MID('IN_COST'!$F$38,FIND(":",'IN_COST'!$F$38)+1,2)),1))*'IN_COST'!$D$10*'IN_COST'!$D$11*'ENG_SCEN'!$N$33,IF('IN_COST'!$E$38="SRV",SUM(INDEX('ENG_ALLOC'!$D$29:$P$58,(IFERROR(VALUE(MID('IN_COST'!$F$38,FIND(":",'IN_COST'!$F$38)+1,2)),1)-1)*6+1,11):INDEX('ENG_ALLOC'!$D$29:$P$58,IFERROR(VALUE(MID('IN_COST'!$F$38,FIND(":",'IN_COST'!$F$38)+1,2)),1)*6,11)),0)))))))))))*IF('IN_COST'!$E$38="DEP",'ENG_SCEN'!$G$16,IF('IN_COST'!$I$38="V",IF('IN_COST'!$E$38="SCRAP_LME",'ENG_SCEN'!$G$13,'ENG_SCEN'!$G$14),'ENG_SCEN'!$G$15))</f>
        <v/>
      </c>
      <c r="O52" s="33">
        <f>'IN_MACRO'!$O$34*IF('IN_COST'!$E$38="SCRAP_LME",'ENG_OPS'!$O$20*'IN_COST'!$F$38*'ENG_SCEN'!$O$37,IF('IN_COST'!$E$38="PER_TON_BATT",'ENG_OPS'!$O$20*'IN_COST'!$F$38*IF('IN_COST'!$G$38="FX",'ENG_SCEN'!$O$36,IF('IN_COST'!$G$38="PPI",'ENG_SCEN'!$O$35,IF('IN_COST'!$G$38="ENERGY",'ENG_SCEN'!$O$34,IF('IN_COST'!$G$38="WAGE",'ENG_SCEN'!$O$33,IF('IN_COST'!$G$38="CPI",'ENG_SCEN'!$O$32,1))))),IF('IN_COST'!$E$38="PER_TON_PROD",'ENG_OPS'!$O$43*'IN_COST'!$F$38*IF('IN_COST'!$G$38="FX",'ENG_SCEN'!$O$36,IF('IN_COST'!$G$38="PPI",'ENG_SCEN'!$O$35,IF('IN_COST'!$G$38="ENERGY",'ENG_SCEN'!$O$34,IF('IN_COST'!$G$38="WAGE",'ENG_SCEN'!$O$33,IF('IN_COST'!$G$38="CPI",'ENG_SCEN'!$O$32,1))))),IF('IN_COST'!$E$38="PER_KWH",'ENG_OPS'!$O$63*'IN_COST'!$F$38*IF('IN_COST'!$G$38="FX",'ENG_SCEN'!$O$36,IF('IN_COST'!$G$38="PPI",'ENG_SCEN'!$O$35,IF('IN_COST'!$G$38="ENERGY",'ENG_SCEN'!$O$34,IF('IN_COST'!$G$38="WAGE",'ENG_SCEN'!$O$33,IF('IN_COST'!$G$38="CPI",'ENG_SCEN'!$O$32,1))))),IF('IN_COST'!$E$38="PER_M3",'ENG_OPS'!$O$64*'IN_COST'!$F$38*IF('IN_COST'!$G$38="FX",'ENG_SCEN'!$O$36,IF('IN_COST'!$G$38="PPI",'ENG_SCEN'!$O$35,IF('IN_COST'!$G$38="ENERGY",'ENG_SCEN'!$O$34,IF('IN_COST'!$G$38="WAGE",'ENG_SCEN'!$O$33,IF('IN_COST'!$G$38="CPI",'ENG_SCEN'!$O$32,1))))),IF('IN_COST'!$E$38="ANNUAL",'IN_COST'!$F$38*IF('IN_COST'!$G$38="FX",'ENG_SCEN'!$O$36,IF('IN_COST'!$G$38="PPI",'ENG_SCEN'!$O$35,IF('IN_COST'!$G$38="ENERGY",'ENG_SCEN'!$O$34,IF('IN_COST'!$G$38="WAGE",'ENG_SCEN'!$O$33,IF('IN_COST'!$G$38="CPI",'ENG_SCEN'!$O$32,1))))),IF('IN_COST'!$E$38="PCT_REV",'ENG_OPS'!$O$81*'IN_COST'!$F$38,IF('IN_COST'!$E$38="PCT_ASSET",'ENG_CAPEX'!$O$84*'IN_COST'!$F$38,IF('IN_COST'!$E$38="DEP",'ENG_CAPEX'!$O$81,IF('IN_COST'!$E$38="PAY",INDEX('IN_COST'!$D$15:$D$19,IFERROR(VALUE(MID('IN_COST'!$F$38,FIND(":",'IN_COST'!$F$38)+1,2)),1))*INDEX('IN_COST'!$E$15:$E$19,IFERROR(VALUE(MID('IN_COST'!$F$38,FIND(":",'IN_COST'!$F$38)+1,2)),1))*'IN_COST'!$D$10*'IN_COST'!$D$11*'ENG_SCEN'!$O$33,IF('IN_COST'!$E$38="SRV",SUM(INDEX('ENG_ALLOC'!$D$29:$P$58,(IFERROR(VALUE(MID('IN_COST'!$F$38,FIND(":",'IN_COST'!$F$38)+1,2)),1)-1)*6+1,12):INDEX('ENG_ALLOC'!$D$29:$P$58,IFERROR(VALUE(MID('IN_COST'!$F$38,FIND(":",'IN_COST'!$F$38)+1,2)),1)*6,12)),0)))))))))))*IF('IN_COST'!$E$38="DEP",'ENG_SCEN'!$G$16,IF('IN_COST'!$I$38="V",IF('IN_COST'!$E$38="SCRAP_LME",'ENG_SCEN'!$G$13,'ENG_SCEN'!$G$14),'ENG_SCEN'!$G$15))</f>
        <v/>
      </c>
      <c r="P52" s="33">
        <f>'IN_MACRO'!$P$34*IF('IN_COST'!$E$38="SCRAP_LME",'ENG_OPS'!$P$20*'IN_COST'!$F$38*'ENG_SCEN'!$P$37,IF('IN_COST'!$E$38="PER_TON_BATT",'ENG_OPS'!$P$20*'IN_COST'!$F$38*IF('IN_COST'!$G$38="FX",'ENG_SCEN'!$P$36,IF('IN_COST'!$G$38="PPI",'ENG_SCEN'!$P$35,IF('IN_COST'!$G$38="ENERGY",'ENG_SCEN'!$P$34,IF('IN_COST'!$G$38="WAGE",'ENG_SCEN'!$P$33,IF('IN_COST'!$G$38="CPI",'ENG_SCEN'!$P$32,1))))),IF('IN_COST'!$E$38="PER_TON_PROD",'ENG_OPS'!$P$43*'IN_COST'!$F$38*IF('IN_COST'!$G$38="FX",'ENG_SCEN'!$P$36,IF('IN_COST'!$G$38="PPI",'ENG_SCEN'!$P$35,IF('IN_COST'!$G$38="ENERGY",'ENG_SCEN'!$P$34,IF('IN_COST'!$G$38="WAGE",'ENG_SCEN'!$P$33,IF('IN_COST'!$G$38="CPI",'ENG_SCEN'!$P$32,1))))),IF('IN_COST'!$E$38="PER_KWH",'ENG_OPS'!$P$63*'IN_COST'!$F$38*IF('IN_COST'!$G$38="FX",'ENG_SCEN'!$P$36,IF('IN_COST'!$G$38="PPI",'ENG_SCEN'!$P$35,IF('IN_COST'!$G$38="ENERGY",'ENG_SCEN'!$P$34,IF('IN_COST'!$G$38="WAGE",'ENG_SCEN'!$P$33,IF('IN_COST'!$G$38="CPI",'ENG_SCEN'!$P$32,1))))),IF('IN_COST'!$E$38="PER_M3",'ENG_OPS'!$P$64*'IN_COST'!$F$38*IF('IN_COST'!$G$38="FX",'ENG_SCEN'!$P$36,IF('IN_COST'!$G$38="PPI",'ENG_SCEN'!$P$35,IF('IN_COST'!$G$38="ENERGY",'ENG_SCEN'!$P$34,IF('IN_COST'!$G$38="WAGE",'ENG_SCEN'!$P$33,IF('IN_COST'!$G$38="CPI",'ENG_SCEN'!$P$32,1))))),IF('IN_COST'!$E$38="ANNUAL",'IN_COST'!$F$38*IF('IN_COST'!$G$38="FX",'ENG_SCEN'!$P$36,IF('IN_COST'!$G$38="PPI",'ENG_SCEN'!$P$35,IF('IN_COST'!$G$38="ENERGY",'ENG_SCEN'!$P$34,IF('IN_COST'!$G$38="WAGE",'ENG_SCEN'!$P$33,IF('IN_COST'!$G$38="CPI",'ENG_SCEN'!$P$32,1))))),IF('IN_COST'!$E$38="PCT_REV",'ENG_OPS'!$P$81*'IN_COST'!$F$38,IF('IN_COST'!$E$38="PCT_ASSET",'ENG_CAPEX'!$P$84*'IN_COST'!$F$38,IF('IN_COST'!$E$38="DEP",'ENG_CAPEX'!$P$81,IF('IN_COST'!$E$38="PAY",INDEX('IN_COST'!$D$15:$D$19,IFERROR(VALUE(MID('IN_COST'!$F$38,FIND(":",'IN_COST'!$F$38)+1,2)),1))*INDEX('IN_COST'!$E$15:$E$19,IFERROR(VALUE(MID('IN_COST'!$F$38,FIND(":",'IN_COST'!$F$38)+1,2)),1))*'IN_COST'!$D$10*'IN_COST'!$D$11*'ENG_SCEN'!$P$33,IF('IN_COST'!$E$38="SRV",SUM(INDEX('ENG_ALLOC'!$D$29:$P$58,(IFERROR(VALUE(MID('IN_COST'!$F$38,FIND(":",'IN_COST'!$F$38)+1,2)),1)-1)*6+1,13):INDEX('ENG_ALLOC'!$D$29:$P$58,IFERROR(VALUE(MID('IN_COST'!$F$38,FIND(":",'IN_COST'!$F$38)+1,2)),1)*6,13)),0)))))))))))*IF('IN_COST'!$E$38="DEP",'ENG_SCEN'!$G$16,IF('IN_COST'!$I$38="V",IF('IN_COST'!$E$38="SCRAP_LME",'ENG_SCEN'!$G$13,'ENG_SCEN'!$G$14),'ENG_SCEN'!$G$15))</f>
        <v/>
      </c>
    </row>
    <row r="53">
      <c r="A53" s="15" t="inlineStr">
        <is>
          <t>OPC-01 | سوخت و مواد احیاکننده</t>
        </is>
      </c>
      <c r="B53" s="16" t="inlineStr">
        <is>
          <t>EC.tot.6</t>
        </is>
      </c>
      <c r="C53" s="17" t="inlineStr">
        <is>
          <t>میلیون ریال</t>
        </is>
      </c>
      <c r="D53" s="33">
        <f>'IN_MACRO'!$D$34*IF('IN_COST'!$E$39="SCRAP_LME",'ENG_OPS'!$D$20*'IN_COST'!$F$39*'ENG_SCEN'!$D$37,IF('IN_COST'!$E$39="PER_TON_BATT",'ENG_OPS'!$D$20*'IN_COST'!$F$39*IF('IN_COST'!$G$39="FX",'ENG_SCEN'!$D$36,IF('IN_COST'!$G$39="PPI",'ENG_SCEN'!$D$35,IF('IN_COST'!$G$39="ENERGY",'ENG_SCEN'!$D$34,IF('IN_COST'!$G$39="WAGE",'ENG_SCEN'!$D$33,IF('IN_COST'!$G$39="CPI",'ENG_SCEN'!$D$32,1))))),IF('IN_COST'!$E$39="PER_TON_PROD",'ENG_OPS'!$D$43*'IN_COST'!$F$39*IF('IN_COST'!$G$39="FX",'ENG_SCEN'!$D$36,IF('IN_COST'!$G$39="PPI",'ENG_SCEN'!$D$35,IF('IN_COST'!$G$39="ENERGY",'ENG_SCEN'!$D$34,IF('IN_COST'!$G$39="WAGE",'ENG_SCEN'!$D$33,IF('IN_COST'!$G$39="CPI",'ENG_SCEN'!$D$32,1))))),IF('IN_COST'!$E$39="PER_KWH",'ENG_OPS'!$D$63*'IN_COST'!$F$39*IF('IN_COST'!$G$39="FX",'ENG_SCEN'!$D$36,IF('IN_COST'!$G$39="PPI",'ENG_SCEN'!$D$35,IF('IN_COST'!$G$39="ENERGY",'ENG_SCEN'!$D$34,IF('IN_COST'!$G$39="WAGE",'ENG_SCEN'!$D$33,IF('IN_COST'!$G$39="CPI",'ENG_SCEN'!$D$32,1))))),IF('IN_COST'!$E$39="PER_M3",'ENG_OPS'!$D$64*'IN_COST'!$F$39*IF('IN_COST'!$G$39="FX",'ENG_SCEN'!$D$36,IF('IN_COST'!$G$39="PPI",'ENG_SCEN'!$D$35,IF('IN_COST'!$G$39="ENERGY",'ENG_SCEN'!$D$34,IF('IN_COST'!$G$39="WAGE",'ENG_SCEN'!$D$33,IF('IN_COST'!$G$39="CPI",'ENG_SCEN'!$D$32,1))))),IF('IN_COST'!$E$39="ANNUAL",'IN_COST'!$F$39*IF('IN_COST'!$G$39="FX",'ENG_SCEN'!$D$36,IF('IN_COST'!$G$39="PPI",'ENG_SCEN'!$D$35,IF('IN_COST'!$G$39="ENERGY",'ENG_SCEN'!$D$34,IF('IN_COST'!$G$39="WAGE",'ENG_SCEN'!$D$33,IF('IN_COST'!$G$39="CPI",'ENG_SCEN'!$D$32,1))))),IF('IN_COST'!$E$39="PCT_REV",'ENG_OPS'!$D$81*'IN_COST'!$F$39,IF('IN_COST'!$E$39="PCT_ASSET",'ENG_CAPEX'!$D$84*'IN_COST'!$F$39,IF('IN_COST'!$E$39="DEP",'ENG_CAPEX'!$D$81,IF('IN_COST'!$E$39="PAY",INDEX('IN_COST'!$D$15:$D$19,IFERROR(VALUE(MID('IN_COST'!$F$39,FIND(":",'IN_COST'!$F$39)+1,2)),1))*INDEX('IN_COST'!$E$15:$E$19,IFERROR(VALUE(MID('IN_COST'!$F$39,FIND(":",'IN_COST'!$F$39)+1,2)),1))*'IN_COST'!$D$10*'IN_COST'!$D$11*'ENG_SCEN'!$D$33,IF('IN_COST'!$E$39="SRV",SUM(INDEX('ENG_ALLOC'!$D$29:$P$58,(IFERROR(VALUE(MID('IN_COST'!$F$39,FIND(":",'IN_COST'!$F$39)+1,2)),1)-1)*6+1,1):INDEX('ENG_ALLOC'!$D$29:$P$58,IFERROR(VALUE(MID('IN_COST'!$F$39,FIND(":",'IN_COST'!$F$39)+1,2)),1)*6,1)),0)))))))))))*IF('IN_COST'!$E$39="DEP",'ENG_SCEN'!$G$16,IF('IN_COST'!$I$39="V",IF('IN_COST'!$E$39="SCRAP_LME",'ENG_SCEN'!$G$13,'ENG_SCEN'!$G$14),'ENG_SCEN'!$G$15))</f>
        <v/>
      </c>
      <c r="E53" s="33">
        <f>'IN_MACRO'!$E$34*IF('IN_COST'!$E$39="SCRAP_LME",'ENG_OPS'!$E$20*'IN_COST'!$F$39*'ENG_SCEN'!$E$37,IF('IN_COST'!$E$39="PER_TON_BATT",'ENG_OPS'!$E$20*'IN_COST'!$F$39*IF('IN_COST'!$G$39="FX",'ENG_SCEN'!$E$36,IF('IN_COST'!$G$39="PPI",'ENG_SCEN'!$E$35,IF('IN_COST'!$G$39="ENERGY",'ENG_SCEN'!$E$34,IF('IN_COST'!$G$39="WAGE",'ENG_SCEN'!$E$33,IF('IN_COST'!$G$39="CPI",'ENG_SCEN'!$E$32,1))))),IF('IN_COST'!$E$39="PER_TON_PROD",'ENG_OPS'!$E$43*'IN_COST'!$F$39*IF('IN_COST'!$G$39="FX",'ENG_SCEN'!$E$36,IF('IN_COST'!$G$39="PPI",'ENG_SCEN'!$E$35,IF('IN_COST'!$G$39="ENERGY",'ENG_SCEN'!$E$34,IF('IN_COST'!$G$39="WAGE",'ENG_SCEN'!$E$33,IF('IN_COST'!$G$39="CPI",'ENG_SCEN'!$E$32,1))))),IF('IN_COST'!$E$39="PER_KWH",'ENG_OPS'!$E$63*'IN_COST'!$F$39*IF('IN_COST'!$G$39="FX",'ENG_SCEN'!$E$36,IF('IN_COST'!$G$39="PPI",'ENG_SCEN'!$E$35,IF('IN_COST'!$G$39="ENERGY",'ENG_SCEN'!$E$34,IF('IN_COST'!$G$39="WAGE",'ENG_SCEN'!$E$33,IF('IN_COST'!$G$39="CPI",'ENG_SCEN'!$E$32,1))))),IF('IN_COST'!$E$39="PER_M3",'ENG_OPS'!$E$64*'IN_COST'!$F$39*IF('IN_COST'!$G$39="FX",'ENG_SCEN'!$E$36,IF('IN_COST'!$G$39="PPI",'ENG_SCEN'!$E$35,IF('IN_COST'!$G$39="ENERGY",'ENG_SCEN'!$E$34,IF('IN_COST'!$G$39="WAGE",'ENG_SCEN'!$E$33,IF('IN_COST'!$G$39="CPI",'ENG_SCEN'!$E$32,1))))),IF('IN_COST'!$E$39="ANNUAL",'IN_COST'!$F$39*IF('IN_COST'!$G$39="FX",'ENG_SCEN'!$E$36,IF('IN_COST'!$G$39="PPI",'ENG_SCEN'!$E$35,IF('IN_COST'!$G$39="ENERGY",'ENG_SCEN'!$E$34,IF('IN_COST'!$G$39="WAGE",'ENG_SCEN'!$E$33,IF('IN_COST'!$G$39="CPI",'ENG_SCEN'!$E$32,1))))),IF('IN_COST'!$E$39="PCT_REV",'ENG_OPS'!$E$81*'IN_COST'!$F$39,IF('IN_COST'!$E$39="PCT_ASSET",'ENG_CAPEX'!$E$84*'IN_COST'!$F$39,IF('IN_COST'!$E$39="DEP",'ENG_CAPEX'!$E$81,IF('IN_COST'!$E$39="PAY",INDEX('IN_COST'!$D$15:$D$19,IFERROR(VALUE(MID('IN_COST'!$F$39,FIND(":",'IN_COST'!$F$39)+1,2)),1))*INDEX('IN_COST'!$E$15:$E$19,IFERROR(VALUE(MID('IN_COST'!$F$39,FIND(":",'IN_COST'!$F$39)+1,2)),1))*'IN_COST'!$D$10*'IN_COST'!$D$11*'ENG_SCEN'!$E$33,IF('IN_COST'!$E$39="SRV",SUM(INDEX('ENG_ALLOC'!$D$29:$P$58,(IFERROR(VALUE(MID('IN_COST'!$F$39,FIND(":",'IN_COST'!$F$39)+1,2)),1)-1)*6+1,2):INDEX('ENG_ALLOC'!$D$29:$P$58,IFERROR(VALUE(MID('IN_COST'!$F$39,FIND(":",'IN_COST'!$F$39)+1,2)),1)*6,2)),0)))))))))))*IF('IN_COST'!$E$39="DEP",'ENG_SCEN'!$G$16,IF('IN_COST'!$I$39="V",IF('IN_COST'!$E$39="SCRAP_LME",'ENG_SCEN'!$G$13,'ENG_SCEN'!$G$14),'ENG_SCEN'!$G$15))</f>
        <v/>
      </c>
      <c r="F53" s="33">
        <f>'IN_MACRO'!$F$34*IF('IN_COST'!$E$39="SCRAP_LME",'ENG_OPS'!$F$20*'IN_COST'!$F$39*'ENG_SCEN'!$F$37,IF('IN_COST'!$E$39="PER_TON_BATT",'ENG_OPS'!$F$20*'IN_COST'!$F$39*IF('IN_COST'!$G$39="FX",'ENG_SCEN'!$F$36,IF('IN_COST'!$G$39="PPI",'ENG_SCEN'!$F$35,IF('IN_COST'!$G$39="ENERGY",'ENG_SCEN'!$F$34,IF('IN_COST'!$G$39="WAGE",'ENG_SCEN'!$F$33,IF('IN_COST'!$G$39="CPI",'ENG_SCEN'!$F$32,1))))),IF('IN_COST'!$E$39="PER_TON_PROD",'ENG_OPS'!$F$43*'IN_COST'!$F$39*IF('IN_COST'!$G$39="FX",'ENG_SCEN'!$F$36,IF('IN_COST'!$G$39="PPI",'ENG_SCEN'!$F$35,IF('IN_COST'!$G$39="ENERGY",'ENG_SCEN'!$F$34,IF('IN_COST'!$G$39="WAGE",'ENG_SCEN'!$F$33,IF('IN_COST'!$G$39="CPI",'ENG_SCEN'!$F$32,1))))),IF('IN_COST'!$E$39="PER_KWH",'ENG_OPS'!$F$63*'IN_COST'!$F$39*IF('IN_COST'!$G$39="FX",'ENG_SCEN'!$F$36,IF('IN_COST'!$G$39="PPI",'ENG_SCEN'!$F$35,IF('IN_COST'!$G$39="ENERGY",'ENG_SCEN'!$F$34,IF('IN_COST'!$G$39="WAGE",'ENG_SCEN'!$F$33,IF('IN_COST'!$G$39="CPI",'ENG_SCEN'!$F$32,1))))),IF('IN_COST'!$E$39="PER_M3",'ENG_OPS'!$F$64*'IN_COST'!$F$39*IF('IN_COST'!$G$39="FX",'ENG_SCEN'!$F$36,IF('IN_COST'!$G$39="PPI",'ENG_SCEN'!$F$35,IF('IN_COST'!$G$39="ENERGY",'ENG_SCEN'!$F$34,IF('IN_COST'!$G$39="WAGE",'ENG_SCEN'!$F$33,IF('IN_COST'!$G$39="CPI",'ENG_SCEN'!$F$32,1))))),IF('IN_COST'!$E$39="ANNUAL",'IN_COST'!$F$39*IF('IN_COST'!$G$39="FX",'ENG_SCEN'!$F$36,IF('IN_COST'!$G$39="PPI",'ENG_SCEN'!$F$35,IF('IN_COST'!$G$39="ENERGY",'ENG_SCEN'!$F$34,IF('IN_COST'!$G$39="WAGE",'ENG_SCEN'!$F$33,IF('IN_COST'!$G$39="CPI",'ENG_SCEN'!$F$32,1))))),IF('IN_COST'!$E$39="PCT_REV",'ENG_OPS'!$F$81*'IN_COST'!$F$39,IF('IN_COST'!$E$39="PCT_ASSET",'ENG_CAPEX'!$F$84*'IN_COST'!$F$39,IF('IN_COST'!$E$39="DEP",'ENG_CAPEX'!$F$81,IF('IN_COST'!$E$39="PAY",INDEX('IN_COST'!$D$15:$D$19,IFERROR(VALUE(MID('IN_COST'!$F$39,FIND(":",'IN_COST'!$F$39)+1,2)),1))*INDEX('IN_COST'!$E$15:$E$19,IFERROR(VALUE(MID('IN_COST'!$F$39,FIND(":",'IN_COST'!$F$39)+1,2)),1))*'IN_COST'!$D$10*'IN_COST'!$D$11*'ENG_SCEN'!$F$33,IF('IN_COST'!$E$39="SRV",SUM(INDEX('ENG_ALLOC'!$D$29:$P$58,(IFERROR(VALUE(MID('IN_COST'!$F$39,FIND(":",'IN_COST'!$F$39)+1,2)),1)-1)*6+1,3):INDEX('ENG_ALLOC'!$D$29:$P$58,IFERROR(VALUE(MID('IN_COST'!$F$39,FIND(":",'IN_COST'!$F$39)+1,2)),1)*6,3)),0)))))))))))*IF('IN_COST'!$E$39="DEP",'ENG_SCEN'!$G$16,IF('IN_COST'!$I$39="V",IF('IN_COST'!$E$39="SCRAP_LME",'ENG_SCEN'!$G$13,'ENG_SCEN'!$G$14),'ENG_SCEN'!$G$15))</f>
        <v/>
      </c>
      <c r="G53" s="33">
        <f>'IN_MACRO'!$G$34*IF('IN_COST'!$E$39="SCRAP_LME",'ENG_OPS'!$G$20*'IN_COST'!$F$39*'ENG_SCEN'!$G$37,IF('IN_COST'!$E$39="PER_TON_BATT",'ENG_OPS'!$G$20*'IN_COST'!$F$39*IF('IN_COST'!$G$39="FX",'ENG_SCEN'!$G$36,IF('IN_COST'!$G$39="PPI",'ENG_SCEN'!$G$35,IF('IN_COST'!$G$39="ENERGY",'ENG_SCEN'!$G$34,IF('IN_COST'!$G$39="WAGE",'ENG_SCEN'!$G$33,IF('IN_COST'!$G$39="CPI",'ENG_SCEN'!$G$32,1))))),IF('IN_COST'!$E$39="PER_TON_PROD",'ENG_OPS'!$G$43*'IN_COST'!$F$39*IF('IN_COST'!$G$39="FX",'ENG_SCEN'!$G$36,IF('IN_COST'!$G$39="PPI",'ENG_SCEN'!$G$35,IF('IN_COST'!$G$39="ENERGY",'ENG_SCEN'!$G$34,IF('IN_COST'!$G$39="WAGE",'ENG_SCEN'!$G$33,IF('IN_COST'!$G$39="CPI",'ENG_SCEN'!$G$32,1))))),IF('IN_COST'!$E$39="PER_KWH",'ENG_OPS'!$G$63*'IN_COST'!$F$39*IF('IN_COST'!$G$39="FX",'ENG_SCEN'!$G$36,IF('IN_COST'!$G$39="PPI",'ENG_SCEN'!$G$35,IF('IN_COST'!$G$39="ENERGY",'ENG_SCEN'!$G$34,IF('IN_COST'!$G$39="WAGE",'ENG_SCEN'!$G$33,IF('IN_COST'!$G$39="CPI",'ENG_SCEN'!$G$32,1))))),IF('IN_COST'!$E$39="PER_M3",'ENG_OPS'!$G$64*'IN_COST'!$F$39*IF('IN_COST'!$G$39="FX",'ENG_SCEN'!$G$36,IF('IN_COST'!$G$39="PPI",'ENG_SCEN'!$G$35,IF('IN_COST'!$G$39="ENERGY",'ENG_SCEN'!$G$34,IF('IN_COST'!$G$39="WAGE",'ENG_SCEN'!$G$33,IF('IN_COST'!$G$39="CPI",'ENG_SCEN'!$G$32,1))))),IF('IN_COST'!$E$39="ANNUAL",'IN_COST'!$F$39*IF('IN_COST'!$G$39="FX",'ENG_SCEN'!$G$36,IF('IN_COST'!$G$39="PPI",'ENG_SCEN'!$G$35,IF('IN_COST'!$G$39="ENERGY",'ENG_SCEN'!$G$34,IF('IN_COST'!$G$39="WAGE",'ENG_SCEN'!$G$33,IF('IN_COST'!$G$39="CPI",'ENG_SCEN'!$G$32,1))))),IF('IN_COST'!$E$39="PCT_REV",'ENG_OPS'!$G$81*'IN_COST'!$F$39,IF('IN_COST'!$E$39="PCT_ASSET",'ENG_CAPEX'!$G$84*'IN_COST'!$F$39,IF('IN_COST'!$E$39="DEP",'ENG_CAPEX'!$G$81,IF('IN_COST'!$E$39="PAY",INDEX('IN_COST'!$D$15:$D$19,IFERROR(VALUE(MID('IN_COST'!$F$39,FIND(":",'IN_COST'!$F$39)+1,2)),1))*INDEX('IN_COST'!$E$15:$E$19,IFERROR(VALUE(MID('IN_COST'!$F$39,FIND(":",'IN_COST'!$F$39)+1,2)),1))*'IN_COST'!$D$10*'IN_COST'!$D$11*'ENG_SCEN'!$G$33,IF('IN_COST'!$E$39="SRV",SUM(INDEX('ENG_ALLOC'!$D$29:$P$58,(IFERROR(VALUE(MID('IN_COST'!$F$39,FIND(":",'IN_COST'!$F$39)+1,2)),1)-1)*6+1,4):INDEX('ENG_ALLOC'!$D$29:$P$58,IFERROR(VALUE(MID('IN_COST'!$F$39,FIND(":",'IN_COST'!$F$39)+1,2)),1)*6,4)),0)))))))))))*IF('IN_COST'!$E$39="DEP",'ENG_SCEN'!$G$16,IF('IN_COST'!$I$39="V",IF('IN_COST'!$E$39="SCRAP_LME",'ENG_SCEN'!$G$13,'ENG_SCEN'!$G$14),'ENG_SCEN'!$G$15))</f>
        <v/>
      </c>
      <c r="H53" s="33">
        <f>'IN_MACRO'!$H$34*IF('IN_COST'!$E$39="SCRAP_LME",'ENG_OPS'!$H$20*'IN_COST'!$F$39*'ENG_SCEN'!$H$37,IF('IN_COST'!$E$39="PER_TON_BATT",'ENG_OPS'!$H$20*'IN_COST'!$F$39*IF('IN_COST'!$G$39="FX",'ENG_SCEN'!$H$36,IF('IN_COST'!$G$39="PPI",'ENG_SCEN'!$H$35,IF('IN_COST'!$G$39="ENERGY",'ENG_SCEN'!$H$34,IF('IN_COST'!$G$39="WAGE",'ENG_SCEN'!$H$33,IF('IN_COST'!$G$39="CPI",'ENG_SCEN'!$H$32,1))))),IF('IN_COST'!$E$39="PER_TON_PROD",'ENG_OPS'!$H$43*'IN_COST'!$F$39*IF('IN_COST'!$G$39="FX",'ENG_SCEN'!$H$36,IF('IN_COST'!$G$39="PPI",'ENG_SCEN'!$H$35,IF('IN_COST'!$G$39="ENERGY",'ENG_SCEN'!$H$34,IF('IN_COST'!$G$39="WAGE",'ENG_SCEN'!$H$33,IF('IN_COST'!$G$39="CPI",'ENG_SCEN'!$H$32,1))))),IF('IN_COST'!$E$39="PER_KWH",'ENG_OPS'!$H$63*'IN_COST'!$F$39*IF('IN_COST'!$G$39="FX",'ENG_SCEN'!$H$36,IF('IN_COST'!$G$39="PPI",'ENG_SCEN'!$H$35,IF('IN_COST'!$G$39="ENERGY",'ENG_SCEN'!$H$34,IF('IN_COST'!$G$39="WAGE",'ENG_SCEN'!$H$33,IF('IN_COST'!$G$39="CPI",'ENG_SCEN'!$H$32,1))))),IF('IN_COST'!$E$39="PER_M3",'ENG_OPS'!$H$64*'IN_COST'!$F$39*IF('IN_COST'!$G$39="FX",'ENG_SCEN'!$H$36,IF('IN_COST'!$G$39="PPI",'ENG_SCEN'!$H$35,IF('IN_COST'!$G$39="ENERGY",'ENG_SCEN'!$H$34,IF('IN_COST'!$G$39="WAGE",'ENG_SCEN'!$H$33,IF('IN_COST'!$G$39="CPI",'ENG_SCEN'!$H$32,1))))),IF('IN_COST'!$E$39="ANNUAL",'IN_COST'!$F$39*IF('IN_COST'!$G$39="FX",'ENG_SCEN'!$H$36,IF('IN_COST'!$G$39="PPI",'ENG_SCEN'!$H$35,IF('IN_COST'!$G$39="ENERGY",'ENG_SCEN'!$H$34,IF('IN_COST'!$G$39="WAGE",'ENG_SCEN'!$H$33,IF('IN_COST'!$G$39="CPI",'ENG_SCEN'!$H$32,1))))),IF('IN_COST'!$E$39="PCT_REV",'ENG_OPS'!$H$81*'IN_COST'!$F$39,IF('IN_COST'!$E$39="PCT_ASSET",'ENG_CAPEX'!$H$84*'IN_COST'!$F$39,IF('IN_COST'!$E$39="DEP",'ENG_CAPEX'!$H$81,IF('IN_COST'!$E$39="PAY",INDEX('IN_COST'!$D$15:$D$19,IFERROR(VALUE(MID('IN_COST'!$F$39,FIND(":",'IN_COST'!$F$39)+1,2)),1))*INDEX('IN_COST'!$E$15:$E$19,IFERROR(VALUE(MID('IN_COST'!$F$39,FIND(":",'IN_COST'!$F$39)+1,2)),1))*'IN_COST'!$D$10*'IN_COST'!$D$11*'ENG_SCEN'!$H$33,IF('IN_COST'!$E$39="SRV",SUM(INDEX('ENG_ALLOC'!$D$29:$P$58,(IFERROR(VALUE(MID('IN_COST'!$F$39,FIND(":",'IN_COST'!$F$39)+1,2)),1)-1)*6+1,5):INDEX('ENG_ALLOC'!$D$29:$P$58,IFERROR(VALUE(MID('IN_COST'!$F$39,FIND(":",'IN_COST'!$F$39)+1,2)),1)*6,5)),0)))))))))))*IF('IN_COST'!$E$39="DEP",'ENG_SCEN'!$G$16,IF('IN_COST'!$I$39="V",IF('IN_COST'!$E$39="SCRAP_LME",'ENG_SCEN'!$G$13,'ENG_SCEN'!$G$14),'ENG_SCEN'!$G$15))</f>
        <v/>
      </c>
      <c r="I53" s="33">
        <f>'IN_MACRO'!$I$34*IF('IN_COST'!$E$39="SCRAP_LME",'ENG_OPS'!$I$20*'IN_COST'!$F$39*'ENG_SCEN'!$I$37,IF('IN_COST'!$E$39="PER_TON_BATT",'ENG_OPS'!$I$20*'IN_COST'!$F$39*IF('IN_COST'!$G$39="FX",'ENG_SCEN'!$I$36,IF('IN_COST'!$G$39="PPI",'ENG_SCEN'!$I$35,IF('IN_COST'!$G$39="ENERGY",'ENG_SCEN'!$I$34,IF('IN_COST'!$G$39="WAGE",'ENG_SCEN'!$I$33,IF('IN_COST'!$G$39="CPI",'ENG_SCEN'!$I$32,1))))),IF('IN_COST'!$E$39="PER_TON_PROD",'ENG_OPS'!$I$43*'IN_COST'!$F$39*IF('IN_COST'!$G$39="FX",'ENG_SCEN'!$I$36,IF('IN_COST'!$G$39="PPI",'ENG_SCEN'!$I$35,IF('IN_COST'!$G$39="ENERGY",'ENG_SCEN'!$I$34,IF('IN_COST'!$G$39="WAGE",'ENG_SCEN'!$I$33,IF('IN_COST'!$G$39="CPI",'ENG_SCEN'!$I$32,1))))),IF('IN_COST'!$E$39="PER_KWH",'ENG_OPS'!$I$63*'IN_COST'!$F$39*IF('IN_COST'!$G$39="FX",'ENG_SCEN'!$I$36,IF('IN_COST'!$G$39="PPI",'ENG_SCEN'!$I$35,IF('IN_COST'!$G$39="ENERGY",'ENG_SCEN'!$I$34,IF('IN_COST'!$G$39="WAGE",'ENG_SCEN'!$I$33,IF('IN_COST'!$G$39="CPI",'ENG_SCEN'!$I$32,1))))),IF('IN_COST'!$E$39="PER_M3",'ENG_OPS'!$I$64*'IN_COST'!$F$39*IF('IN_COST'!$G$39="FX",'ENG_SCEN'!$I$36,IF('IN_COST'!$G$39="PPI",'ENG_SCEN'!$I$35,IF('IN_COST'!$G$39="ENERGY",'ENG_SCEN'!$I$34,IF('IN_COST'!$G$39="WAGE",'ENG_SCEN'!$I$33,IF('IN_COST'!$G$39="CPI",'ENG_SCEN'!$I$32,1))))),IF('IN_COST'!$E$39="ANNUAL",'IN_COST'!$F$39*IF('IN_COST'!$G$39="FX",'ENG_SCEN'!$I$36,IF('IN_COST'!$G$39="PPI",'ENG_SCEN'!$I$35,IF('IN_COST'!$G$39="ENERGY",'ENG_SCEN'!$I$34,IF('IN_COST'!$G$39="WAGE",'ENG_SCEN'!$I$33,IF('IN_COST'!$G$39="CPI",'ENG_SCEN'!$I$32,1))))),IF('IN_COST'!$E$39="PCT_REV",'ENG_OPS'!$I$81*'IN_COST'!$F$39,IF('IN_COST'!$E$39="PCT_ASSET",'ENG_CAPEX'!$I$84*'IN_COST'!$F$39,IF('IN_COST'!$E$39="DEP",'ENG_CAPEX'!$I$81,IF('IN_COST'!$E$39="PAY",INDEX('IN_COST'!$D$15:$D$19,IFERROR(VALUE(MID('IN_COST'!$F$39,FIND(":",'IN_COST'!$F$39)+1,2)),1))*INDEX('IN_COST'!$E$15:$E$19,IFERROR(VALUE(MID('IN_COST'!$F$39,FIND(":",'IN_COST'!$F$39)+1,2)),1))*'IN_COST'!$D$10*'IN_COST'!$D$11*'ENG_SCEN'!$I$33,IF('IN_COST'!$E$39="SRV",SUM(INDEX('ENG_ALLOC'!$D$29:$P$58,(IFERROR(VALUE(MID('IN_COST'!$F$39,FIND(":",'IN_COST'!$F$39)+1,2)),1)-1)*6+1,6):INDEX('ENG_ALLOC'!$D$29:$P$58,IFERROR(VALUE(MID('IN_COST'!$F$39,FIND(":",'IN_COST'!$F$39)+1,2)),1)*6,6)),0)))))))))))*IF('IN_COST'!$E$39="DEP",'ENG_SCEN'!$G$16,IF('IN_COST'!$I$39="V",IF('IN_COST'!$E$39="SCRAP_LME",'ENG_SCEN'!$G$13,'ENG_SCEN'!$G$14),'ENG_SCEN'!$G$15))</f>
        <v/>
      </c>
      <c r="J53" s="33">
        <f>'IN_MACRO'!$J$34*IF('IN_COST'!$E$39="SCRAP_LME",'ENG_OPS'!$J$20*'IN_COST'!$F$39*'ENG_SCEN'!$J$37,IF('IN_COST'!$E$39="PER_TON_BATT",'ENG_OPS'!$J$20*'IN_COST'!$F$39*IF('IN_COST'!$G$39="FX",'ENG_SCEN'!$J$36,IF('IN_COST'!$G$39="PPI",'ENG_SCEN'!$J$35,IF('IN_COST'!$G$39="ENERGY",'ENG_SCEN'!$J$34,IF('IN_COST'!$G$39="WAGE",'ENG_SCEN'!$J$33,IF('IN_COST'!$G$39="CPI",'ENG_SCEN'!$J$32,1))))),IF('IN_COST'!$E$39="PER_TON_PROD",'ENG_OPS'!$J$43*'IN_COST'!$F$39*IF('IN_COST'!$G$39="FX",'ENG_SCEN'!$J$36,IF('IN_COST'!$G$39="PPI",'ENG_SCEN'!$J$35,IF('IN_COST'!$G$39="ENERGY",'ENG_SCEN'!$J$34,IF('IN_COST'!$G$39="WAGE",'ENG_SCEN'!$J$33,IF('IN_COST'!$G$39="CPI",'ENG_SCEN'!$J$32,1))))),IF('IN_COST'!$E$39="PER_KWH",'ENG_OPS'!$J$63*'IN_COST'!$F$39*IF('IN_COST'!$G$39="FX",'ENG_SCEN'!$J$36,IF('IN_COST'!$G$39="PPI",'ENG_SCEN'!$J$35,IF('IN_COST'!$G$39="ENERGY",'ENG_SCEN'!$J$34,IF('IN_COST'!$G$39="WAGE",'ENG_SCEN'!$J$33,IF('IN_COST'!$G$39="CPI",'ENG_SCEN'!$J$32,1))))),IF('IN_COST'!$E$39="PER_M3",'ENG_OPS'!$J$64*'IN_COST'!$F$39*IF('IN_COST'!$G$39="FX",'ENG_SCEN'!$J$36,IF('IN_COST'!$G$39="PPI",'ENG_SCEN'!$J$35,IF('IN_COST'!$G$39="ENERGY",'ENG_SCEN'!$J$34,IF('IN_COST'!$G$39="WAGE",'ENG_SCEN'!$J$33,IF('IN_COST'!$G$39="CPI",'ENG_SCEN'!$J$32,1))))),IF('IN_COST'!$E$39="ANNUAL",'IN_COST'!$F$39*IF('IN_COST'!$G$39="FX",'ENG_SCEN'!$J$36,IF('IN_COST'!$G$39="PPI",'ENG_SCEN'!$J$35,IF('IN_COST'!$G$39="ENERGY",'ENG_SCEN'!$J$34,IF('IN_COST'!$G$39="WAGE",'ENG_SCEN'!$J$33,IF('IN_COST'!$G$39="CPI",'ENG_SCEN'!$J$32,1))))),IF('IN_COST'!$E$39="PCT_REV",'ENG_OPS'!$J$81*'IN_COST'!$F$39,IF('IN_COST'!$E$39="PCT_ASSET",'ENG_CAPEX'!$J$84*'IN_COST'!$F$39,IF('IN_COST'!$E$39="DEP",'ENG_CAPEX'!$J$81,IF('IN_COST'!$E$39="PAY",INDEX('IN_COST'!$D$15:$D$19,IFERROR(VALUE(MID('IN_COST'!$F$39,FIND(":",'IN_COST'!$F$39)+1,2)),1))*INDEX('IN_COST'!$E$15:$E$19,IFERROR(VALUE(MID('IN_COST'!$F$39,FIND(":",'IN_COST'!$F$39)+1,2)),1))*'IN_COST'!$D$10*'IN_COST'!$D$11*'ENG_SCEN'!$J$33,IF('IN_COST'!$E$39="SRV",SUM(INDEX('ENG_ALLOC'!$D$29:$P$58,(IFERROR(VALUE(MID('IN_COST'!$F$39,FIND(":",'IN_COST'!$F$39)+1,2)),1)-1)*6+1,7):INDEX('ENG_ALLOC'!$D$29:$P$58,IFERROR(VALUE(MID('IN_COST'!$F$39,FIND(":",'IN_COST'!$F$39)+1,2)),1)*6,7)),0)))))))))))*IF('IN_COST'!$E$39="DEP",'ENG_SCEN'!$G$16,IF('IN_COST'!$I$39="V",IF('IN_COST'!$E$39="SCRAP_LME",'ENG_SCEN'!$G$13,'ENG_SCEN'!$G$14),'ENG_SCEN'!$G$15))</f>
        <v/>
      </c>
      <c r="K53" s="33">
        <f>'IN_MACRO'!$K$34*IF('IN_COST'!$E$39="SCRAP_LME",'ENG_OPS'!$K$20*'IN_COST'!$F$39*'ENG_SCEN'!$K$37,IF('IN_COST'!$E$39="PER_TON_BATT",'ENG_OPS'!$K$20*'IN_COST'!$F$39*IF('IN_COST'!$G$39="FX",'ENG_SCEN'!$K$36,IF('IN_COST'!$G$39="PPI",'ENG_SCEN'!$K$35,IF('IN_COST'!$G$39="ENERGY",'ENG_SCEN'!$K$34,IF('IN_COST'!$G$39="WAGE",'ENG_SCEN'!$K$33,IF('IN_COST'!$G$39="CPI",'ENG_SCEN'!$K$32,1))))),IF('IN_COST'!$E$39="PER_TON_PROD",'ENG_OPS'!$K$43*'IN_COST'!$F$39*IF('IN_COST'!$G$39="FX",'ENG_SCEN'!$K$36,IF('IN_COST'!$G$39="PPI",'ENG_SCEN'!$K$35,IF('IN_COST'!$G$39="ENERGY",'ENG_SCEN'!$K$34,IF('IN_COST'!$G$39="WAGE",'ENG_SCEN'!$K$33,IF('IN_COST'!$G$39="CPI",'ENG_SCEN'!$K$32,1))))),IF('IN_COST'!$E$39="PER_KWH",'ENG_OPS'!$K$63*'IN_COST'!$F$39*IF('IN_COST'!$G$39="FX",'ENG_SCEN'!$K$36,IF('IN_COST'!$G$39="PPI",'ENG_SCEN'!$K$35,IF('IN_COST'!$G$39="ENERGY",'ENG_SCEN'!$K$34,IF('IN_COST'!$G$39="WAGE",'ENG_SCEN'!$K$33,IF('IN_COST'!$G$39="CPI",'ENG_SCEN'!$K$32,1))))),IF('IN_COST'!$E$39="PER_M3",'ENG_OPS'!$K$64*'IN_COST'!$F$39*IF('IN_COST'!$G$39="FX",'ENG_SCEN'!$K$36,IF('IN_COST'!$G$39="PPI",'ENG_SCEN'!$K$35,IF('IN_COST'!$G$39="ENERGY",'ENG_SCEN'!$K$34,IF('IN_COST'!$G$39="WAGE",'ENG_SCEN'!$K$33,IF('IN_COST'!$G$39="CPI",'ENG_SCEN'!$K$32,1))))),IF('IN_COST'!$E$39="ANNUAL",'IN_COST'!$F$39*IF('IN_COST'!$G$39="FX",'ENG_SCEN'!$K$36,IF('IN_COST'!$G$39="PPI",'ENG_SCEN'!$K$35,IF('IN_COST'!$G$39="ENERGY",'ENG_SCEN'!$K$34,IF('IN_COST'!$G$39="WAGE",'ENG_SCEN'!$K$33,IF('IN_COST'!$G$39="CPI",'ENG_SCEN'!$K$32,1))))),IF('IN_COST'!$E$39="PCT_REV",'ENG_OPS'!$K$81*'IN_COST'!$F$39,IF('IN_COST'!$E$39="PCT_ASSET",'ENG_CAPEX'!$K$84*'IN_COST'!$F$39,IF('IN_COST'!$E$39="DEP",'ENG_CAPEX'!$K$81,IF('IN_COST'!$E$39="PAY",INDEX('IN_COST'!$D$15:$D$19,IFERROR(VALUE(MID('IN_COST'!$F$39,FIND(":",'IN_COST'!$F$39)+1,2)),1))*INDEX('IN_COST'!$E$15:$E$19,IFERROR(VALUE(MID('IN_COST'!$F$39,FIND(":",'IN_COST'!$F$39)+1,2)),1))*'IN_COST'!$D$10*'IN_COST'!$D$11*'ENG_SCEN'!$K$33,IF('IN_COST'!$E$39="SRV",SUM(INDEX('ENG_ALLOC'!$D$29:$P$58,(IFERROR(VALUE(MID('IN_COST'!$F$39,FIND(":",'IN_COST'!$F$39)+1,2)),1)-1)*6+1,8):INDEX('ENG_ALLOC'!$D$29:$P$58,IFERROR(VALUE(MID('IN_COST'!$F$39,FIND(":",'IN_COST'!$F$39)+1,2)),1)*6,8)),0)))))))))))*IF('IN_COST'!$E$39="DEP",'ENG_SCEN'!$G$16,IF('IN_COST'!$I$39="V",IF('IN_COST'!$E$39="SCRAP_LME",'ENG_SCEN'!$G$13,'ENG_SCEN'!$G$14),'ENG_SCEN'!$G$15))</f>
        <v/>
      </c>
      <c r="L53" s="33">
        <f>'IN_MACRO'!$L$34*IF('IN_COST'!$E$39="SCRAP_LME",'ENG_OPS'!$L$20*'IN_COST'!$F$39*'ENG_SCEN'!$L$37,IF('IN_COST'!$E$39="PER_TON_BATT",'ENG_OPS'!$L$20*'IN_COST'!$F$39*IF('IN_COST'!$G$39="FX",'ENG_SCEN'!$L$36,IF('IN_COST'!$G$39="PPI",'ENG_SCEN'!$L$35,IF('IN_COST'!$G$39="ENERGY",'ENG_SCEN'!$L$34,IF('IN_COST'!$G$39="WAGE",'ENG_SCEN'!$L$33,IF('IN_COST'!$G$39="CPI",'ENG_SCEN'!$L$32,1))))),IF('IN_COST'!$E$39="PER_TON_PROD",'ENG_OPS'!$L$43*'IN_COST'!$F$39*IF('IN_COST'!$G$39="FX",'ENG_SCEN'!$L$36,IF('IN_COST'!$G$39="PPI",'ENG_SCEN'!$L$35,IF('IN_COST'!$G$39="ENERGY",'ENG_SCEN'!$L$34,IF('IN_COST'!$G$39="WAGE",'ENG_SCEN'!$L$33,IF('IN_COST'!$G$39="CPI",'ENG_SCEN'!$L$32,1))))),IF('IN_COST'!$E$39="PER_KWH",'ENG_OPS'!$L$63*'IN_COST'!$F$39*IF('IN_COST'!$G$39="FX",'ENG_SCEN'!$L$36,IF('IN_COST'!$G$39="PPI",'ENG_SCEN'!$L$35,IF('IN_COST'!$G$39="ENERGY",'ENG_SCEN'!$L$34,IF('IN_COST'!$G$39="WAGE",'ENG_SCEN'!$L$33,IF('IN_COST'!$G$39="CPI",'ENG_SCEN'!$L$32,1))))),IF('IN_COST'!$E$39="PER_M3",'ENG_OPS'!$L$64*'IN_COST'!$F$39*IF('IN_COST'!$G$39="FX",'ENG_SCEN'!$L$36,IF('IN_COST'!$G$39="PPI",'ENG_SCEN'!$L$35,IF('IN_COST'!$G$39="ENERGY",'ENG_SCEN'!$L$34,IF('IN_COST'!$G$39="WAGE",'ENG_SCEN'!$L$33,IF('IN_COST'!$G$39="CPI",'ENG_SCEN'!$L$32,1))))),IF('IN_COST'!$E$39="ANNUAL",'IN_COST'!$F$39*IF('IN_COST'!$G$39="FX",'ENG_SCEN'!$L$36,IF('IN_COST'!$G$39="PPI",'ENG_SCEN'!$L$35,IF('IN_COST'!$G$39="ENERGY",'ENG_SCEN'!$L$34,IF('IN_COST'!$G$39="WAGE",'ENG_SCEN'!$L$33,IF('IN_COST'!$G$39="CPI",'ENG_SCEN'!$L$32,1))))),IF('IN_COST'!$E$39="PCT_REV",'ENG_OPS'!$L$81*'IN_COST'!$F$39,IF('IN_COST'!$E$39="PCT_ASSET",'ENG_CAPEX'!$L$84*'IN_COST'!$F$39,IF('IN_COST'!$E$39="DEP",'ENG_CAPEX'!$L$81,IF('IN_COST'!$E$39="PAY",INDEX('IN_COST'!$D$15:$D$19,IFERROR(VALUE(MID('IN_COST'!$F$39,FIND(":",'IN_COST'!$F$39)+1,2)),1))*INDEX('IN_COST'!$E$15:$E$19,IFERROR(VALUE(MID('IN_COST'!$F$39,FIND(":",'IN_COST'!$F$39)+1,2)),1))*'IN_COST'!$D$10*'IN_COST'!$D$11*'ENG_SCEN'!$L$33,IF('IN_COST'!$E$39="SRV",SUM(INDEX('ENG_ALLOC'!$D$29:$P$58,(IFERROR(VALUE(MID('IN_COST'!$F$39,FIND(":",'IN_COST'!$F$39)+1,2)),1)-1)*6+1,9):INDEX('ENG_ALLOC'!$D$29:$P$58,IFERROR(VALUE(MID('IN_COST'!$F$39,FIND(":",'IN_COST'!$F$39)+1,2)),1)*6,9)),0)))))))))))*IF('IN_COST'!$E$39="DEP",'ENG_SCEN'!$G$16,IF('IN_COST'!$I$39="V",IF('IN_COST'!$E$39="SCRAP_LME",'ENG_SCEN'!$G$13,'ENG_SCEN'!$G$14),'ENG_SCEN'!$G$15))</f>
        <v/>
      </c>
      <c r="M53" s="33">
        <f>'IN_MACRO'!$M$34*IF('IN_COST'!$E$39="SCRAP_LME",'ENG_OPS'!$M$20*'IN_COST'!$F$39*'ENG_SCEN'!$M$37,IF('IN_COST'!$E$39="PER_TON_BATT",'ENG_OPS'!$M$20*'IN_COST'!$F$39*IF('IN_COST'!$G$39="FX",'ENG_SCEN'!$M$36,IF('IN_COST'!$G$39="PPI",'ENG_SCEN'!$M$35,IF('IN_COST'!$G$39="ENERGY",'ENG_SCEN'!$M$34,IF('IN_COST'!$G$39="WAGE",'ENG_SCEN'!$M$33,IF('IN_COST'!$G$39="CPI",'ENG_SCEN'!$M$32,1))))),IF('IN_COST'!$E$39="PER_TON_PROD",'ENG_OPS'!$M$43*'IN_COST'!$F$39*IF('IN_COST'!$G$39="FX",'ENG_SCEN'!$M$36,IF('IN_COST'!$G$39="PPI",'ENG_SCEN'!$M$35,IF('IN_COST'!$G$39="ENERGY",'ENG_SCEN'!$M$34,IF('IN_COST'!$G$39="WAGE",'ENG_SCEN'!$M$33,IF('IN_COST'!$G$39="CPI",'ENG_SCEN'!$M$32,1))))),IF('IN_COST'!$E$39="PER_KWH",'ENG_OPS'!$M$63*'IN_COST'!$F$39*IF('IN_COST'!$G$39="FX",'ENG_SCEN'!$M$36,IF('IN_COST'!$G$39="PPI",'ENG_SCEN'!$M$35,IF('IN_COST'!$G$39="ENERGY",'ENG_SCEN'!$M$34,IF('IN_COST'!$G$39="WAGE",'ENG_SCEN'!$M$33,IF('IN_COST'!$G$39="CPI",'ENG_SCEN'!$M$32,1))))),IF('IN_COST'!$E$39="PER_M3",'ENG_OPS'!$M$64*'IN_COST'!$F$39*IF('IN_COST'!$G$39="FX",'ENG_SCEN'!$M$36,IF('IN_COST'!$G$39="PPI",'ENG_SCEN'!$M$35,IF('IN_COST'!$G$39="ENERGY",'ENG_SCEN'!$M$34,IF('IN_COST'!$G$39="WAGE",'ENG_SCEN'!$M$33,IF('IN_COST'!$G$39="CPI",'ENG_SCEN'!$M$32,1))))),IF('IN_COST'!$E$39="ANNUAL",'IN_COST'!$F$39*IF('IN_COST'!$G$39="FX",'ENG_SCEN'!$M$36,IF('IN_COST'!$G$39="PPI",'ENG_SCEN'!$M$35,IF('IN_COST'!$G$39="ENERGY",'ENG_SCEN'!$M$34,IF('IN_COST'!$G$39="WAGE",'ENG_SCEN'!$M$33,IF('IN_COST'!$G$39="CPI",'ENG_SCEN'!$M$32,1))))),IF('IN_COST'!$E$39="PCT_REV",'ENG_OPS'!$M$81*'IN_COST'!$F$39,IF('IN_COST'!$E$39="PCT_ASSET",'ENG_CAPEX'!$M$84*'IN_COST'!$F$39,IF('IN_COST'!$E$39="DEP",'ENG_CAPEX'!$M$81,IF('IN_COST'!$E$39="PAY",INDEX('IN_COST'!$D$15:$D$19,IFERROR(VALUE(MID('IN_COST'!$F$39,FIND(":",'IN_COST'!$F$39)+1,2)),1))*INDEX('IN_COST'!$E$15:$E$19,IFERROR(VALUE(MID('IN_COST'!$F$39,FIND(":",'IN_COST'!$F$39)+1,2)),1))*'IN_COST'!$D$10*'IN_COST'!$D$11*'ENG_SCEN'!$M$33,IF('IN_COST'!$E$39="SRV",SUM(INDEX('ENG_ALLOC'!$D$29:$P$58,(IFERROR(VALUE(MID('IN_COST'!$F$39,FIND(":",'IN_COST'!$F$39)+1,2)),1)-1)*6+1,10):INDEX('ENG_ALLOC'!$D$29:$P$58,IFERROR(VALUE(MID('IN_COST'!$F$39,FIND(":",'IN_COST'!$F$39)+1,2)),1)*6,10)),0)))))))))))*IF('IN_COST'!$E$39="DEP",'ENG_SCEN'!$G$16,IF('IN_COST'!$I$39="V",IF('IN_COST'!$E$39="SCRAP_LME",'ENG_SCEN'!$G$13,'ENG_SCEN'!$G$14),'ENG_SCEN'!$G$15))</f>
        <v/>
      </c>
      <c r="N53" s="33">
        <f>'IN_MACRO'!$N$34*IF('IN_COST'!$E$39="SCRAP_LME",'ENG_OPS'!$N$20*'IN_COST'!$F$39*'ENG_SCEN'!$N$37,IF('IN_COST'!$E$39="PER_TON_BATT",'ENG_OPS'!$N$20*'IN_COST'!$F$39*IF('IN_COST'!$G$39="FX",'ENG_SCEN'!$N$36,IF('IN_COST'!$G$39="PPI",'ENG_SCEN'!$N$35,IF('IN_COST'!$G$39="ENERGY",'ENG_SCEN'!$N$34,IF('IN_COST'!$G$39="WAGE",'ENG_SCEN'!$N$33,IF('IN_COST'!$G$39="CPI",'ENG_SCEN'!$N$32,1))))),IF('IN_COST'!$E$39="PER_TON_PROD",'ENG_OPS'!$N$43*'IN_COST'!$F$39*IF('IN_COST'!$G$39="FX",'ENG_SCEN'!$N$36,IF('IN_COST'!$G$39="PPI",'ENG_SCEN'!$N$35,IF('IN_COST'!$G$39="ENERGY",'ENG_SCEN'!$N$34,IF('IN_COST'!$G$39="WAGE",'ENG_SCEN'!$N$33,IF('IN_COST'!$G$39="CPI",'ENG_SCEN'!$N$32,1))))),IF('IN_COST'!$E$39="PER_KWH",'ENG_OPS'!$N$63*'IN_COST'!$F$39*IF('IN_COST'!$G$39="FX",'ENG_SCEN'!$N$36,IF('IN_COST'!$G$39="PPI",'ENG_SCEN'!$N$35,IF('IN_COST'!$G$39="ENERGY",'ENG_SCEN'!$N$34,IF('IN_COST'!$G$39="WAGE",'ENG_SCEN'!$N$33,IF('IN_COST'!$G$39="CPI",'ENG_SCEN'!$N$32,1))))),IF('IN_COST'!$E$39="PER_M3",'ENG_OPS'!$N$64*'IN_COST'!$F$39*IF('IN_COST'!$G$39="FX",'ENG_SCEN'!$N$36,IF('IN_COST'!$G$39="PPI",'ENG_SCEN'!$N$35,IF('IN_COST'!$G$39="ENERGY",'ENG_SCEN'!$N$34,IF('IN_COST'!$G$39="WAGE",'ENG_SCEN'!$N$33,IF('IN_COST'!$G$39="CPI",'ENG_SCEN'!$N$32,1))))),IF('IN_COST'!$E$39="ANNUAL",'IN_COST'!$F$39*IF('IN_COST'!$G$39="FX",'ENG_SCEN'!$N$36,IF('IN_COST'!$G$39="PPI",'ENG_SCEN'!$N$35,IF('IN_COST'!$G$39="ENERGY",'ENG_SCEN'!$N$34,IF('IN_COST'!$G$39="WAGE",'ENG_SCEN'!$N$33,IF('IN_COST'!$G$39="CPI",'ENG_SCEN'!$N$32,1))))),IF('IN_COST'!$E$39="PCT_REV",'ENG_OPS'!$N$81*'IN_COST'!$F$39,IF('IN_COST'!$E$39="PCT_ASSET",'ENG_CAPEX'!$N$84*'IN_COST'!$F$39,IF('IN_COST'!$E$39="DEP",'ENG_CAPEX'!$N$81,IF('IN_COST'!$E$39="PAY",INDEX('IN_COST'!$D$15:$D$19,IFERROR(VALUE(MID('IN_COST'!$F$39,FIND(":",'IN_COST'!$F$39)+1,2)),1))*INDEX('IN_COST'!$E$15:$E$19,IFERROR(VALUE(MID('IN_COST'!$F$39,FIND(":",'IN_COST'!$F$39)+1,2)),1))*'IN_COST'!$D$10*'IN_COST'!$D$11*'ENG_SCEN'!$N$33,IF('IN_COST'!$E$39="SRV",SUM(INDEX('ENG_ALLOC'!$D$29:$P$58,(IFERROR(VALUE(MID('IN_COST'!$F$39,FIND(":",'IN_COST'!$F$39)+1,2)),1)-1)*6+1,11):INDEX('ENG_ALLOC'!$D$29:$P$58,IFERROR(VALUE(MID('IN_COST'!$F$39,FIND(":",'IN_COST'!$F$39)+1,2)),1)*6,11)),0)))))))))))*IF('IN_COST'!$E$39="DEP",'ENG_SCEN'!$G$16,IF('IN_COST'!$I$39="V",IF('IN_COST'!$E$39="SCRAP_LME",'ENG_SCEN'!$G$13,'ENG_SCEN'!$G$14),'ENG_SCEN'!$G$15))</f>
        <v/>
      </c>
      <c r="O53" s="33">
        <f>'IN_MACRO'!$O$34*IF('IN_COST'!$E$39="SCRAP_LME",'ENG_OPS'!$O$20*'IN_COST'!$F$39*'ENG_SCEN'!$O$37,IF('IN_COST'!$E$39="PER_TON_BATT",'ENG_OPS'!$O$20*'IN_COST'!$F$39*IF('IN_COST'!$G$39="FX",'ENG_SCEN'!$O$36,IF('IN_COST'!$G$39="PPI",'ENG_SCEN'!$O$35,IF('IN_COST'!$G$39="ENERGY",'ENG_SCEN'!$O$34,IF('IN_COST'!$G$39="WAGE",'ENG_SCEN'!$O$33,IF('IN_COST'!$G$39="CPI",'ENG_SCEN'!$O$32,1))))),IF('IN_COST'!$E$39="PER_TON_PROD",'ENG_OPS'!$O$43*'IN_COST'!$F$39*IF('IN_COST'!$G$39="FX",'ENG_SCEN'!$O$36,IF('IN_COST'!$G$39="PPI",'ENG_SCEN'!$O$35,IF('IN_COST'!$G$39="ENERGY",'ENG_SCEN'!$O$34,IF('IN_COST'!$G$39="WAGE",'ENG_SCEN'!$O$33,IF('IN_COST'!$G$39="CPI",'ENG_SCEN'!$O$32,1))))),IF('IN_COST'!$E$39="PER_KWH",'ENG_OPS'!$O$63*'IN_COST'!$F$39*IF('IN_COST'!$G$39="FX",'ENG_SCEN'!$O$36,IF('IN_COST'!$G$39="PPI",'ENG_SCEN'!$O$35,IF('IN_COST'!$G$39="ENERGY",'ENG_SCEN'!$O$34,IF('IN_COST'!$G$39="WAGE",'ENG_SCEN'!$O$33,IF('IN_COST'!$G$39="CPI",'ENG_SCEN'!$O$32,1))))),IF('IN_COST'!$E$39="PER_M3",'ENG_OPS'!$O$64*'IN_COST'!$F$39*IF('IN_COST'!$G$39="FX",'ENG_SCEN'!$O$36,IF('IN_COST'!$G$39="PPI",'ENG_SCEN'!$O$35,IF('IN_COST'!$G$39="ENERGY",'ENG_SCEN'!$O$34,IF('IN_COST'!$G$39="WAGE",'ENG_SCEN'!$O$33,IF('IN_COST'!$G$39="CPI",'ENG_SCEN'!$O$32,1))))),IF('IN_COST'!$E$39="ANNUAL",'IN_COST'!$F$39*IF('IN_COST'!$G$39="FX",'ENG_SCEN'!$O$36,IF('IN_COST'!$G$39="PPI",'ENG_SCEN'!$O$35,IF('IN_COST'!$G$39="ENERGY",'ENG_SCEN'!$O$34,IF('IN_COST'!$G$39="WAGE",'ENG_SCEN'!$O$33,IF('IN_COST'!$G$39="CPI",'ENG_SCEN'!$O$32,1))))),IF('IN_COST'!$E$39="PCT_REV",'ENG_OPS'!$O$81*'IN_COST'!$F$39,IF('IN_COST'!$E$39="PCT_ASSET",'ENG_CAPEX'!$O$84*'IN_COST'!$F$39,IF('IN_COST'!$E$39="DEP",'ENG_CAPEX'!$O$81,IF('IN_COST'!$E$39="PAY",INDEX('IN_COST'!$D$15:$D$19,IFERROR(VALUE(MID('IN_COST'!$F$39,FIND(":",'IN_COST'!$F$39)+1,2)),1))*INDEX('IN_COST'!$E$15:$E$19,IFERROR(VALUE(MID('IN_COST'!$F$39,FIND(":",'IN_COST'!$F$39)+1,2)),1))*'IN_COST'!$D$10*'IN_COST'!$D$11*'ENG_SCEN'!$O$33,IF('IN_COST'!$E$39="SRV",SUM(INDEX('ENG_ALLOC'!$D$29:$P$58,(IFERROR(VALUE(MID('IN_COST'!$F$39,FIND(":",'IN_COST'!$F$39)+1,2)),1)-1)*6+1,12):INDEX('ENG_ALLOC'!$D$29:$P$58,IFERROR(VALUE(MID('IN_COST'!$F$39,FIND(":",'IN_COST'!$F$39)+1,2)),1)*6,12)),0)))))))))))*IF('IN_COST'!$E$39="DEP",'ENG_SCEN'!$G$16,IF('IN_COST'!$I$39="V",IF('IN_COST'!$E$39="SCRAP_LME",'ENG_SCEN'!$G$13,'ENG_SCEN'!$G$14),'ENG_SCEN'!$G$15))</f>
        <v/>
      </c>
      <c r="P53" s="33">
        <f>'IN_MACRO'!$P$34*IF('IN_COST'!$E$39="SCRAP_LME",'ENG_OPS'!$P$20*'IN_COST'!$F$39*'ENG_SCEN'!$P$37,IF('IN_COST'!$E$39="PER_TON_BATT",'ENG_OPS'!$P$20*'IN_COST'!$F$39*IF('IN_COST'!$G$39="FX",'ENG_SCEN'!$P$36,IF('IN_COST'!$G$39="PPI",'ENG_SCEN'!$P$35,IF('IN_COST'!$G$39="ENERGY",'ENG_SCEN'!$P$34,IF('IN_COST'!$G$39="WAGE",'ENG_SCEN'!$P$33,IF('IN_COST'!$G$39="CPI",'ENG_SCEN'!$P$32,1))))),IF('IN_COST'!$E$39="PER_TON_PROD",'ENG_OPS'!$P$43*'IN_COST'!$F$39*IF('IN_COST'!$G$39="FX",'ENG_SCEN'!$P$36,IF('IN_COST'!$G$39="PPI",'ENG_SCEN'!$P$35,IF('IN_COST'!$G$39="ENERGY",'ENG_SCEN'!$P$34,IF('IN_COST'!$G$39="WAGE",'ENG_SCEN'!$P$33,IF('IN_COST'!$G$39="CPI",'ENG_SCEN'!$P$32,1))))),IF('IN_COST'!$E$39="PER_KWH",'ENG_OPS'!$P$63*'IN_COST'!$F$39*IF('IN_COST'!$G$39="FX",'ENG_SCEN'!$P$36,IF('IN_COST'!$G$39="PPI",'ENG_SCEN'!$P$35,IF('IN_COST'!$G$39="ENERGY",'ENG_SCEN'!$P$34,IF('IN_COST'!$G$39="WAGE",'ENG_SCEN'!$P$33,IF('IN_COST'!$G$39="CPI",'ENG_SCEN'!$P$32,1))))),IF('IN_COST'!$E$39="PER_M3",'ENG_OPS'!$P$64*'IN_COST'!$F$39*IF('IN_COST'!$G$39="FX",'ENG_SCEN'!$P$36,IF('IN_COST'!$G$39="PPI",'ENG_SCEN'!$P$35,IF('IN_COST'!$G$39="ENERGY",'ENG_SCEN'!$P$34,IF('IN_COST'!$G$39="WAGE",'ENG_SCEN'!$P$33,IF('IN_COST'!$G$39="CPI",'ENG_SCEN'!$P$32,1))))),IF('IN_COST'!$E$39="ANNUAL",'IN_COST'!$F$39*IF('IN_COST'!$G$39="FX",'ENG_SCEN'!$P$36,IF('IN_COST'!$G$39="PPI",'ENG_SCEN'!$P$35,IF('IN_COST'!$G$39="ENERGY",'ENG_SCEN'!$P$34,IF('IN_COST'!$G$39="WAGE",'ENG_SCEN'!$P$33,IF('IN_COST'!$G$39="CPI",'ENG_SCEN'!$P$32,1))))),IF('IN_COST'!$E$39="PCT_REV",'ENG_OPS'!$P$81*'IN_COST'!$F$39,IF('IN_COST'!$E$39="PCT_ASSET",'ENG_CAPEX'!$P$84*'IN_COST'!$F$39,IF('IN_COST'!$E$39="DEP",'ENG_CAPEX'!$P$81,IF('IN_COST'!$E$39="PAY",INDEX('IN_COST'!$D$15:$D$19,IFERROR(VALUE(MID('IN_COST'!$F$39,FIND(":",'IN_COST'!$F$39)+1,2)),1))*INDEX('IN_COST'!$E$15:$E$19,IFERROR(VALUE(MID('IN_COST'!$F$39,FIND(":",'IN_COST'!$F$39)+1,2)),1))*'IN_COST'!$D$10*'IN_COST'!$D$11*'ENG_SCEN'!$P$33,IF('IN_COST'!$E$39="SRV",SUM(INDEX('ENG_ALLOC'!$D$29:$P$58,(IFERROR(VALUE(MID('IN_COST'!$F$39,FIND(":",'IN_COST'!$F$39)+1,2)),1)-1)*6+1,13):INDEX('ENG_ALLOC'!$D$29:$P$58,IFERROR(VALUE(MID('IN_COST'!$F$39,FIND(":",'IN_COST'!$F$39)+1,2)),1)*6,13)),0)))))))))))*IF('IN_COST'!$E$39="DEP",'ENG_SCEN'!$G$16,IF('IN_COST'!$I$39="V",IF('IN_COST'!$E$39="SCRAP_LME",'ENG_SCEN'!$G$13,'ENG_SCEN'!$G$14),'ENG_SCEN'!$G$15))</f>
        <v/>
      </c>
    </row>
    <row r="54">
      <c r="A54" s="15" t="inlineStr">
        <is>
          <t>OPC-02 | آب و پساب</t>
        </is>
      </c>
      <c r="B54" s="16" t="inlineStr">
        <is>
          <t>EC.tot.7</t>
        </is>
      </c>
      <c r="C54" s="17" t="inlineStr">
        <is>
          <t>میلیون ریال</t>
        </is>
      </c>
      <c r="D54" s="33">
        <f>'IN_MACRO'!$D$34*IF('IN_COST'!$E$40="SCRAP_LME",'ENG_OPS'!$D$20*'IN_COST'!$F$40*'ENG_SCEN'!$D$37,IF('IN_COST'!$E$40="PER_TON_BATT",'ENG_OPS'!$D$20*'IN_COST'!$F$40*IF('IN_COST'!$G$40="FX",'ENG_SCEN'!$D$36,IF('IN_COST'!$G$40="PPI",'ENG_SCEN'!$D$35,IF('IN_COST'!$G$40="ENERGY",'ENG_SCEN'!$D$34,IF('IN_COST'!$G$40="WAGE",'ENG_SCEN'!$D$33,IF('IN_COST'!$G$40="CPI",'ENG_SCEN'!$D$32,1))))),IF('IN_COST'!$E$40="PER_TON_PROD",'ENG_OPS'!$D$43*'IN_COST'!$F$40*IF('IN_COST'!$G$40="FX",'ENG_SCEN'!$D$36,IF('IN_COST'!$G$40="PPI",'ENG_SCEN'!$D$35,IF('IN_COST'!$G$40="ENERGY",'ENG_SCEN'!$D$34,IF('IN_COST'!$G$40="WAGE",'ENG_SCEN'!$D$33,IF('IN_COST'!$G$40="CPI",'ENG_SCEN'!$D$32,1))))),IF('IN_COST'!$E$40="PER_KWH",'ENG_OPS'!$D$63*'IN_COST'!$F$40*IF('IN_COST'!$G$40="FX",'ENG_SCEN'!$D$36,IF('IN_COST'!$G$40="PPI",'ENG_SCEN'!$D$35,IF('IN_COST'!$G$40="ENERGY",'ENG_SCEN'!$D$34,IF('IN_COST'!$G$40="WAGE",'ENG_SCEN'!$D$33,IF('IN_COST'!$G$40="CPI",'ENG_SCEN'!$D$32,1))))),IF('IN_COST'!$E$40="PER_M3",'ENG_OPS'!$D$64*'IN_COST'!$F$40*IF('IN_COST'!$G$40="FX",'ENG_SCEN'!$D$36,IF('IN_COST'!$G$40="PPI",'ENG_SCEN'!$D$35,IF('IN_COST'!$G$40="ENERGY",'ENG_SCEN'!$D$34,IF('IN_COST'!$G$40="WAGE",'ENG_SCEN'!$D$33,IF('IN_COST'!$G$40="CPI",'ENG_SCEN'!$D$32,1))))),IF('IN_COST'!$E$40="ANNUAL",'IN_COST'!$F$40*IF('IN_COST'!$G$40="FX",'ENG_SCEN'!$D$36,IF('IN_COST'!$G$40="PPI",'ENG_SCEN'!$D$35,IF('IN_COST'!$G$40="ENERGY",'ENG_SCEN'!$D$34,IF('IN_COST'!$G$40="WAGE",'ENG_SCEN'!$D$33,IF('IN_COST'!$G$40="CPI",'ENG_SCEN'!$D$32,1))))),IF('IN_COST'!$E$40="PCT_REV",'ENG_OPS'!$D$81*'IN_COST'!$F$40,IF('IN_COST'!$E$40="PCT_ASSET",'ENG_CAPEX'!$D$84*'IN_COST'!$F$40,IF('IN_COST'!$E$40="DEP",'ENG_CAPEX'!$D$81,IF('IN_COST'!$E$40="PAY",INDEX('IN_COST'!$D$15:$D$19,IFERROR(VALUE(MID('IN_COST'!$F$40,FIND(":",'IN_COST'!$F$40)+1,2)),1))*INDEX('IN_COST'!$E$15:$E$19,IFERROR(VALUE(MID('IN_COST'!$F$40,FIND(":",'IN_COST'!$F$40)+1,2)),1))*'IN_COST'!$D$10*'IN_COST'!$D$11*'ENG_SCEN'!$D$33,IF('IN_COST'!$E$40="SRV",SUM(INDEX('ENG_ALLOC'!$D$29:$P$58,(IFERROR(VALUE(MID('IN_COST'!$F$40,FIND(":",'IN_COST'!$F$40)+1,2)),1)-1)*6+1,1):INDEX('ENG_ALLOC'!$D$29:$P$58,IFERROR(VALUE(MID('IN_COST'!$F$40,FIND(":",'IN_COST'!$F$40)+1,2)),1)*6,1)),0)))))))))))*IF('IN_COST'!$E$40="DEP",'ENG_SCEN'!$G$16,IF('IN_COST'!$I$40="V",IF('IN_COST'!$E$40="SCRAP_LME",'ENG_SCEN'!$G$13,'ENG_SCEN'!$G$14),'ENG_SCEN'!$G$15))</f>
        <v/>
      </c>
      <c r="E54" s="33">
        <f>'IN_MACRO'!$E$34*IF('IN_COST'!$E$40="SCRAP_LME",'ENG_OPS'!$E$20*'IN_COST'!$F$40*'ENG_SCEN'!$E$37,IF('IN_COST'!$E$40="PER_TON_BATT",'ENG_OPS'!$E$20*'IN_COST'!$F$40*IF('IN_COST'!$G$40="FX",'ENG_SCEN'!$E$36,IF('IN_COST'!$G$40="PPI",'ENG_SCEN'!$E$35,IF('IN_COST'!$G$40="ENERGY",'ENG_SCEN'!$E$34,IF('IN_COST'!$G$40="WAGE",'ENG_SCEN'!$E$33,IF('IN_COST'!$G$40="CPI",'ENG_SCEN'!$E$32,1))))),IF('IN_COST'!$E$40="PER_TON_PROD",'ENG_OPS'!$E$43*'IN_COST'!$F$40*IF('IN_COST'!$G$40="FX",'ENG_SCEN'!$E$36,IF('IN_COST'!$G$40="PPI",'ENG_SCEN'!$E$35,IF('IN_COST'!$G$40="ENERGY",'ENG_SCEN'!$E$34,IF('IN_COST'!$G$40="WAGE",'ENG_SCEN'!$E$33,IF('IN_COST'!$G$40="CPI",'ENG_SCEN'!$E$32,1))))),IF('IN_COST'!$E$40="PER_KWH",'ENG_OPS'!$E$63*'IN_COST'!$F$40*IF('IN_COST'!$G$40="FX",'ENG_SCEN'!$E$36,IF('IN_COST'!$G$40="PPI",'ENG_SCEN'!$E$35,IF('IN_COST'!$G$40="ENERGY",'ENG_SCEN'!$E$34,IF('IN_COST'!$G$40="WAGE",'ENG_SCEN'!$E$33,IF('IN_COST'!$G$40="CPI",'ENG_SCEN'!$E$32,1))))),IF('IN_COST'!$E$40="PER_M3",'ENG_OPS'!$E$64*'IN_COST'!$F$40*IF('IN_COST'!$G$40="FX",'ENG_SCEN'!$E$36,IF('IN_COST'!$G$40="PPI",'ENG_SCEN'!$E$35,IF('IN_COST'!$G$40="ENERGY",'ENG_SCEN'!$E$34,IF('IN_COST'!$G$40="WAGE",'ENG_SCEN'!$E$33,IF('IN_COST'!$G$40="CPI",'ENG_SCEN'!$E$32,1))))),IF('IN_COST'!$E$40="ANNUAL",'IN_COST'!$F$40*IF('IN_COST'!$G$40="FX",'ENG_SCEN'!$E$36,IF('IN_COST'!$G$40="PPI",'ENG_SCEN'!$E$35,IF('IN_COST'!$G$40="ENERGY",'ENG_SCEN'!$E$34,IF('IN_COST'!$G$40="WAGE",'ENG_SCEN'!$E$33,IF('IN_COST'!$G$40="CPI",'ENG_SCEN'!$E$32,1))))),IF('IN_COST'!$E$40="PCT_REV",'ENG_OPS'!$E$81*'IN_COST'!$F$40,IF('IN_COST'!$E$40="PCT_ASSET",'ENG_CAPEX'!$E$84*'IN_COST'!$F$40,IF('IN_COST'!$E$40="DEP",'ENG_CAPEX'!$E$81,IF('IN_COST'!$E$40="PAY",INDEX('IN_COST'!$D$15:$D$19,IFERROR(VALUE(MID('IN_COST'!$F$40,FIND(":",'IN_COST'!$F$40)+1,2)),1))*INDEX('IN_COST'!$E$15:$E$19,IFERROR(VALUE(MID('IN_COST'!$F$40,FIND(":",'IN_COST'!$F$40)+1,2)),1))*'IN_COST'!$D$10*'IN_COST'!$D$11*'ENG_SCEN'!$E$33,IF('IN_COST'!$E$40="SRV",SUM(INDEX('ENG_ALLOC'!$D$29:$P$58,(IFERROR(VALUE(MID('IN_COST'!$F$40,FIND(":",'IN_COST'!$F$40)+1,2)),1)-1)*6+1,2):INDEX('ENG_ALLOC'!$D$29:$P$58,IFERROR(VALUE(MID('IN_COST'!$F$40,FIND(":",'IN_COST'!$F$40)+1,2)),1)*6,2)),0)))))))))))*IF('IN_COST'!$E$40="DEP",'ENG_SCEN'!$G$16,IF('IN_COST'!$I$40="V",IF('IN_COST'!$E$40="SCRAP_LME",'ENG_SCEN'!$G$13,'ENG_SCEN'!$G$14),'ENG_SCEN'!$G$15))</f>
        <v/>
      </c>
      <c r="F54" s="33">
        <f>'IN_MACRO'!$F$34*IF('IN_COST'!$E$40="SCRAP_LME",'ENG_OPS'!$F$20*'IN_COST'!$F$40*'ENG_SCEN'!$F$37,IF('IN_COST'!$E$40="PER_TON_BATT",'ENG_OPS'!$F$20*'IN_COST'!$F$40*IF('IN_COST'!$G$40="FX",'ENG_SCEN'!$F$36,IF('IN_COST'!$G$40="PPI",'ENG_SCEN'!$F$35,IF('IN_COST'!$G$40="ENERGY",'ENG_SCEN'!$F$34,IF('IN_COST'!$G$40="WAGE",'ENG_SCEN'!$F$33,IF('IN_COST'!$G$40="CPI",'ENG_SCEN'!$F$32,1))))),IF('IN_COST'!$E$40="PER_TON_PROD",'ENG_OPS'!$F$43*'IN_COST'!$F$40*IF('IN_COST'!$G$40="FX",'ENG_SCEN'!$F$36,IF('IN_COST'!$G$40="PPI",'ENG_SCEN'!$F$35,IF('IN_COST'!$G$40="ENERGY",'ENG_SCEN'!$F$34,IF('IN_COST'!$G$40="WAGE",'ENG_SCEN'!$F$33,IF('IN_COST'!$G$40="CPI",'ENG_SCEN'!$F$32,1))))),IF('IN_COST'!$E$40="PER_KWH",'ENG_OPS'!$F$63*'IN_COST'!$F$40*IF('IN_COST'!$G$40="FX",'ENG_SCEN'!$F$36,IF('IN_COST'!$G$40="PPI",'ENG_SCEN'!$F$35,IF('IN_COST'!$G$40="ENERGY",'ENG_SCEN'!$F$34,IF('IN_COST'!$G$40="WAGE",'ENG_SCEN'!$F$33,IF('IN_COST'!$G$40="CPI",'ENG_SCEN'!$F$32,1))))),IF('IN_COST'!$E$40="PER_M3",'ENG_OPS'!$F$64*'IN_COST'!$F$40*IF('IN_COST'!$G$40="FX",'ENG_SCEN'!$F$36,IF('IN_COST'!$G$40="PPI",'ENG_SCEN'!$F$35,IF('IN_COST'!$G$40="ENERGY",'ENG_SCEN'!$F$34,IF('IN_COST'!$G$40="WAGE",'ENG_SCEN'!$F$33,IF('IN_COST'!$G$40="CPI",'ENG_SCEN'!$F$32,1))))),IF('IN_COST'!$E$40="ANNUAL",'IN_COST'!$F$40*IF('IN_COST'!$G$40="FX",'ENG_SCEN'!$F$36,IF('IN_COST'!$G$40="PPI",'ENG_SCEN'!$F$35,IF('IN_COST'!$G$40="ENERGY",'ENG_SCEN'!$F$34,IF('IN_COST'!$G$40="WAGE",'ENG_SCEN'!$F$33,IF('IN_COST'!$G$40="CPI",'ENG_SCEN'!$F$32,1))))),IF('IN_COST'!$E$40="PCT_REV",'ENG_OPS'!$F$81*'IN_COST'!$F$40,IF('IN_COST'!$E$40="PCT_ASSET",'ENG_CAPEX'!$F$84*'IN_COST'!$F$40,IF('IN_COST'!$E$40="DEP",'ENG_CAPEX'!$F$81,IF('IN_COST'!$E$40="PAY",INDEX('IN_COST'!$D$15:$D$19,IFERROR(VALUE(MID('IN_COST'!$F$40,FIND(":",'IN_COST'!$F$40)+1,2)),1))*INDEX('IN_COST'!$E$15:$E$19,IFERROR(VALUE(MID('IN_COST'!$F$40,FIND(":",'IN_COST'!$F$40)+1,2)),1))*'IN_COST'!$D$10*'IN_COST'!$D$11*'ENG_SCEN'!$F$33,IF('IN_COST'!$E$40="SRV",SUM(INDEX('ENG_ALLOC'!$D$29:$P$58,(IFERROR(VALUE(MID('IN_COST'!$F$40,FIND(":",'IN_COST'!$F$40)+1,2)),1)-1)*6+1,3):INDEX('ENG_ALLOC'!$D$29:$P$58,IFERROR(VALUE(MID('IN_COST'!$F$40,FIND(":",'IN_COST'!$F$40)+1,2)),1)*6,3)),0)))))))))))*IF('IN_COST'!$E$40="DEP",'ENG_SCEN'!$G$16,IF('IN_COST'!$I$40="V",IF('IN_COST'!$E$40="SCRAP_LME",'ENG_SCEN'!$G$13,'ENG_SCEN'!$G$14),'ENG_SCEN'!$G$15))</f>
        <v/>
      </c>
      <c r="G54" s="33">
        <f>'IN_MACRO'!$G$34*IF('IN_COST'!$E$40="SCRAP_LME",'ENG_OPS'!$G$20*'IN_COST'!$F$40*'ENG_SCEN'!$G$37,IF('IN_COST'!$E$40="PER_TON_BATT",'ENG_OPS'!$G$20*'IN_COST'!$F$40*IF('IN_COST'!$G$40="FX",'ENG_SCEN'!$G$36,IF('IN_COST'!$G$40="PPI",'ENG_SCEN'!$G$35,IF('IN_COST'!$G$40="ENERGY",'ENG_SCEN'!$G$34,IF('IN_COST'!$G$40="WAGE",'ENG_SCEN'!$G$33,IF('IN_COST'!$G$40="CPI",'ENG_SCEN'!$G$32,1))))),IF('IN_COST'!$E$40="PER_TON_PROD",'ENG_OPS'!$G$43*'IN_COST'!$F$40*IF('IN_COST'!$G$40="FX",'ENG_SCEN'!$G$36,IF('IN_COST'!$G$40="PPI",'ENG_SCEN'!$G$35,IF('IN_COST'!$G$40="ENERGY",'ENG_SCEN'!$G$34,IF('IN_COST'!$G$40="WAGE",'ENG_SCEN'!$G$33,IF('IN_COST'!$G$40="CPI",'ENG_SCEN'!$G$32,1))))),IF('IN_COST'!$E$40="PER_KWH",'ENG_OPS'!$G$63*'IN_COST'!$F$40*IF('IN_COST'!$G$40="FX",'ENG_SCEN'!$G$36,IF('IN_COST'!$G$40="PPI",'ENG_SCEN'!$G$35,IF('IN_COST'!$G$40="ENERGY",'ENG_SCEN'!$G$34,IF('IN_COST'!$G$40="WAGE",'ENG_SCEN'!$G$33,IF('IN_COST'!$G$40="CPI",'ENG_SCEN'!$G$32,1))))),IF('IN_COST'!$E$40="PER_M3",'ENG_OPS'!$G$64*'IN_COST'!$F$40*IF('IN_COST'!$G$40="FX",'ENG_SCEN'!$G$36,IF('IN_COST'!$G$40="PPI",'ENG_SCEN'!$G$35,IF('IN_COST'!$G$40="ENERGY",'ENG_SCEN'!$G$34,IF('IN_COST'!$G$40="WAGE",'ENG_SCEN'!$G$33,IF('IN_COST'!$G$40="CPI",'ENG_SCEN'!$G$32,1))))),IF('IN_COST'!$E$40="ANNUAL",'IN_COST'!$F$40*IF('IN_COST'!$G$40="FX",'ENG_SCEN'!$G$36,IF('IN_COST'!$G$40="PPI",'ENG_SCEN'!$G$35,IF('IN_COST'!$G$40="ENERGY",'ENG_SCEN'!$G$34,IF('IN_COST'!$G$40="WAGE",'ENG_SCEN'!$G$33,IF('IN_COST'!$G$40="CPI",'ENG_SCEN'!$G$32,1))))),IF('IN_COST'!$E$40="PCT_REV",'ENG_OPS'!$G$81*'IN_COST'!$F$40,IF('IN_COST'!$E$40="PCT_ASSET",'ENG_CAPEX'!$G$84*'IN_COST'!$F$40,IF('IN_COST'!$E$40="DEP",'ENG_CAPEX'!$G$81,IF('IN_COST'!$E$40="PAY",INDEX('IN_COST'!$D$15:$D$19,IFERROR(VALUE(MID('IN_COST'!$F$40,FIND(":",'IN_COST'!$F$40)+1,2)),1))*INDEX('IN_COST'!$E$15:$E$19,IFERROR(VALUE(MID('IN_COST'!$F$40,FIND(":",'IN_COST'!$F$40)+1,2)),1))*'IN_COST'!$D$10*'IN_COST'!$D$11*'ENG_SCEN'!$G$33,IF('IN_COST'!$E$40="SRV",SUM(INDEX('ENG_ALLOC'!$D$29:$P$58,(IFERROR(VALUE(MID('IN_COST'!$F$40,FIND(":",'IN_COST'!$F$40)+1,2)),1)-1)*6+1,4):INDEX('ENG_ALLOC'!$D$29:$P$58,IFERROR(VALUE(MID('IN_COST'!$F$40,FIND(":",'IN_COST'!$F$40)+1,2)),1)*6,4)),0)))))))))))*IF('IN_COST'!$E$40="DEP",'ENG_SCEN'!$G$16,IF('IN_COST'!$I$40="V",IF('IN_COST'!$E$40="SCRAP_LME",'ENG_SCEN'!$G$13,'ENG_SCEN'!$G$14),'ENG_SCEN'!$G$15))</f>
        <v/>
      </c>
      <c r="H54" s="33">
        <f>'IN_MACRO'!$H$34*IF('IN_COST'!$E$40="SCRAP_LME",'ENG_OPS'!$H$20*'IN_COST'!$F$40*'ENG_SCEN'!$H$37,IF('IN_COST'!$E$40="PER_TON_BATT",'ENG_OPS'!$H$20*'IN_COST'!$F$40*IF('IN_COST'!$G$40="FX",'ENG_SCEN'!$H$36,IF('IN_COST'!$G$40="PPI",'ENG_SCEN'!$H$35,IF('IN_COST'!$G$40="ENERGY",'ENG_SCEN'!$H$34,IF('IN_COST'!$G$40="WAGE",'ENG_SCEN'!$H$33,IF('IN_COST'!$G$40="CPI",'ENG_SCEN'!$H$32,1))))),IF('IN_COST'!$E$40="PER_TON_PROD",'ENG_OPS'!$H$43*'IN_COST'!$F$40*IF('IN_COST'!$G$40="FX",'ENG_SCEN'!$H$36,IF('IN_COST'!$G$40="PPI",'ENG_SCEN'!$H$35,IF('IN_COST'!$G$40="ENERGY",'ENG_SCEN'!$H$34,IF('IN_COST'!$G$40="WAGE",'ENG_SCEN'!$H$33,IF('IN_COST'!$G$40="CPI",'ENG_SCEN'!$H$32,1))))),IF('IN_COST'!$E$40="PER_KWH",'ENG_OPS'!$H$63*'IN_COST'!$F$40*IF('IN_COST'!$G$40="FX",'ENG_SCEN'!$H$36,IF('IN_COST'!$G$40="PPI",'ENG_SCEN'!$H$35,IF('IN_COST'!$G$40="ENERGY",'ENG_SCEN'!$H$34,IF('IN_COST'!$G$40="WAGE",'ENG_SCEN'!$H$33,IF('IN_COST'!$G$40="CPI",'ENG_SCEN'!$H$32,1))))),IF('IN_COST'!$E$40="PER_M3",'ENG_OPS'!$H$64*'IN_COST'!$F$40*IF('IN_COST'!$G$40="FX",'ENG_SCEN'!$H$36,IF('IN_COST'!$G$40="PPI",'ENG_SCEN'!$H$35,IF('IN_COST'!$G$40="ENERGY",'ENG_SCEN'!$H$34,IF('IN_COST'!$G$40="WAGE",'ENG_SCEN'!$H$33,IF('IN_COST'!$G$40="CPI",'ENG_SCEN'!$H$32,1))))),IF('IN_COST'!$E$40="ANNUAL",'IN_COST'!$F$40*IF('IN_COST'!$G$40="FX",'ENG_SCEN'!$H$36,IF('IN_COST'!$G$40="PPI",'ENG_SCEN'!$H$35,IF('IN_COST'!$G$40="ENERGY",'ENG_SCEN'!$H$34,IF('IN_COST'!$G$40="WAGE",'ENG_SCEN'!$H$33,IF('IN_COST'!$G$40="CPI",'ENG_SCEN'!$H$32,1))))),IF('IN_COST'!$E$40="PCT_REV",'ENG_OPS'!$H$81*'IN_COST'!$F$40,IF('IN_COST'!$E$40="PCT_ASSET",'ENG_CAPEX'!$H$84*'IN_COST'!$F$40,IF('IN_COST'!$E$40="DEP",'ENG_CAPEX'!$H$81,IF('IN_COST'!$E$40="PAY",INDEX('IN_COST'!$D$15:$D$19,IFERROR(VALUE(MID('IN_COST'!$F$40,FIND(":",'IN_COST'!$F$40)+1,2)),1))*INDEX('IN_COST'!$E$15:$E$19,IFERROR(VALUE(MID('IN_COST'!$F$40,FIND(":",'IN_COST'!$F$40)+1,2)),1))*'IN_COST'!$D$10*'IN_COST'!$D$11*'ENG_SCEN'!$H$33,IF('IN_COST'!$E$40="SRV",SUM(INDEX('ENG_ALLOC'!$D$29:$P$58,(IFERROR(VALUE(MID('IN_COST'!$F$40,FIND(":",'IN_COST'!$F$40)+1,2)),1)-1)*6+1,5):INDEX('ENG_ALLOC'!$D$29:$P$58,IFERROR(VALUE(MID('IN_COST'!$F$40,FIND(":",'IN_COST'!$F$40)+1,2)),1)*6,5)),0)))))))))))*IF('IN_COST'!$E$40="DEP",'ENG_SCEN'!$G$16,IF('IN_COST'!$I$40="V",IF('IN_COST'!$E$40="SCRAP_LME",'ENG_SCEN'!$G$13,'ENG_SCEN'!$G$14),'ENG_SCEN'!$G$15))</f>
        <v/>
      </c>
      <c r="I54" s="33">
        <f>'IN_MACRO'!$I$34*IF('IN_COST'!$E$40="SCRAP_LME",'ENG_OPS'!$I$20*'IN_COST'!$F$40*'ENG_SCEN'!$I$37,IF('IN_COST'!$E$40="PER_TON_BATT",'ENG_OPS'!$I$20*'IN_COST'!$F$40*IF('IN_COST'!$G$40="FX",'ENG_SCEN'!$I$36,IF('IN_COST'!$G$40="PPI",'ENG_SCEN'!$I$35,IF('IN_COST'!$G$40="ENERGY",'ENG_SCEN'!$I$34,IF('IN_COST'!$G$40="WAGE",'ENG_SCEN'!$I$33,IF('IN_COST'!$G$40="CPI",'ENG_SCEN'!$I$32,1))))),IF('IN_COST'!$E$40="PER_TON_PROD",'ENG_OPS'!$I$43*'IN_COST'!$F$40*IF('IN_COST'!$G$40="FX",'ENG_SCEN'!$I$36,IF('IN_COST'!$G$40="PPI",'ENG_SCEN'!$I$35,IF('IN_COST'!$G$40="ENERGY",'ENG_SCEN'!$I$34,IF('IN_COST'!$G$40="WAGE",'ENG_SCEN'!$I$33,IF('IN_COST'!$G$40="CPI",'ENG_SCEN'!$I$32,1))))),IF('IN_COST'!$E$40="PER_KWH",'ENG_OPS'!$I$63*'IN_COST'!$F$40*IF('IN_COST'!$G$40="FX",'ENG_SCEN'!$I$36,IF('IN_COST'!$G$40="PPI",'ENG_SCEN'!$I$35,IF('IN_COST'!$G$40="ENERGY",'ENG_SCEN'!$I$34,IF('IN_COST'!$G$40="WAGE",'ENG_SCEN'!$I$33,IF('IN_COST'!$G$40="CPI",'ENG_SCEN'!$I$32,1))))),IF('IN_COST'!$E$40="PER_M3",'ENG_OPS'!$I$64*'IN_COST'!$F$40*IF('IN_COST'!$G$40="FX",'ENG_SCEN'!$I$36,IF('IN_COST'!$G$40="PPI",'ENG_SCEN'!$I$35,IF('IN_COST'!$G$40="ENERGY",'ENG_SCEN'!$I$34,IF('IN_COST'!$G$40="WAGE",'ENG_SCEN'!$I$33,IF('IN_COST'!$G$40="CPI",'ENG_SCEN'!$I$32,1))))),IF('IN_COST'!$E$40="ANNUAL",'IN_COST'!$F$40*IF('IN_COST'!$G$40="FX",'ENG_SCEN'!$I$36,IF('IN_COST'!$G$40="PPI",'ENG_SCEN'!$I$35,IF('IN_COST'!$G$40="ENERGY",'ENG_SCEN'!$I$34,IF('IN_COST'!$G$40="WAGE",'ENG_SCEN'!$I$33,IF('IN_COST'!$G$40="CPI",'ENG_SCEN'!$I$32,1))))),IF('IN_COST'!$E$40="PCT_REV",'ENG_OPS'!$I$81*'IN_COST'!$F$40,IF('IN_COST'!$E$40="PCT_ASSET",'ENG_CAPEX'!$I$84*'IN_COST'!$F$40,IF('IN_COST'!$E$40="DEP",'ENG_CAPEX'!$I$81,IF('IN_COST'!$E$40="PAY",INDEX('IN_COST'!$D$15:$D$19,IFERROR(VALUE(MID('IN_COST'!$F$40,FIND(":",'IN_COST'!$F$40)+1,2)),1))*INDEX('IN_COST'!$E$15:$E$19,IFERROR(VALUE(MID('IN_COST'!$F$40,FIND(":",'IN_COST'!$F$40)+1,2)),1))*'IN_COST'!$D$10*'IN_COST'!$D$11*'ENG_SCEN'!$I$33,IF('IN_COST'!$E$40="SRV",SUM(INDEX('ENG_ALLOC'!$D$29:$P$58,(IFERROR(VALUE(MID('IN_COST'!$F$40,FIND(":",'IN_COST'!$F$40)+1,2)),1)-1)*6+1,6):INDEX('ENG_ALLOC'!$D$29:$P$58,IFERROR(VALUE(MID('IN_COST'!$F$40,FIND(":",'IN_COST'!$F$40)+1,2)),1)*6,6)),0)))))))))))*IF('IN_COST'!$E$40="DEP",'ENG_SCEN'!$G$16,IF('IN_COST'!$I$40="V",IF('IN_COST'!$E$40="SCRAP_LME",'ENG_SCEN'!$G$13,'ENG_SCEN'!$G$14),'ENG_SCEN'!$G$15))</f>
        <v/>
      </c>
      <c r="J54" s="33">
        <f>'IN_MACRO'!$J$34*IF('IN_COST'!$E$40="SCRAP_LME",'ENG_OPS'!$J$20*'IN_COST'!$F$40*'ENG_SCEN'!$J$37,IF('IN_COST'!$E$40="PER_TON_BATT",'ENG_OPS'!$J$20*'IN_COST'!$F$40*IF('IN_COST'!$G$40="FX",'ENG_SCEN'!$J$36,IF('IN_COST'!$G$40="PPI",'ENG_SCEN'!$J$35,IF('IN_COST'!$G$40="ENERGY",'ENG_SCEN'!$J$34,IF('IN_COST'!$G$40="WAGE",'ENG_SCEN'!$J$33,IF('IN_COST'!$G$40="CPI",'ENG_SCEN'!$J$32,1))))),IF('IN_COST'!$E$40="PER_TON_PROD",'ENG_OPS'!$J$43*'IN_COST'!$F$40*IF('IN_COST'!$G$40="FX",'ENG_SCEN'!$J$36,IF('IN_COST'!$G$40="PPI",'ENG_SCEN'!$J$35,IF('IN_COST'!$G$40="ENERGY",'ENG_SCEN'!$J$34,IF('IN_COST'!$G$40="WAGE",'ENG_SCEN'!$J$33,IF('IN_COST'!$G$40="CPI",'ENG_SCEN'!$J$32,1))))),IF('IN_COST'!$E$40="PER_KWH",'ENG_OPS'!$J$63*'IN_COST'!$F$40*IF('IN_COST'!$G$40="FX",'ENG_SCEN'!$J$36,IF('IN_COST'!$G$40="PPI",'ENG_SCEN'!$J$35,IF('IN_COST'!$G$40="ENERGY",'ENG_SCEN'!$J$34,IF('IN_COST'!$G$40="WAGE",'ENG_SCEN'!$J$33,IF('IN_COST'!$G$40="CPI",'ENG_SCEN'!$J$32,1))))),IF('IN_COST'!$E$40="PER_M3",'ENG_OPS'!$J$64*'IN_COST'!$F$40*IF('IN_COST'!$G$40="FX",'ENG_SCEN'!$J$36,IF('IN_COST'!$G$40="PPI",'ENG_SCEN'!$J$35,IF('IN_COST'!$G$40="ENERGY",'ENG_SCEN'!$J$34,IF('IN_COST'!$G$40="WAGE",'ENG_SCEN'!$J$33,IF('IN_COST'!$G$40="CPI",'ENG_SCEN'!$J$32,1))))),IF('IN_COST'!$E$40="ANNUAL",'IN_COST'!$F$40*IF('IN_COST'!$G$40="FX",'ENG_SCEN'!$J$36,IF('IN_COST'!$G$40="PPI",'ENG_SCEN'!$J$35,IF('IN_COST'!$G$40="ENERGY",'ENG_SCEN'!$J$34,IF('IN_COST'!$G$40="WAGE",'ENG_SCEN'!$J$33,IF('IN_COST'!$G$40="CPI",'ENG_SCEN'!$J$32,1))))),IF('IN_COST'!$E$40="PCT_REV",'ENG_OPS'!$J$81*'IN_COST'!$F$40,IF('IN_COST'!$E$40="PCT_ASSET",'ENG_CAPEX'!$J$84*'IN_COST'!$F$40,IF('IN_COST'!$E$40="DEP",'ENG_CAPEX'!$J$81,IF('IN_COST'!$E$40="PAY",INDEX('IN_COST'!$D$15:$D$19,IFERROR(VALUE(MID('IN_COST'!$F$40,FIND(":",'IN_COST'!$F$40)+1,2)),1))*INDEX('IN_COST'!$E$15:$E$19,IFERROR(VALUE(MID('IN_COST'!$F$40,FIND(":",'IN_COST'!$F$40)+1,2)),1))*'IN_COST'!$D$10*'IN_COST'!$D$11*'ENG_SCEN'!$J$33,IF('IN_COST'!$E$40="SRV",SUM(INDEX('ENG_ALLOC'!$D$29:$P$58,(IFERROR(VALUE(MID('IN_COST'!$F$40,FIND(":",'IN_COST'!$F$40)+1,2)),1)-1)*6+1,7):INDEX('ENG_ALLOC'!$D$29:$P$58,IFERROR(VALUE(MID('IN_COST'!$F$40,FIND(":",'IN_COST'!$F$40)+1,2)),1)*6,7)),0)))))))))))*IF('IN_COST'!$E$40="DEP",'ENG_SCEN'!$G$16,IF('IN_COST'!$I$40="V",IF('IN_COST'!$E$40="SCRAP_LME",'ENG_SCEN'!$G$13,'ENG_SCEN'!$G$14),'ENG_SCEN'!$G$15))</f>
        <v/>
      </c>
      <c r="K54" s="33">
        <f>'IN_MACRO'!$K$34*IF('IN_COST'!$E$40="SCRAP_LME",'ENG_OPS'!$K$20*'IN_COST'!$F$40*'ENG_SCEN'!$K$37,IF('IN_COST'!$E$40="PER_TON_BATT",'ENG_OPS'!$K$20*'IN_COST'!$F$40*IF('IN_COST'!$G$40="FX",'ENG_SCEN'!$K$36,IF('IN_COST'!$G$40="PPI",'ENG_SCEN'!$K$35,IF('IN_COST'!$G$40="ENERGY",'ENG_SCEN'!$K$34,IF('IN_COST'!$G$40="WAGE",'ENG_SCEN'!$K$33,IF('IN_COST'!$G$40="CPI",'ENG_SCEN'!$K$32,1))))),IF('IN_COST'!$E$40="PER_TON_PROD",'ENG_OPS'!$K$43*'IN_COST'!$F$40*IF('IN_COST'!$G$40="FX",'ENG_SCEN'!$K$36,IF('IN_COST'!$G$40="PPI",'ENG_SCEN'!$K$35,IF('IN_COST'!$G$40="ENERGY",'ENG_SCEN'!$K$34,IF('IN_COST'!$G$40="WAGE",'ENG_SCEN'!$K$33,IF('IN_COST'!$G$40="CPI",'ENG_SCEN'!$K$32,1))))),IF('IN_COST'!$E$40="PER_KWH",'ENG_OPS'!$K$63*'IN_COST'!$F$40*IF('IN_COST'!$G$40="FX",'ENG_SCEN'!$K$36,IF('IN_COST'!$G$40="PPI",'ENG_SCEN'!$K$35,IF('IN_COST'!$G$40="ENERGY",'ENG_SCEN'!$K$34,IF('IN_COST'!$G$40="WAGE",'ENG_SCEN'!$K$33,IF('IN_COST'!$G$40="CPI",'ENG_SCEN'!$K$32,1))))),IF('IN_COST'!$E$40="PER_M3",'ENG_OPS'!$K$64*'IN_COST'!$F$40*IF('IN_COST'!$G$40="FX",'ENG_SCEN'!$K$36,IF('IN_COST'!$G$40="PPI",'ENG_SCEN'!$K$35,IF('IN_COST'!$G$40="ENERGY",'ENG_SCEN'!$K$34,IF('IN_COST'!$G$40="WAGE",'ENG_SCEN'!$K$33,IF('IN_COST'!$G$40="CPI",'ENG_SCEN'!$K$32,1))))),IF('IN_COST'!$E$40="ANNUAL",'IN_COST'!$F$40*IF('IN_COST'!$G$40="FX",'ENG_SCEN'!$K$36,IF('IN_COST'!$G$40="PPI",'ENG_SCEN'!$K$35,IF('IN_COST'!$G$40="ENERGY",'ENG_SCEN'!$K$34,IF('IN_COST'!$G$40="WAGE",'ENG_SCEN'!$K$33,IF('IN_COST'!$G$40="CPI",'ENG_SCEN'!$K$32,1))))),IF('IN_COST'!$E$40="PCT_REV",'ENG_OPS'!$K$81*'IN_COST'!$F$40,IF('IN_COST'!$E$40="PCT_ASSET",'ENG_CAPEX'!$K$84*'IN_COST'!$F$40,IF('IN_COST'!$E$40="DEP",'ENG_CAPEX'!$K$81,IF('IN_COST'!$E$40="PAY",INDEX('IN_COST'!$D$15:$D$19,IFERROR(VALUE(MID('IN_COST'!$F$40,FIND(":",'IN_COST'!$F$40)+1,2)),1))*INDEX('IN_COST'!$E$15:$E$19,IFERROR(VALUE(MID('IN_COST'!$F$40,FIND(":",'IN_COST'!$F$40)+1,2)),1))*'IN_COST'!$D$10*'IN_COST'!$D$11*'ENG_SCEN'!$K$33,IF('IN_COST'!$E$40="SRV",SUM(INDEX('ENG_ALLOC'!$D$29:$P$58,(IFERROR(VALUE(MID('IN_COST'!$F$40,FIND(":",'IN_COST'!$F$40)+1,2)),1)-1)*6+1,8):INDEX('ENG_ALLOC'!$D$29:$P$58,IFERROR(VALUE(MID('IN_COST'!$F$40,FIND(":",'IN_COST'!$F$40)+1,2)),1)*6,8)),0)))))))))))*IF('IN_COST'!$E$40="DEP",'ENG_SCEN'!$G$16,IF('IN_COST'!$I$40="V",IF('IN_COST'!$E$40="SCRAP_LME",'ENG_SCEN'!$G$13,'ENG_SCEN'!$G$14),'ENG_SCEN'!$G$15))</f>
        <v/>
      </c>
      <c r="L54" s="33">
        <f>'IN_MACRO'!$L$34*IF('IN_COST'!$E$40="SCRAP_LME",'ENG_OPS'!$L$20*'IN_COST'!$F$40*'ENG_SCEN'!$L$37,IF('IN_COST'!$E$40="PER_TON_BATT",'ENG_OPS'!$L$20*'IN_COST'!$F$40*IF('IN_COST'!$G$40="FX",'ENG_SCEN'!$L$36,IF('IN_COST'!$G$40="PPI",'ENG_SCEN'!$L$35,IF('IN_COST'!$G$40="ENERGY",'ENG_SCEN'!$L$34,IF('IN_COST'!$G$40="WAGE",'ENG_SCEN'!$L$33,IF('IN_COST'!$G$40="CPI",'ENG_SCEN'!$L$32,1))))),IF('IN_COST'!$E$40="PER_TON_PROD",'ENG_OPS'!$L$43*'IN_COST'!$F$40*IF('IN_COST'!$G$40="FX",'ENG_SCEN'!$L$36,IF('IN_COST'!$G$40="PPI",'ENG_SCEN'!$L$35,IF('IN_COST'!$G$40="ENERGY",'ENG_SCEN'!$L$34,IF('IN_COST'!$G$40="WAGE",'ENG_SCEN'!$L$33,IF('IN_COST'!$G$40="CPI",'ENG_SCEN'!$L$32,1))))),IF('IN_COST'!$E$40="PER_KWH",'ENG_OPS'!$L$63*'IN_COST'!$F$40*IF('IN_COST'!$G$40="FX",'ENG_SCEN'!$L$36,IF('IN_COST'!$G$40="PPI",'ENG_SCEN'!$L$35,IF('IN_COST'!$G$40="ENERGY",'ENG_SCEN'!$L$34,IF('IN_COST'!$G$40="WAGE",'ENG_SCEN'!$L$33,IF('IN_COST'!$G$40="CPI",'ENG_SCEN'!$L$32,1))))),IF('IN_COST'!$E$40="PER_M3",'ENG_OPS'!$L$64*'IN_COST'!$F$40*IF('IN_COST'!$G$40="FX",'ENG_SCEN'!$L$36,IF('IN_COST'!$G$40="PPI",'ENG_SCEN'!$L$35,IF('IN_COST'!$G$40="ENERGY",'ENG_SCEN'!$L$34,IF('IN_COST'!$G$40="WAGE",'ENG_SCEN'!$L$33,IF('IN_COST'!$G$40="CPI",'ENG_SCEN'!$L$32,1))))),IF('IN_COST'!$E$40="ANNUAL",'IN_COST'!$F$40*IF('IN_COST'!$G$40="FX",'ENG_SCEN'!$L$36,IF('IN_COST'!$G$40="PPI",'ENG_SCEN'!$L$35,IF('IN_COST'!$G$40="ENERGY",'ENG_SCEN'!$L$34,IF('IN_COST'!$G$40="WAGE",'ENG_SCEN'!$L$33,IF('IN_COST'!$G$40="CPI",'ENG_SCEN'!$L$32,1))))),IF('IN_COST'!$E$40="PCT_REV",'ENG_OPS'!$L$81*'IN_COST'!$F$40,IF('IN_COST'!$E$40="PCT_ASSET",'ENG_CAPEX'!$L$84*'IN_COST'!$F$40,IF('IN_COST'!$E$40="DEP",'ENG_CAPEX'!$L$81,IF('IN_COST'!$E$40="PAY",INDEX('IN_COST'!$D$15:$D$19,IFERROR(VALUE(MID('IN_COST'!$F$40,FIND(":",'IN_COST'!$F$40)+1,2)),1))*INDEX('IN_COST'!$E$15:$E$19,IFERROR(VALUE(MID('IN_COST'!$F$40,FIND(":",'IN_COST'!$F$40)+1,2)),1))*'IN_COST'!$D$10*'IN_COST'!$D$11*'ENG_SCEN'!$L$33,IF('IN_COST'!$E$40="SRV",SUM(INDEX('ENG_ALLOC'!$D$29:$P$58,(IFERROR(VALUE(MID('IN_COST'!$F$40,FIND(":",'IN_COST'!$F$40)+1,2)),1)-1)*6+1,9):INDEX('ENG_ALLOC'!$D$29:$P$58,IFERROR(VALUE(MID('IN_COST'!$F$40,FIND(":",'IN_COST'!$F$40)+1,2)),1)*6,9)),0)))))))))))*IF('IN_COST'!$E$40="DEP",'ENG_SCEN'!$G$16,IF('IN_COST'!$I$40="V",IF('IN_COST'!$E$40="SCRAP_LME",'ENG_SCEN'!$G$13,'ENG_SCEN'!$G$14),'ENG_SCEN'!$G$15))</f>
        <v/>
      </c>
      <c r="M54" s="33">
        <f>'IN_MACRO'!$M$34*IF('IN_COST'!$E$40="SCRAP_LME",'ENG_OPS'!$M$20*'IN_COST'!$F$40*'ENG_SCEN'!$M$37,IF('IN_COST'!$E$40="PER_TON_BATT",'ENG_OPS'!$M$20*'IN_COST'!$F$40*IF('IN_COST'!$G$40="FX",'ENG_SCEN'!$M$36,IF('IN_COST'!$G$40="PPI",'ENG_SCEN'!$M$35,IF('IN_COST'!$G$40="ENERGY",'ENG_SCEN'!$M$34,IF('IN_COST'!$G$40="WAGE",'ENG_SCEN'!$M$33,IF('IN_COST'!$G$40="CPI",'ENG_SCEN'!$M$32,1))))),IF('IN_COST'!$E$40="PER_TON_PROD",'ENG_OPS'!$M$43*'IN_COST'!$F$40*IF('IN_COST'!$G$40="FX",'ENG_SCEN'!$M$36,IF('IN_COST'!$G$40="PPI",'ENG_SCEN'!$M$35,IF('IN_COST'!$G$40="ENERGY",'ENG_SCEN'!$M$34,IF('IN_COST'!$G$40="WAGE",'ENG_SCEN'!$M$33,IF('IN_COST'!$G$40="CPI",'ENG_SCEN'!$M$32,1))))),IF('IN_COST'!$E$40="PER_KWH",'ENG_OPS'!$M$63*'IN_COST'!$F$40*IF('IN_COST'!$G$40="FX",'ENG_SCEN'!$M$36,IF('IN_COST'!$G$40="PPI",'ENG_SCEN'!$M$35,IF('IN_COST'!$G$40="ENERGY",'ENG_SCEN'!$M$34,IF('IN_COST'!$G$40="WAGE",'ENG_SCEN'!$M$33,IF('IN_COST'!$G$40="CPI",'ENG_SCEN'!$M$32,1))))),IF('IN_COST'!$E$40="PER_M3",'ENG_OPS'!$M$64*'IN_COST'!$F$40*IF('IN_COST'!$G$40="FX",'ENG_SCEN'!$M$36,IF('IN_COST'!$G$40="PPI",'ENG_SCEN'!$M$35,IF('IN_COST'!$G$40="ENERGY",'ENG_SCEN'!$M$34,IF('IN_COST'!$G$40="WAGE",'ENG_SCEN'!$M$33,IF('IN_COST'!$G$40="CPI",'ENG_SCEN'!$M$32,1))))),IF('IN_COST'!$E$40="ANNUAL",'IN_COST'!$F$40*IF('IN_COST'!$G$40="FX",'ENG_SCEN'!$M$36,IF('IN_COST'!$G$40="PPI",'ENG_SCEN'!$M$35,IF('IN_COST'!$G$40="ENERGY",'ENG_SCEN'!$M$34,IF('IN_COST'!$G$40="WAGE",'ENG_SCEN'!$M$33,IF('IN_COST'!$G$40="CPI",'ENG_SCEN'!$M$32,1))))),IF('IN_COST'!$E$40="PCT_REV",'ENG_OPS'!$M$81*'IN_COST'!$F$40,IF('IN_COST'!$E$40="PCT_ASSET",'ENG_CAPEX'!$M$84*'IN_COST'!$F$40,IF('IN_COST'!$E$40="DEP",'ENG_CAPEX'!$M$81,IF('IN_COST'!$E$40="PAY",INDEX('IN_COST'!$D$15:$D$19,IFERROR(VALUE(MID('IN_COST'!$F$40,FIND(":",'IN_COST'!$F$40)+1,2)),1))*INDEX('IN_COST'!$E$15:$E$19,IFERROR(VALUE(MID('IN_COST'!$F$40,FIND(":",'IN_COST'!$F$40)+1,2)),1))*'IN_COST'!$D$10*'IN_COST'!$D$11*'ENG_SCEN'!$M$33,IF('IN_COST'!$E$40="SRV",SUM(INDEX('ENG_ALLOC'!$D$29:$P$58,(IFERROR(VALUE(MID('IN_COST'!$F$40,FIND(":",'IN_COST'!$F$40)+1,2)),1)-1)*6+1,10):INDEX('ENG_ALLOC'!$D$29:$P$58,IFERROR(VALUE(MID('IN_COST'!$F$40,FIND(":",'IN_COST'!$F$40)+1,2)),1)*6,10)),0)))))))))))*IF('IN_COST'!$E$40="DEP",'ENG_SCEN'!$G$16,IF('IN_COST'!$I$40="V",IF('IN_COST'!$E$40="SCRAP_LME",'ENG_SCEN'!$G$13,'ENG_SCEN'!$G$14),'ENG_SCEN'!$G$15))</f>
        <v/>
      </c>
      <c r="N54" s="33">
        <f>'IN_MACRO'!$N$34*IF('IN_COST'!$E$40="SCRAP_LME",'ENG_OPS'!$N$20*'IN_COST'!$F$40*'ENG_SCEN'!$N$37,IF('IN_COST'!$E$40="PER_TON_BATT",'ENG_OPS'!$N$20*'IN_COST'!$F$40*IF('IN_COST'!$G$40="FX",'ENG_SCEN'!$N$36,IF('IN_COST'!$G$40="PPI",'ENG_SCEN'!$N$35,IF('IN_COST'!$G$40="ENERGY",'ENG_SCEN'!$N$34,IF('IN_COST'!$G$40="WAGE",'ENG_SCEN'!$N$33,IF('IN_COST'!$G$40="CPI",'ENG_SCEN'!$N$32,1))))),IF('IN_COST'!$E$40="PER_TON_PROD",'ENG_OPS'!$N$43*'IN_COST'!$F$40*IF('IN_COST'!$G$40="FX",'ENG_SCEN'!$N$36,IF('IN_COST'!$G$40="PPI",'ENG_SCEN'!$N$35,IF('IN_COST'!$G$40="ENERGY",'ENG_SCEN'!$N$34,IF('IN_COST'!$G$40="WAGE",'ENG_SCEN'!$N$33,IF('IN_COST'!$G$40="CPI",'ENG_SCEN'!$N$32,1))))),IF('IN_COST'!$E$40="PER_KWH",'ENG_OPS'!$N$63*'IN_COST'!$F$40*IF('IN_COST'!$G$40="FX",'ENG_SCEN'!$N$36,IF('IN_COST'!$G$40="PPI",'ENG_SCEN'!$N$35,IF('IN_COST'!$G$40="ENERGY",'ENG_SCEN'!$N$34,IF('IN_COST'!$G$40="WAGE",'ENG_SCEN'!$N$33,IF('IN_COST'!$G$40="CPI",'ENG_SCEN'!$N$32,1))))),IF('IN_COST'!$E$40="PER_M3",'ENG_OPS'!$N$64*'IN_COST'!$F$40*IF('IN_COST'!$G$40="FX",'ENG_SCEN'!$N$36,IF('IN_COST'!$G$40="PPI",'ENG_SCEN'!$N$35,IF('IN_COST'!$G$40="ENERGY",'ENG_SCEN'!$N$34,IF('IN_COST'!$G$40="WAGE",'ENG_SCEN'!$N$33,IF('IN_COST'!$G$40="CPI",'ENG_SCEN'!$N$32,1))))),IF('IN_COST'!$E$40="ANNUAL",'IN_COST'!$F$40*IF('IN_COST'!$G$40="FX",'ENG_SCEN'!$N$36,IF('IN_COST'!$G$40="PPI",'ENG_SCEN'!$N$35,IF('IN_COST'!$G$40="ENERGY",'ENG_SCEN'!$N$34,IF('IN_COST'!$G$40="WAGE",'ENG_SCEN'!$N$33,IF('IN_COST'!$G$40="CPI",'ENG_SCEN'!$N$32,1))))),IF('IN_COST'!$E$40="PCT_REV",'ENG_OPS'!$N$81*'IN_COST'!$F$40,IF('IN_COST'!$E$40="PCT_ASSET",'ENG_CAPEX'!$N$84*'IN_COST'!$F$40,IF('IN_COST'!$E$40="DEP",'ENG_CAPEX'!$N$81,IF('IN_COST'!$E$40="PAY",INDEX('IN_COST'!$D$15:$D$19,IFERROR(VALUE(MID('IN_COST'!$F$40,FIND(":",'IN_COST'!$F$40)+1,2)),1))*INDEX('IN_COST'!$E$15:$E$19,IFERROR(VALUE(MID('IN_COST'!$F$40,FIND(":",'IN_COST'!$F$40)+1,2)),1))*'IN_COST'!$D$10*'IN_COST'!$D$11*'ENG_SCEN'!$N$33,IF('IN_COST'!$E$40="SRV",SUM(INDEX('ENG_ALLOC'!$D$29:$P$58,(IFERROR(VALUE(MID('IN_COST'!$F$40,FIND(":",'IN_COST'!$F$40)+1,2)),1)-1)*6+1,11):INDEX('ENG_ALLOC'!$D$29:$P$58,IFERROR(VALUE(MID('IN_COST'!$F$40,FIND(":",'IN_COST'!$F$40)+1,2)),1)*6,11)),0)))))))))))*IF('IN_COST'!$E$40="DEP",'ENG_SCEN'!$G$16,IF('IN_COST'!$I$40="V",IF('IN_COST'!$E$40="SCRAP_LME",'ENG_SCEN'!$G$13,'ENG_SCEN'!$G$14),'ENG_SCEN'!$G$15))</f>
        <v/>
      </c>
      <c r="O54" s="33">
        <f>'IN_MACRO'!$O$34*IF('IN_COST'!$E$40="SCRAP_LME",'ENG_OPS'!$O$20*'IN_COST'!$F$40*'ENG_SCEN'!$O$37,IF('IN_COST'!$E$40="PER_TON_BATT",'ENG_OPS'!$O$20*'IN_COST'!$F$40*IF('IN_COST'!$G$40="FX",'ENG_SCEN'!$O$36,IF('IN_COST'!$G$40="PPI",'ENG_SCEN'!$O$35,IF('IN_COST'!$G$40="ENERGY",'ENG_SCEN'!$O$34,IF('IN_COST'!$G$40="WAGE",'ENG_SCEN'!$O$33,IF('IN_COST'!$G$40="CPI",'ENG_SCEN'!$O$32,1))))),IF('IN_COST'!$E$40="PER_TON_PROD",'ENG_OPS'!$O$43*'IN_COST'!$F$40*IF('IN_COST'!$G$40="FX",'ENG_SCEN'!$O$36,IF('IN_COST'!$G$40="PPI",'ENG_SCEN'!$O$35,IF('IN_COST'!$G$40="ENERGY",'ENG_SCEN'!$O$34,IF('IN_COST'!$G$40="WAGE",'ENG_SCEN'!$O$33,IF('IN_COST'!$G$40="CPI",'ENG_SCEN'!$O$32,1))))),IF('IN_COST'!$E$40="PER_KWH",'ENG_OPS'!$O$63*'IN_COST'!$F$40*IF('IN_COST'!$G$40="FX",'ENG_SCEN'!$O$36,IF('IN_COST'!$G$40="PPI",'ENG_SCEN'!$O$35,IF('IN_COST'!$G$40="ENERGY",'ENG_SCEN'!$O$34,IF('IN_COST'!$G$40="WAGE",'ENG_SCEN'!$O$33,IF('IN_COST'!$G$40="CPI",'ENG_SCEN'!$O$32,1))))),IF('IN_COST'!$E$40="PER_M3",'ENG_OPS'!$O$64*'IN_COST'!$F$40*IF('IN_COST'!$G$40="FX",'ENG_SCEN'!$O$36,IF('IN_COST'!$G$40="PPI",'ENG_SCEN'!$O$35,IF('IN_COST'!$G$40="ENERGY",'ENG_SCEN'!$O$34,IF('IN_COST'!$G$40="WAGE",'ENG_SCEN'!$O$33,IF('IN_COST'!$G$40="CPI",'ENG_SCEN'!$O$32,1))))),IF('IN_COST'!$E$40="ANNUAL",'IN_COST'!$F$40*IF('IN_COST'!$G$40="FX",'ENG_SCEN'!$O$36,IF('IN_COST'!$G$40="PPI",'ENG_SCEN'!$O$35,IF('IN_COST'!$G$40="ENERGY",'ENG_SCEN'!$O$34,IF('IN_COST'!$G$40="WAGE",'ENG_SCEN'!$O$33,IF('IN_COST'!$G$40="CPI",'ENG_SCEN'!$O$32,1))))),IF('IN_COST'!$E$40="PCT_REV",'ENG_OPS'!$O$81*'IN_COST'!$F$40,IF('IN_COST'!$E$40="PCT_ASSET",'ENG_CAPEX'!$O$84*'IN_COST'!$F$40,IF('IN_COST'!$E$40="DEP",'ENG_CAPEX'!$O$81,IF('IN_COST'!$E$40="PAY",INDEX('IN_COST'!$D$15:$D$19,IFERROR(VALUE(MID('IN_COST'!$F$40,FIND(":",'IN_COST'!$F$40)+1,2)),1))*INDEX('IN_COST'!$E$15:$E$19,IFERROR(VALUE(MID('IN_COST'!$F$40,FIND(":",'IN_COST'!$F$40)+1,2)),1))*'IN_COST'!$D$10*'IN_COST'!$D$11*'ENG_SCEN'!$O$33,IF('IN_COST'!$E$40="SRV",SUM(INDEX('ENG_ALLOC'!$D$29:$P$58,(IFERROR(VALUE(MID('IN_COST'!$F$40,FIND(":",'IN_COST'!$F$40)+1,2)),1)-1)*6+1,12):INDEX('ENG_ALLOC'!$D$29:$P$58,IFERROR(VALUE(MID('IN_COST'!$F$40,FIND(":",'IN_COST'!$F$40)+1,2)),1)*6,12)),0)))))))))))*IF('IN_COST'!$E$40="DEP",'ENG_SCEN'!$G$16,IF('IN_COST'!$I$40="V",IF('IN_COST'!$E$40="SCRAP_LME",'ENG_SCEN'!$G$13,'ENG_SCEN'!$G$14),'ENG_SCEN'!$G$15))</f>
        <v/>
      </c>
      <c r="P54" s="33">
        <f>'IN_MACRO'!$P$34*IF('IN_COST'!$E$40="SCRAP_LME",'ENG_OPS'!$P$20*'IN_COST'!$F$40*'ENG_SCEN'!$P$37,IF('IN_COST'!$E$40="PER_TON_BATT",'ENG_OPS'!$P$20*'IN_COST'!$F$40*IF('IN_COST'!$G$40="FX",'ENG_SCEN'!$P$36,IF('IN_COST'!$G$40="PPI",'ENG_SCEN'!$P$35,IF('IN_COST'!$G$40="ENERGY",'ENG_SCEN'!$P$34,IF('IN_COST'!$G$40="WAGE",'ENG_SCEN'!$P$33,IF('IN_COST'!$G$40="CPI",'ENG_SCEN'!$P$32,1))))),IF('IN_COST'!$E$40="PER_TON_PROD",'ENG_OPS'!$P$43*'IN_COST'!$F$40*IF('IN_COST'!$G$40="FX",'ENG_SCEN'!$P$36,IF('IN_COST'!$G$40="PPI",'ENG_SCEN'!$P$35,IF('IN_COST'!$G$40="ENERGY",'ENG_SCEN'!$P$34,IF('IN_COST'!$G$40="WAGE",'ENG_SCEN'!$P$33,IF('IN_COST'!$G$40="CPI",'ENG_SCEN'!$P$32,1))))),IF('IN_COST'!$E$40="PER_KWH",'ENG_OPS'!$P$63*'IN_COST'!$F$40*IF('IN_COST'!$G$40="FX",'ENG_SCEN'!$P$36,IF('IN_COST'!$G$40="PPI",'ENG_SCEN'!$P$35,IF('IN_COST'!$G$40="ENERGY",'ENG_SCEN'!$P$34,IF('IN_COST'!$G$40="WAGE",'ENG_SCEN'!$P$33,IF('IN_COST'!$G$40="CPI",'ENG_SCEN'!$P$32,1))))),IF('IN_COST'!$E$40="PER_M3",'ENG_OPS'!$P$64*'IN_COST'!$F$40*IF('IN_COST'!$G$40="FX",'ENG_SCEN'!$P$36,IF('IN_COST'!$G$40="PPI",'ENG_SCEN'!$P$35,IF('IN_COST'!$G$40="ENERGY",'ENG_SCEN'!$P$34,IF('IN_COST'!$G$40="WAGE",'ENG_SCEN'!$P$33,IF('IN_COST'!$G$40="CPI",'ENG_SCEN'!$P$32,1))))),IF('IN_COST'!$E$40="ANNUAL",'IN_COST'!$F$40*IF('IN_COST'!$G$40="FX",'ENG_SCEN'!$P$36,IF('IN_COST'!$G$40="PPI",'ENG_SCEN'!$P$35,IF('IN_COST'!$G$40="ENERGY",'ENG_SCEN'!$P$34,IF('IN_COST'!$G$40="WAGE",'ENG_SCEN'!$P$33,IF('IN_COST'!$G$40="CPI",'ENG_SCEN'!$P$32,1))))),IF('IN_COST'!$E$40="PCT_REV",'ENG_OPS'!$P$81*'IN_COST'!$F$40,IF('IN_COST'!$E$40="PCT_ASSET",'ENG_CAPEX'!$P$84*'IN_COST'!$F$40,IF('IN_COST'!$E$40="DEP",'ENG_CAPEX'!$P$81,IF('IN_COST'!$E$40="PAY",INDEX('IN_COST'!$D$15:$D$19,IFERROR(VALUE(MID('IN_COST'!$F$40,FIND(":",'IN_COST'!$F$40)+1,2)),1))*INDEX('IN_COST'!$E$15:$E$19,IFERROR(VALUE(MID('IN_COST'!$F$40,FIND(":",'IN_COST'!$F$40)+1,2)),1))*'IN_COST'!$D$10*'IN_COST'!$D$11*'ENG_SCEN'!$P$33,IF('IN_COST'!$E$40="SRV",SUM(INDEX('ENG_ALLOC'!$D$29:$P$58,(IFERROR(VALUE(MID('IN_COST'!$F$40,FIND(":",'IN_COST'!$F$40)+1,2)),1)-1)*6+1,13):INDEX('ENG_ALLOC'!$D$29:$P$58,IFERROR(VALUE(MID('IN_COST'!$F$40,FIND(":",'IN_COST'!$F$40)+1,2)),1)*6,13)),0)))))))))))*IF('IN_COST'!$E$40="DEP",'ENG_SCEN'!$G$16,IF('IN_COST'!$I$40="V",IF('IN_COST'!$E$40="SCRAP_LME",'ENG_SCEN'!$G$13,'ENG_SCEN'!$G$14),'ENG_SCEN'!$G$15))</f>
        <v/>
      </c>
    </row>
    <row r="55">
      <c r="A55" s="15" t="inlineStr">
        <is>
          <t>OPC-03 | دفع پسماند و لجن</t>
        </is>
      </c>
      <c r="B55" s="16" t="inlineStr">
        <is>
          <t>EC.tot.8</t>
        </is>
      </c>
      <c r="C55" s="17" t="inlineStr">
        <is>
          <t>میلیون ریال</t>
        </is>
      </c>
      <c r="D55" s="33">
        <f>'IN_MACRO'!$D$34*IF('IN_COST'!$E$41="SCRAP_LME",'ENG_OPS'!$D$20*'IN_COST'!$F$41*'ENG_SCEN'!$D$37,IF('IN_COST'!$E$41="PER_TON_BATT",'ENG_OPS'!$D$20*'IN_COST'!$F$41*IF('IN_COST'!$G$41="FX",'ENG_SCEN'!$D$36,IF('IN_COST'!$G$41="PPI",'ENG_SCEN'!$D$35,IF('IN_COST'!$G$41="ENERGY",'ENG_SCEN'!$D$34,IF('IN_COST'!$G$41="WAGE",'ENG_SCEN'!$D$33,IF('IN_COST'!$G$41="CPI",'ENG_SCEN'!$D$32,1))))),IF('IN_COST'!$E$41="PER_TON_PROD",'ENG_OPS'!$D$43*'IN_COST'!$F$41*IF('IN_COST'!$G$41="FX",'ENG_SCEN'!$D$36,IF('IN_COST'!$G$41="PPI",'ENG_SCEN'!$D$35,IF('IN_COST'!$G$41="ENERGY",'ENG_SCEN'!$D$34,IF('IN_COST'!$G$41="WAGE",'ENG_SCEN'!$D$33,IF('IN_COST'!$G$41="CPI",'ENG_SCEN'!$D$32,1))))),IF('IN_COST'!$E$41="PER_KWH",'ENG_OPS'!$D$63*'IN_COST'!$F$41*IF('IN_COST'!$G$41="FX",'ENG_SCEN'!$D$36,IF('IN_COST'!$G$41="PPI",'ENG_SCEN'!$D$35,IF('IN_COST'!$G$41="ENERGY",'ENG_SCEN'!$D$34,IF('IN_COST'!$G$41="WAGE",'ENG_SCEN'!$D$33,IF('IN_COST'!$G$41="CPI",'ENG_SCEN'!$D$32,1))))),IF('IN_COST'!$E$41="PER_M3",'ENG_OPS'!$D$64*'IN_COST'!$F$41*IF('IN_COST'!$G$41="FX",'ENG_SCEN'!$D$36,IF('IN_COST'!$G$41="PPI",'ENG_SCEN'!$D$35,IF('IN_COST'!$G$41="ENERGY",'ENG_SCEN'!$D$34,IF('IN_COST'!$G$41="WAGE",'ENG_SCEN'!$D$33,IF('IN_COST'!$G$41="CPI",'ENG_SCEN'!$D$32,1))))),IF('IN_COST'!$E$41="ANNUAL",'IN_COST'!$F$41*IF('IN_COST'!$G$41="FX",'ENG_SCEN'!$D$36,IF('IN_COST'!$G$41="PPI",'ENG_SCEN'!$D$35,IF('IN_COST'!$G$41="ENERGY",'ENG_SCEN'!$D$34,IF('IN_COST'!$G$41="WAGE",'ENG_SCEN'!$D$33,IF('IN_COST'!$G$41="CPI",'ENG_SCEN'!$D$32,1))))),IF('IN_COST'!$E$41="PCT_REV",'ENG_OPS'!$D$81*'IN_COST'!$F$41,IF('IN_COST'!$E$41="PCT_ASSET",'ENG_CAPEX'!$D$84*'IN_COST'!$F$41,IF('IN_COST'!$E$41="DEP",'ENG_CAPEX'!$D$81,IF('IN_COST'!$E$41="PAY",INDEX('IN_COST'!$D$15:$D$19,IFERROR(VALUE(MID('IN_COST'!$F$41,FIND(":",'IN_COST'!$F$41)+1,2)),1))*INDEX('IN_COST'!$E$15:$E$19,IFERROR(VALUE(MID('IN_COST'!$F$41,FIND(":",'IN_COST'!$F$41)+1,2)),1))*'IN_COST'!$D$10*'IN_COST'!$D$11*'ENG_SCEN'!$D$33,IF('IN_COST'!$E$41="SRV",SUM(INDEX('ENG_ALLOC'!$D$29:$P$58,(IFERROR(VALUE(MID('IN_COST'!$F$41,FIND(":",'IN_COST'!$F$41)+1,2)),1)-1)*6+1,1):INDEX('ENG_ALLOC'!$D$29:$P$58,IFERROR(VALUE(MID('IN_COST'!$F$41,FIND(":",'IN_COST'!$F$41)+1,2)),1)*6,1)),0)))))))))))*IF('IN_COST'!$E$41="DEP",'ENG_SCEN'!$G$16,IF('IN_COST'!$I$41="V",IF('IN_COST'!$E$41="SCRAP_LME",'ENG_SCEN'!$G$13,'ENG_SCEN'!$G$14),'ENG_SCEN'!$G$15))</f>
        <v/>
      </c>
      <c r="E55" s="33">
        <f>'IN_MACRO'!$E$34*IF('IN_COST'!$E$41="SCRAP_LME",'ENG_OPS'!$E$20*'IN_COST'!$F$41*'ENG_SCEN'!$E$37,IF('IN_COST'!$E$41="PER_TON_BATT",'ENG_OPS'!$E$20*'IN_COST'!$F$41*IF('IN_COST'!$G$41="FX",'ENG_SCEN'!$E$36,IF('IN_COST'!$G$41="PPI",'ENG_SCEN'!$E$35,IF('IN_COST'!$G$41="ENERGY",'ENG_SCEN'!$E$34,IF('IN_COST'!$G$41="WAGE",'ENG_SCEN'!$E$33,IF('IN_COST'!$G$41="CPI",'ENG_SCEN'!$E$32,1))))),IF('IN_COST'!$E$41="PER_TON_PROD",'ENG_OPS'!$E$43*'IN_COST'!$F$41*IF('IN_COST'!$G$41="FX",'ENG_SCEN'!$E$36,IF('IN_COST'!$G$41="PPI",'ENG_SCEN'!$E$35,IF('IN_COST'!$G$41="ENERGY",'ENG_SCEN'!$E$34,IF('IN_COST'!$G$41="WAGE",'ENG_SCEN'!$E$33,IF('IN_COST'!$G$41="CPI",'ENG_SCEN'!$E$32,1))))),IF('IN_COST'!$E$41="PER_KWH",'ENG_OPS'!$E$63*'IN_COST'!$F$41*IF('IN_COST'!$G$41="FX",'ENG_SCEN'!$E$36,IF('IN_COST'!$G$41="PPI",'ENG_SCEN'!$E$35,IF('IN_COST'!$G$41="ENERGY",'ENG_SCEN'!$E$34,IF('IN_COST'!$G$41="WAGE",'ENG_SCEN'!$E$33,IF('IN_COST'!$G$41="CPI",'ENG_SCEN'!$E$32,1))))),IF('IN_COST'!$E$41="PER_M3",'ENG_OPS'!$E$64*'IN_COST'!$F$41*IF('IN_COST'!$G$41="FX",'ENG_SCEN'!$E$36,IF('IN_COST'!$G$41="PPI",'ENG_SCEN'!$E$35,IF('IN_COST'!$G$41="ENERGY",'ENG_SCEN'!$E$34,IF('IN_COST'!$G$41="WAGE",'ENG_SCEN'!$E$33,IF('IN_COST'!$G$41="CPI",'ENG_SCEN'!$E$32,1))))),IF('IN_COST'!$E$41="ANNUAL",'IN_COST'!$F$41*IF('IN_COST'!$G$41="FX",'ENG_SCEN'!$E$36,IF('IN_COST'!$G$41="PPI",'ENG_SCEN'!$E$35,IF('IN_COST'!$G$41="ENERGY",'ENG_SCEN'!$E$34,IF('IN_COST'!$G$41="WAGE",'ENG_SCEN'!$E$33,IF('IN_COST'!$G$41="CPI",'ENG_SCEN'!$E$32,1))))),IF('IN_COST'!$E$41="PCT_REV",'ENG_OPS'!$E$81*'IN_COST'!$F$41,IF('IN_COST'!$E$41="PCT_ASSET",'ENG_CAPEX'!$E$84*'IN_COST'!$F$41,IF('IN_COST'!$E$41="DEP",'ENG_CAPEX'!$E$81,IF('IN_COST'!$E$41="PAY",INDEX('IN_COST'!$D$15:$D$19,IFERROR(VALUE(MID('IN_COST'!$F$41,FIND(":",'IN_COST'!$F$41)+1,2)),1))*INDEX('IN_COST'!$E$15:$E$19,IFERROR(VALUE(MID('IN_COST'!$F$41,FIND(":",'IN_COST'!$F$41)+1,2)),1))*'IN_COST'!$D$10*'IN_COST'!$D$11*'ENG_SCEN'!$E$33,IF('IN_COST'!$E$41="SRV",SUM(INDEX('ENG_ALLOC'!$D$29:$P$58,(IFERROR(VALUE(MID('IN_COST'!$F$41,FIND(":",'IN_COST'!$F$41)+1,2)),1)-1)*6+1,2):INDEX('ENG_ALLOC'!$D$29:$P$58,IFERROR(VALUE(MID('IN_COST'!$F$41,FIND(":",'IN_COST'!$F$41)+1,2)),1)*6,2)),0)))))))))))*IF('IN_COST'!$E$41="DEP",'ENG_SCEN'!$G$16,IF('IN_COST'!$I$41="V",IF('IN_COST'!$E$41="SCRAP_LME",'ENG_SCEN'!$G$13,'ENG_SCEN'!$G$14),'ENG_SCEN'!$G$15))</f>
        <v/>
      </c>
      <c r="F55" s="33">
        <f>'IN_MACRO'!$F$34*IF('IN_COST'!$E$41="SCRAP_LME",'ENG_OPS'!$F$20*'IN_COST'!$F$41*'ENG_SCEN'!$F$37,IF('IN_COST'!$E$41="PER_TON_BATT",'ENG_OPS'!$F$20*'IN_COST'!$F$41*IF('IN_COST'!$G$41="FX",'ENG_SCEN'!$F$36,IF('IN_COST'!$G$41="PPI",'ENG_SCEN'!$F$35,IF('IN_COST'!$G$41="ENERGY",'ENG_SCEN'!$F$34,IF('IN_COST'!$G$41="WAGE",'ENG_SCEN'!$F$33,IF('IN_COST'!$G$41="CPI",'ENG_SCEN'!$F$32,1))))),IF('IN_COST'!$E$41="PER_TON_PROD",'ENG_OPS'!$F$43*'IN_COST'!$F$41*IF('IN_COST'!$G$41="FX",'ENG_SCEN'!$F$36,IF('IN_COST'!$G$41="PPI",'ENG_SCEN'!$F$35,IF('IN_COST'!$G$41="ENERGY",'ENG_SCEN'!$F$34,IF('IN_COST'!$G$41="WAGE",'ENG_SCEN'!$F$33,IF('IN_COST'!$G$41="CPI",'ENG_SCEN'!$F$32,1))))),IF('IN_COST'!$E$41="PER_KWH",'ENG_OPS'!$F$63*'IN_COST'!$F$41*IF('IN_COST'!$G$41="FX",'ENG_SCEN'!$F$36,IF('IN_COST'!$G$41="PPI",'ENG_SCEN'!$F$35,IF('IN_COST'!$G$41="ENERGY",'ENG_SCEN'!$F$34,IF('IN_COST'!$G$41="WAGE",'ENG_SCEN'!$F$33,IF('IN_COST'!$G$41="CPI",'ENG_SCEN'!$F$32,1))))),IF('IN_COST'!$E$41="PER_M3",'ENG_OPS'!$F$64*'IN_COST'!$F$41*IF('IN_COST'!$G$41="FX",'ENG_SCEN'!$F$36,IF('IN_COST'!$G$41="PPI",'ENG_SCEN'!$F$35,IF('IN_COST'!$G$41="ENERGY",'ENG_SCEN'!$F$34,IF('IN_COST'!$G$41="WAGE",'ENG_SCEN'!$F$33,IF('IN_COST'!$G$41="CPI",'ENG_SCEN'!$F$32,1))))),IF('IN_COST'!$E$41="ANNUAL",'IN_COST'!$F$41*IF('IN_COST'!$G$41="FX",'ENG_SCEN'!$F$36,IF('IN_COST'!$G$41="PPI",'ENG_SCEN'!$F$35,IF('IN_COST'!$G$41="ENERGY",'ENG_SCEN'!$F$34,IF('IN_COST'!$G$41="WAGE",'ENG_SCEN'!$F$33,IF('IN_COST'!$G$41="CPI",'ENG_SCEN'!$F$32,1))))),IF('IN_COST'!$E$41="PCT_REV",'ENG_OPS'!$F$81*'IN_COST'!$F$41,IF('IN_COST'!$E$41="PCT_ASSET",'ENG_CAPEX'!$F$84*'IN_COST'!$F$41,IF('IN_COST'!$E$41="DEP",'ENG_CAPEX'!$F$81,IF('IN_COST'!$E$41="PAY",INDEX('IN_COST'!$D$15:$D$19,IFERROR(VALUE(MID('IN_COST'!$F$41,FIND(":",'IN_COST'!$F$41)+1,2)),1))*INDEX('IN_COST'!$E$15:$E$19,IFERROR(VALUE(MID('IN_COST'!$F$41,FIND(":",'IN_COST'!$F$41)+1,2)),1))*'IN_COST'!$D$10*'IN_COST'!$D$11*'ENG_SCEN'!$F$33,IF('IN_COST'!$E$41="SRV",SUM(INDEX('ENG_ALLOC'!$D$29:$P$58,(IFERROR(VALUE(MID('IN_COST'!$F$41,FIND(":",'IN_COST'!$F$41)+1,2)),1)-1)*6+1,3):INDEX('ENG_ALLOC'!$D$29:$P$58,IFERROR(VALUE(MID('IN_COST'!$F$41,FIND(":",'IN_COST'!$F$41)+1,2)),1)*6,3)),0)))))))))))*IF('IN_COST'!$E$41="DEP",'ENG_SCEN'!$G$16,IF('IN_COST'!$I$41="V",IF('IN_COST'!$E$41="SCRAP_LME",'ENG_SCEN'!$G$13,'ENG_SCEN'!$G$14),'ENG_SCEN'!$G$15))</f>
        <v/>
      </c>
      <c r="G55" s="33">
        <f>'IN_MACRO'!$G$34*IF('IN_COST'!$E$41="SCRAP_LME",'ENG_OPS'!$G$20*'IN_COST'!$F$41*'ENG_SCEN'!$G$37,IF('IN_COST'!$E$41="PER_TON_BATT",'ENG_OPS'!$G$20*'IN_COST'!$F$41*IF('IN_COST'!$G$41="FX",'ENG_SCEN'!$G$36,IF('IN_COST'!$G$41="PPI",'ENG_SCEN'!$G$35,IF('IN_COST'!$G$41="ENERGY",'ENG_SCEN'!$G$34,IF('IN_COST'!$G$41="WAGE",'ENG_SCEN'!$G$33,IF('IN_COST'!$G$41="CPI",'ENG_SCEN'!$G$32,1))))),IF('IN_COST'!$E$41="PER_TON_PROD",'ENG_OPS'!$G$43*'IN_COST'!$F$41*IF('IN_COST'!$G$41="FX",'ENG_SCEN'!$G$36,IF('IN_COST'!$G$41="PPI",'ENG_SCEN'!$G$35,IF('IN_COST'!$G$41="ENERGY",'ENG_SCEN'!$G$34,IF('IN_COST'!$G$41="WAGE",'ENG_SCEN'!$G$33,IF('IN_COST'!$G$41="CPI",'ENG_SCEN'!$G$32,1))))),IF('IN_COST'!$E$41="PER_KWH",'ENG_OPS'!$G$63*'IN_COST'!$F$41*IF('IN_COST'!$G$41="FX",'ENG_SCEN'!$G$36,IF('IN_COST'!$G$41="PPI",'ENG_SCEN'!$G$35,IF('IN_COST'!$G$41="ENERGY",'ENG_SCEN'!$G$34,IF('IN_COST'!$G$41="WAGE",'ENG_SCEN'!$G$33,IF('IN_COST'!$G$41="CPI",'ENG_SCEN'!$G$32,1))))),IF('IN_COST'!$E$41="PER_M3",'ENG_OPS'!$G$64*'IN_COST'!$F$41*IF('IN_COST'!$G$41="FX",'ENG_SCEN'!$G$36,IF('IN_COST'!$G$41="PPI",'ENG_SCEN'!$G$35,IF('IN_COST'!$G$41="ENERGY",'ENG_SCEN'!$G$34,IF('IN_COST'!$G$41="WAGE",'ENG_SCEN'!$G$33,IF('IN_COST'!$G$41="CPI",'ENG_SCEN'!$G$32,1))))),IF('IN_COST'!$E$41="ANNUAL",'IN_COST'!$F$41*IF('IN_COST'!$G$41="FX",'ENG_SCEN'!$G$36,IF('IN_COST'!$G$41="PPI",'ENG_SCEN'!$G$35,IF('IN_COST'!$G$41="ENERGY",'ENG_SCEN'!$G$34,IF('IN_COST'!$G$41="WAGE",'ENG_SCEN'!$G$33,IF('IN_COST'!$G$41="CPI",'ENG_SCEN'!$G$32,1))))),IF('IN_COST'!$E$41="PCT_REV",'ENG_OPS'!$G$81*'IN_COST'!$F$41,IF('IN_COST'!$E$41="PCT_ASSET",'ENG_CAPEX'!$G$84*'IN_COST'!$F$41,IF('IN_COST'!$E$41="DEP",'ENG_CAPEX'!$G$81,IF('IN_COST'!$E$41="PAY",INDEX('IN_COST'!$D$15:$D$19,IFERROR(VALUE(MID('IN_COST'!$F$41,FIND(":",'IN_COST'!$F$41)+1,2)),1))*INDEX('IN_COST'!$E$15:$E$19,IFERROR(VALUE(MID('IN_COST'!$F$41,FIND(":",'IN_COST'!$F$41)+1,2)),1))*'IN_COST'!$D$10*'IN_COST'!$D$11*'ENG_SCEN'!$G$33,IF('IN_COST'!$E$41="SRV",SUM(INDEX('ENG_ALLOC'!$D$29:$P$58,(IFERROR(VALUE(MID('IN_COST'!$F$41,FIND(":",'IN_COST'!$F$41)+1,2)),1)-1)*6+1,4):INDEX('ENG_ALLOC'!$D$29:$P$58,IFERROR(VALUE(MID('IN_COST'!$F$41,FIND(":",'IN_COST'!$F$41)+1,2)),1)*6,4)),0)))))))))))*IF('IN_COST'!$E$41="DEP",'ENG_SCEN'!$G$16,IF('IN_COST'!$I$41="V",IF('IN_COST'!$E$41="SCRAP_LME",'ENG_SCEN'!$G$13,'ENG_SCEN'!$G$14),'ENG_SCEN'!$G$15))</f>
        <v/>
      </c>
      <c r="H55" s="33">
        <f>'IN_MACRO'!$H$34*IF('IN_COST'!$E$41="SCRAP_LME",'ENG_OPS'!$H$20*'IN_COST'!$F$41*'ENG_SCEN'!$H$37,IF('IN_COST'!$E$41="PER_TON_BATT",'ENG_OPS'!$H$20*'IN_COST'!$F$41*IF('IN_COST'!$G$41="FX",'ENG_SCEN'!$H$36,IF('IN_COST'!$G$41="PPI",'ENG_SCEN'!$H$35,IF('IN_COST'!$G$41="ENERGY",'ENG_SCEN'!$H$34,IF('IN_COST'!$G$41="WAGE",'ENG_SCEN'!$H$33,IF('IN_COST'!$G$41="CPI",'ENG_SCEN'!$H$32,1))))),IF('IN_COST'!$E$41="PER_TON_PROD",'ENG_OPS'!$H$43*'IN_COST'!$F$41*IF('IN_COST'!$G$41="FX",'ENG_SCEN'!$H$36,IF('IN_COST'!$G$41="PPI",'ENG_SCEN'!$H$35,IF('IN_COST'!$G$41="ENERGY",'ENG_SCEN'!$H$34,IF('IN_COST'!$G$41="WAGE",'ENG_SCEN'!$H$33,IF('IN_COST'!$G$41="CPI",'ENG_SCEN'!$H$32,1))))),IF('IN_COST'!$E$41="PER_KWH",'ENG_OPS'!$H$63*'IN_COST'!$F$41*IF('IN_COST'!$G$41="FX",'ENG_SCEN'!$H$36,IF('IN_COST'!$G$41="PPI",'ENG_SCEN'!$H$35,IF('IN_COST'!$G$41="ENERGY",'ENG_SCEN'!$H$34,IF('IN_COST'!$G$41="WAGE",'ENG_SCEN'!$H$33,IF('IN_COST'!$G$41="CPI",'ENG_SCEN'!$H$32,1))))),IF('IN_COST'!$E$41="PER_M3",'ENG_OPS'!$H$64*'IN_COST'!$F$41*IF('IN_COST'!$G$41="FX",'ENG_SCEN'!$H$36,IF('IN_COST'!$G$41="PPI",'ENG_SCEN'!$H$35,IF('IN_COST'!$G$41="ENERGY",'ENG_SCEN'!$H$34,IF('IN_COST'!$G$41="WAGE",'ENG_SCEN'!$H$33,IF('IN_COST'!$G$41="CPI",'ENG_SCEN'!$H$32,1))))),IF('IN_COST'!$E$41="ANNUAL",'IN_COST'!$F$41*IF('IN_COST'!$G$41="FX",'ENG_SCEN'!$H$36,IF('IN_COST'!$G$41="PPI",'ENG_SCEN'!$H$35,IF('IN_COST'!$G$41="ENERGY",'ENG_SCEN'!$H$34,IF('IN_COST'!$G$41="WAGE",'ENG_SCEN'!$H$33,IF('IN_COST'!$G$41="CPI",'ENG_SCEN'!$H$32,1))))),IF('IN_COST'!$E$41="PCT_REV",'ENG_OPS'!$H$81*'IN_COST'!$F$41,IF('IN_COST'!$E$41="PCT_ASSET",'ENG_CAPEX'!$H$84*'IN_COST'!$F$41,IF('IN_COST'!$E$41="DEP",'ENG_CAPEX'!$H$81,IF('IN_COST'!$E$41="PAY",INDEX('IN_COST'!$D$15:$D$19,IFERROR(VALUE(MID('IN_COST'!$F$41,FIND(":",'IN_COST'!$F$41)+1,2)),1))*INDEX('IN_COST'!$E$15:$E$19,IFERROR(VALUE(MID('IN_COST'!$F$41,FIND(":",'IN_COST'!$F$41)+1,2)),1))*'IN_COST'!$D$10*'IN_COST'!$D$11*'ENG_SCEN'!$H$33,IF('IN_COST'!$E$41="SRV",SUM(INDEX('ENG_ALLOC'!$D$29:$P$58,(IFERROR(VALUE(MID('IN_COST'!$F$41,FIND(":",'IN_COST'!$F$41)+1,2)),1)-1)*6+1,5):INDEX('ENG_ALLOC'!$D$29:$P$58,IFERROR(VALUE(MID('IN_COST'!$F$41,FIND(":",'IN_COST'!$F$41)+1,2)),1)*6,5)),0)))))))))))*IF('IN_COST'!$E$41="DEP",'ENG_SCEN'!$G$16,IF('IN_COST'!$I$41="V",IF('IN_COST'!$E$41="SCRAP_LME",'ENG_SCEN'!$G$13,'ENG_SCEN'!$G$14),'ENG_SCEN'!$G$15))</f>
        <v/>
      </c>
      <c r="I55" s="33">
        <f>'IN_MACRO'!$I$34*IF('IN_COST'!$E$41="SCRAP_LME",'ENG_OPS'!$I$20*'IN_COST'!$F$41*'ENG_SCEN'!$I$37,IF('IN_COST'!$E$41="PER_TON_BATT",'ENG_OPS'!$I$20*'IN_COST'!$F$41*IF('IN_COST'!$G$41="FX",'ENG_SCEN'!$I$36,IF('IN_COST'!$G$41="PPI",'ENG_SCEN'!$I$35,IF('IN_COST'!$G$41="ENERGY",'ENG_SCEN'!$I$34,IF('IN_COST'!$G$41="WAGE",'ENG_SCEN'!$I$33,IF('IN_COST'!$G$41="CPI",'ENG_SCEN'!$I$32,1))))),IF('IN_COST'!$E$41="PER_TON_PROD",'ENG_OPS'!$I$43*'IN_COST'!$F$41*IF('IN_COST'!$G$41="FX",'ENG_SCEN'!$I$36,IF('IN_COST'!$G$41="PPI",'ENG_SCEN'!$I$35,IF('IN_COST'!$G$41="ENERGY",'ENG_SCEN'!$I$34,IF('IN_COST'!$G$41="WAGE",'ENG_SCEN'!$I$33,IF('IN_COST'!$G$41="CPI",'ENG_SCEN'!$I$32,1))))),IF('IN_COST'!$E$41="PER_KWH",'ENG_OPS'!$I$63*'IN_COST'!$F$41*IF('IN_COST'!$G$41="FX",'ENG_SCEN'!$I$36,IF('IN_COST'!$G$41="PPI",'ENG_SCEN'!$I$35,IF('IN_COST'!$G$41="ENERGY",'ENG_SCEN'!$I$34,IF('IN_COST'!$G$41="WAGE",'ENG_SCEN'!$I$33,IF('IN_COST'!$G$41="CPI",'ENG_SCEN'!$I$32,1))))),IF('IN_COST'!$E$41="PER_M3",'ENG_OPS'!$I$64*'IN_COST'!$F$41*IF('IN_COST'!$G$41="FX",'ENG_SCEN'!$I$36,IF('IN_COST'!$G$41="PPI",'ENG_SCEN'!$I$35,IF('IN_COST'!$G$41="ENERGY",'ENG_SCEN'!$I$34,IF('IN_COST'!$G$41="WAGE",'ENG_SCEN'!$I$33,IF('IN_COST'!$G$41="CPI",'ENG_SCEN'!$I$32,1))))),IF('IN_COST'!$E$41="ANNUAL",'IN_COST'!$F$41*IF('IN_COST'!$G$41="FX",'ENG_SCEN'!$I$36,IF('IN_COST'!$G$41="PPI",'ENG_SCEN'!$I$35,IF('IN_COST'!$G$41="ENERGY",'ENG_SCEN'!$I$34,IF('IN_COST'!$G$41="WAGE",'ENG_SCEN'!$I$33,IF('IN_COST'!$G$41="CPI",'ENG_SCEN'!$I$32,1))))),IF('IN_COST'!$E$41="PCT_REV",'ENG_OPS'!$I$81*'IN_COST'!$F$41,IF('IN_COST'!$E$41="PCT_ASSET",'ENG_CAPEX'!$I$84*'IN_COST'!$F$41,IF('IN_COST'!$E$41="DEP",'ENG_CAPEX'!$I$81,IF('IN_COST'!$E$41="PAY",INDEX('IN_COST'!$D$15:$D$19,IFERROR(VALUE(MID('IN_COST'!$F$41,FIND(":",'IN_COST'!$F$41)+1,2)),1))*INDEX('IN_COST'!$E$15:$E$19,IFERROR(VALUE(MID('IN_COST'!$F$41,FIND(":",'IN_COST'!$F$41)+1,2)),1))*'IN_COST'!$D$10*'IN_COST'!$D$11*'ENG_SCEN'!$I$33,IF('IN_COST'!$E$41="SRV",SUM(INDEX('ENG_ALLOC'!$D$29:$P$58,(IFERROR(VALUE(MID('IN_COST'!$F$41,FIND(":",'IN_COST'!$F$41)+1,2)),1)-1)*6+1,6):INDEX('ENG_ALLOC'!$D$29:$P$58,IFERROR(VALUE(MID('IN_COST'!$F$41,FIND(":",'IN_COST'!$F$41)+1,2)),1)*6,6)),0)))))))))))*IF('IN_COST'!$E$41="DEP",'ENG_SCEN'!$G$16,IF('IN_COST'!$I$41="V",IF('IN_COST'!$E$41="SCRAP_LME",'ENG_SCEN'!$G$13,'ENG_SCEN'!$G$14),'ENG_SCEN'!$G$15))</f>
        <v/>
      </c>
      <c r="J55" s="33">
        <f>'IN_MACRO'!$J$34*IF('IN_COST'!$E$41="SCRAP_LME",'ENG_OPS'!$J$20*'IN_COST'!$F$41*'ENG_SCEN'!$J$37,IF('IN_COST'!$E$41="PER_TON_BATT",'ENG_OPS'!$J$20*'IN_COST'!$F$41*IF('IN_COST'!$G$41="FX",'ENG_SCEN'!$J$36,IF('IN_COST'!$G$41="PPI",'ENG_SCEN'!$J$35,IF('IN_COST'!$G$41="ENERGY",'ENG_SCEN'!$J$34,IF('IN_COST'!$G$41="WAGE",'ENG_SCEN'!$J$33,IF('IN_COST'!$G$41="CPI",'ENG_SCEN'!$J$32,1))))),IF('IN_COST'!$E$41="PER_TON_PROD",'ENG_OPS'!$J$43*'IN_COST'!$F$41*IF('IN_COST'!$G$41="FX",'ENG_SCEN'!$J$36,IF('IN_COST'!$G$41="PPI",'ENG_SCEN'!$J$35,IF('IN_COST'!$G$41="ENERGY",'ENG_SCEN'!$J$34,IF('IN_COST'!$G$41="WAGE",'ENG_SCEN'!$J$33,IF('IN_COST'!$G$41="CPI",'ENG_SCEN'!$J$32,1))))),IF('IN_COST'!$E$41="PER_KWH",'ENG_OPS'!$J$63*'IN_COST'!$F$41*IF('IN_COST'!$G$41="FX",'ENG_SCEN'!$J$36,IF('IN_COST'!$G$41="PPI",'ENG_SCEN'!$J$35,IF('IN_COST'!$G$41="ENERGY",'ENG_SCEN'!$J$34,IF('IN_COST'!$G$41="WAGE",'ENG_SCEN'!$J$33,IF('IN_COST'!$G$41="CPI",'ENG_SCEN'!$J$32,1))))),IF('IN_COST'!$E$41="PER_M3",'ENG_OPS'!$J$64*'IN_COST'!$F$41*IF('IN_COST'!$G$41="FX",'ENG_SCEN'!$J$36,IF('IN_COST'!$G$41="PPI",'ENG_SCEN'!$J$35,IF('IN_COST'!$G$41="ENERGY",'ENG_SCEN'!$J$34,IF('IN_COST'!$G$41="WAGE",'ENG_SCEN'!$J$33,IF('IN_COST'!$G$41="CPI",'ENG_SCEN'!$J$32,1))))),IF('IN_COST'!$E$41="ANNUAL",'IN_COST'!$F$41*IF('IN_COST'!$G$41="FX",'ENG_SCEN'!$J$36,IF('IN_COST'!$G$41="PPI",'ENG_SCEN'!$J$35,IF('IN_COST'!$G$41="ENERGY",'ENG_SCEN'!$J$34,IF('IN_COST'!$G$41="WAGE",'ENG_SCEN'!$J$33,IF('IN_COST'!$G$41="CPI",'ENG_SCEN'!$J$32,1))))),IF('IN_COST'!$E$41="PCT_REV",'ENG_OPS'!$J$81*'IN_COST'!$F$41,IF('IN_COST'!$E$41="PCT_ASSET",'ENG_CAPEX'!$J$84*'IN_COST'!$F$41,IF('IN_COST'!$E$41="DEP",'ENG_CAPEX'!$J$81,IF('IN_COST'!$E$41="PAY",INDEX('IN_COST'!$D$15:$D$19,IFERROR(VALUE(MID('IN_COST'!$F$41,FIND(":",'IN_COST'!$F$41)+1,2)),1))*INDEX('IN_COST'!$E$15:$E$19,IFERROR(VALUE(MID('IN_COST'!$F$41,FIND(":",'IN_COST'!$F$41)+1,2)),1))*'IN_COST'!$D$10*'IN_COST'!$D$11*'ENG_SCEN'!$J$33,IF('IN_COST'!$E$41="SRV",SUM(INDEX('ENG_ALLOC'!$D$29:$P$58,(IFERROR(VALUE(MID('IN_COST'!$F$41,FIND(":",'IN_COST'!$F$41)+1,2)),1)-1)*6+1,7):INDEX('ENG_ALLOC'!$D$29:$P$58,IFERROR(VALUE(MID('IN_COST'!$F$41,FIND(":",'IN_COST'!$F$41)+1,2)),1)*6,7)),0)))))))))))*IF('IN_COST'!$E$41="DEP",'ENG_SCEN'!$G$16,IF('IN_COST'!$I$41="V",IF('IN_COST'!$E$41="SCRAP_LME",'ENG_SCEN'!$G$13,'ENG_SCEN'!$G$14),'ENG_SCEN'!$G$15))</f>
        <v/>
      </c>
      <c r="K55" s="33">
        <f>'IN_MACRO'!$K$34*IF('IN_COST'!$E$41="SCRAP_LME",'ENG_OPS'!$K$20*'IN_COST'!$F$41*'ENG_SCEN'!$K$37,IF('IN_COST'!$E$41="PER_TON_BATT",'ENG_OPS'!$K$20*'IN_COST'!$F$41*IF('IN_COST'!$G$41="FX",'ENG_SCEN'!$K$36,IF('IN_COST'!$G$41="PPI",'ENG_SCEN'!$K$35,IF('IN_COST'!$G$41="ENERGY",'ENG_SCEN'!$K$34,IF('IN_COST'!$G$41="WAGE",'ENG_SCEN'!$K$33,IF('IN_COST'!$G$41="CPI",'ENG_SCEN'!$K$32,1))))),IF('IN_COST'!$E$41="PER_TON_PROD",'ENG_OPS'!$K$43*'IN_COST'!$F$41*IF('IN_COST'!$G$41="FX",'ENG_SCEN'!$K$36,IF('IN_COST'!$G$41="PPI",'ENG_SCEN'!$K$35,IF('IN_COST'!$G$41="ENERGY",'ENG_SCEN'!$K$34,IF('IN_COST'!$G$41="WAGE",'ENG_SCEN'!$K$33,IF('IN_COST'!$G$41="CPI",'ENG_SCEN'!$K$32,1))))),IF('IN_COST'!$E$41="PER_KWH",'ENG_OPS'!$K$63*'IN_COST'!$F$41*IF('IN_COST'!$G$41="FX",'ENG_SCEN'!$K$36,IF('IN_COST'!$G$41="PPI",'ENG_SCEN'!$K$35,IF('IN_COST'!$G$41="ENERGY",'ENG_SCEN'!$K$34,IF('IN_COST'!$G$41="WAGE",'ENG_SCEN'!$K$33,IF('IN_COST'!$G$41="CPI",'ENG_SCEN'!$K$32,1))))),IF('IN_COST'!$E$41="PER_M3",'ENG_OPS'!$K$64*'IN_COST'!$F$41*IF('IN_COST'!$G$41="FX",'ENG_SCEN'!$K$36,IF('IN_COST'!$G$41="PPI",'ENG_SCEN'!$K$35,IF('IN_COST'!$G$41="ENERGY",'ENG_SCEN'!$K$34,IF('IN_COST'!$G$41="WAGE",'ENG_SCEN'!$K$33,IF('IN_COST'!$G$41="CPI",'ENG_SCEN'!$K$32,1))))),IF('IN_COST'!$E$41="ANNUAL",'IN_COST'!$F$41*IF('IN_COST'!$G$41="FX",'ENG_SCEN'!$K$36,IF('IN_COST'!$G$41="PPI",'ENG_SCEN'!$K$35,IF('IN_COST'!$G$41="ENERGY",'ENG_SCEN'!$K$34,IF('IN_COST'!$G$41="WAGE",'ENG_SCEN'!$K$33,IF('IN_COST'!$G$41="CPI",'ENG_SCEN'!$K$32,1))))),IF('IN_COST'!$E$41="PCT_REV",'ENG_OPS'!$K$81*'IN_COST'!$F$41,IF('IN_COST'!$E$41="PCT_ASSET",'ENG_CAPEX'!$K$84*'IN_COST'!$F$41,IF('IN_COST'!$E$41="DEP",'ENG_CAPEX'!$K$81,IF('IN_COST'!$E$41="PAY",INDEX('IN_COST'!$D$15:$D$19,IFERROR(VALUE(MID('IN_COST'!$F$41,FIND(":",'IN_COST'!$F$41)+1,2)),1))*INDEX('IN_COST'!$E$15:$E$19,IFERROR(VALUE(MID('IN_COST'!$F$41,FIND(":",'IN_COST'!$F$41)+1,2)),1))*'IN_COST'!$D$10*'IN_COST'!$D$11*'ENG_SCEN'!$K$33,IF('IN_COST'!$E$41="SRV",SUM(INDEX('ENG_ALLOC'!$D$29:$P$58,(IFERROR(VALUE(MID('IN_COST'!$F$41,FIND(":",'IN_COST'!$F$41)+1,2)),1)-1)*6+1,8):INDEX('ENG_ALLOC'!$D$29:$P$58,IFERROR(VALUE(MID('IN_COST'!$F$41,FIND(":",'IN_COST'!$F$41)+1,2)),1)*6,8)),0)))))))))))*IF('IN_COST'!$E$41="DEP",'ENG_SCEN'!$G$16,IF('IN_COST'!$I$41="V",IF('IN_COST'!$E$41="SCRAP_LME",'ENG_SCEN'!$G$13,'ENG_SCEN'!$G$14),'ENG_SCEN'!$G$15))</f>
        <v/>
      </c>
      <c r="L55" s="33">
        <f>'IN_MACRO'!$L$34*IF('IN_COST'!$E$41="SCRAP_LME",'ENG_OPS'!$L$20*'IN_COST'!$F$41*'ENG_SCEN'!$L$37,IF('IN_COST'!$E$41="PER_TON_BATT",'ENG_OPS'!$L$20*'IN_COST'!$F$41*IF('IN_COST'!$G$41="FX",'ENG_SCEN'!$L$36,IF('IN_COST'!$G$41="PPI",'ENG_SCEN'!$L$35,IF('IN_COST'!$G$41="ENERGY",'ENG_SCEN'!$L$34,IF('IN_COST'!$G$41="WAGE",'ENG_SCEN'!$L$33,IF('IN_COST'!$G$41="CPI",'ENG_SCEN'!$L$32,1))))),IF('IN_COST'!$E$41="PER_TON_PROD",'ENG_OPS'!$L$43*'IN_COST'!$F$41*IF('IN_COST'!$G$41="FX",'ENG_SCEN'!$L$36,IF('IN_COST'!$G$41="PPI",'ENG_SCEN'!$L$35,IF('IN_COST'!$G$41="ENERGY",'ENG_SCEN'!$L$34,IF('IN_COST'!$G$41="WAGE",'ENG_SCEN'!$L$33,IF('IN_COST'!$G$41="CPI",'ENG_SCEN'!$L$32,1))))),IF('IN_COST'!$E$41="PER_KWH",'ENG_OPS'!$L$63*'IN_COST'!$F$41*IF('IN_COST'!$G$41="FX",'ENG_SCEN'!$L$36,IF('IN_COST'!$G$41="PPI",'ENG_SCEN'!$L$35,IF('IN_COST'!$G$41="ENERGY",'ENG_SCEN'!$L$34,IF('IN_COST'!$G$41="WAGE",'ENG_SCEN'!$L$33,IF('IN_COST'!$G$41="CPI",'ENG_SCEN'!$L$32,1))))),IF('IN_COST'!$E$41="PER_M3",'ENG_OPS'!$L$64*'IN_COST'!$F$41*IF('IN_COST'!$G$41="FX",'ENG_SCEN'!$L$36,IF('IN_COST'!$G$41="PPI",'ENG_SCEN'!$L$35,IF('IN_COST'!$G$41="ENERGY",'ENG_SCEN'!$L$34,IF('IN_COST'!$G$41="WAGE",'ENG_SCEN'!$L$33,IF('IN_COST'!$G$41="CPI",'ENG_SCEN'!$L$32,1))))),IF('IN_COST'!$E$41="ANNUAL",'IN_COST'!$F$41*IF('IN_COST'!$G$41="FX",'ENG_SCEN'!$L$36,IF('IN_COST'!$G$41="PPI",'ENG_SCEN'!$L$35,IF('IN_COST'!$G$41="ENERGY",'ENG_SCEN'!$L$34,IF('IN_COST'!$G$41="WAGE",'ENG_SCEN'!$L$33,IF('IN_COST'!$G$41="CPI",'ENG_SCEN'!$L$32,1))))),IF('IN_COST'!$E$41="PCT_REV",'ENG_OPS'!$L$81*'IN_COST'!$F$41,IF('IN_COST'!$E$41="PCT_ASSET",'ENG_CAPEX'!$L$84*'IN_COST'!$F$41,IF('IN_COST'!$E$41="DEP",'ENG_CAPEX'!$L$81,IF('IN_COST'!$E$41="PAY",INDEX('IN_COST'!$D$15:$D$19,IFERROR(VALUE(MID('IN_COST'!$F$41,FIND(":",'IN_COST'!$F$41)+1,2)),1))*INDEX('IN_COST'!$E$15:$E$19,IFERROR(VALUE(MID('IN_COST'!$F$41,FIND(":",'IN_COST'!$F$41)+1,2)),1))*'IN_COST'!$D$10*'IN_COST'!$D$11*'ENG_SCEN'!$L$33,IF('IN_COST'!$E$41="SRV",SUM(INDEX('ENG_ALLOC'!$D$29:$P$58,(IFERROR(VALUE(MID('IN_COST'!$F$41,FIND(":",'IN_COST'!$F$41)+1,2)),1)-1)*6+1,9):INDEX('ENG_ALLOC'!$D$29:$P$58,IFERROR(VALUE(MID('IN_COST'!$F$41,FIND(":",'IN_COST'!$F$41)+1,2)),1)*6,9)),0)))))))))))*IF('IN_COST'!$E$41="DEP",'ENG_SCEN'!$G$16,IF('IN_COST'!$I$41="V",IF('IN_COST'!$E$41="SCRAP_LME",'ENG_SCEN'!$G$13,'ENG_SCEN'!$G$14),'ENG_SCEN'!$G$15))</f>
        <v/>
      </c>
      <c r="M55" s="33">
        <f>'IN_MACRO'!$M$34*IF('IN_COST'!$E$41="SCRAP_LME",'ENG_OPS'!$M$20*'IN_COST'!$F$41*'ENG_SCEN'!$M$37,IF('IN_COST'!$E$41="PER_TON_BATT",'ENG_OPS'!$M$20*'IN_COST'!$F$41*IF('IN_COST'!$G$41="FX",'ENG_SCEN'!$M$36,IF('IN_COST'!$G$41="PPI",'ENG_SCEN'!$M$35,IF('IN_COST'!$G$41="ENERGY",'ENG_SCEN'!$M$34,IF('IN_COST'!$G$41="WAGE",'ENG_SCEN'!$M$33,IF('IN_COST'!$G$41="CPI",'ENG_SCEN'!$M$32,1))))),IF('IN_COST'!$E$41="PER_TON_PROD",'ENG_OPS'!$M$43*'IN_COST'!$F$41*IF('IN_COST'!$G$41="FX",'ENG_SCEN'!$M$36,IF('IN_COST'!$G$41="PPI",'ENG_SCEN'!$M$35,IF('IN_COST'!$G$41="ENERGY",'ENG_SCEN'!$M$34,IF('IN_COST'!$G$41="WAGE",'ENG_SCEN'!$M$33,IF('IN_COST'!$G$41="CPI",'ENG_SCEN'!$M$32,1))))),IF('IN_COST'!$E$41="PER_KWH",'ENG_OPS'!$M$63*'IN_COST'!$F$41*IF('IN_COST'!$G$41="FX",'ENG_SCEN'!$M$36,IF('IN_COST'!$G$41="PPI",'ENG_SCEN'!$M$35,IF('IN_COST'!$G$41="ENERGY",'ENG_SCEN'!$M$34,IF('IN_COST'!$G$41="WAGE",'ENG_SCEN'!$M$33,IF('IN_COST'!$G$41="CPI",'ENG_SCEN'!$M$32,1))))),IF('IN_COST'!$E$41="PER_M3",'ENG_OPS'!$M$64*'IN_COST'!$F$41*IF('IN_COST'!$G$41="FX",'ENG_SCEN'!$M$36,IF('IN_COST'!$G$41="PPI",'ENG_SCEN'!$M$35,IF('IN_COST'!$G$41="ENERGY",'ENG_SCEN'!$M$34,IF('IN_COST'!$G$41="WAGE",'ENG_SCEN'!$M$33,IF('IN_COST'!$G$41="CPI",'ENG_SCEN'!$M$32,1))))),IF('IN_COST'!$E$41="ANNUAL",'IN_COST'!$F$41*IF('IN_COST'!$G$41="FX",'ENG_SCEN'!$M$36,IF('IN_COST'!$G$41="PPI",'ENG_SCEN'!$M$35,IF('IN_COST'!$G$41="ENERGY",'ENG_SCEN'!$M$34,IF('IN_COST'!$G$41="WAGE",'ENG_SCEN'!$M$33,IF('IN_COST'!$G$41="CPI",'ENG_SCEN'!$M$32,1))))),IF('IN_COST'!$E$41="PCT_REV",'ENG_OPS'!$M$81*'IN_COST'!$F$41,IF('IN_COST'!$E$41="PCT_ASSET",'ENG_CAPEX'!$M$84*'IN_COST'!$F$41,IF('IN_COST'!$E$41="DEP",'ENG_CAPEX'!$M$81,IF('IN_COST'!$E$41="PAY",INDEX('IN_COST'!$D$15:$D$19,IFERROR(VALUE(MID('IN_COST'!$F$41,FIND(":",'IN_COST'!$F$41)+1,2)),1))*INDEX('IN_COST'!$E$15:$E$19,IFERROR(VALUE(MID('IN_COST'!$F$41,FIND(":",'IN_COST'!$F$41)+1,2)),1))*'IN_COST'!$D$10*'IN_COST'!$D$11*'ENG_SCEN'!$M$33,IF('IN_COST'!$E$41="SRV",SUM(INDEX('ENG_ALLOC'!$D$29:$P$58,(IFERROR(VALUE(MID('IN_COST'!$F$41,FIND(":",'IN_COST'!$F$41)+1,2)),1)-1)*6+1,10):INDEX('ENG_ALLOC'!$D$29:$P$58,IFERROR(VALUE(MID('IN_COST'!$F$41,FIND(":",'IN_COST'!$F$41)+1,2)),1)*6,10)),0)))))))))))*IF('IN_COST'!$E$41="DEP",'ENG_SCEN'!$G$16,IF('IN_COST'!$I$41="V",IF('IN_COST'!$E$41="SCRAP_LME",'ENG_SCEN'!$G$13,'ENG_SCEN'!$G$14),'ENG_SCEN'!$G$15))</f>
        <v/>
      </c>
      <c r="N55" s="33">
        <f>'IN_MACRO'!$N$34*IF('IN_COST'!$E$41="SCRAP_LME",'ENG_OPS'!$N$20*'IN_COST'!$F$41*'ENG_SCEN'!$N$37,IF('IN_COST'!$E$41="PER_TON_BATT",'ENG_OPS'!$N$20*'IN_COST'!$F$41*IF('IN_COST'!$G$41="FX",'ENG_SCEN'!$N$36,IF('IN_COST'!$G$41="PPI",'ENG_SCEN'!$N$35,IF('IN_COST'!$G$41="ENERGY",'ENG_SCEN'!$N$34,IF('IN_COST'!$G$41="WAGE",'ENG_SCEN'!$N$33,IF('IN_COST'!$G$41="CPI",'ENG_SCEN'!$N$32,1))))),IF('IN_COST'!$E$41="PER_TON_PROD",'ENG_OPS'!$N$43*'IN_COST'!$F$41*IF('IN_COST'!$G$41="FX",'ENG_SCEN'!$N$36,IF('IN_COST'!$G$41="PPI",'ENG_SCEN'!$N$35,IF('IN_COST'!$G$41="ENERGY",'ENG_SCEN'!$N$34,IF('IN_COST'!$G$41="WAGE",'ENG_SCEN'!$N$33,IF('IN_COST'!$G$41="CPI",'ENG_SCEN'!$N$32,1))))),IF('IN_COST'!$E$41="PER_KWH",'ENG_OPS'!$N$63*'IN_COST'!$F$41*IF('IN_COST'!$G$41="FX",'ENG_SCEN'!$N$36,IF('IN_COST'!$G$41="PPI",'ENG_SCEN'!$N$35,IF('IN_COST'!$G$41="ENERGY",'ENG_SCEN'!$N$34,IF('IN_COST'!$G$41="WAGE",'ENG_SCEN'!$N$33,IF('IN_COST'!$G$41="CPI",'ENG_SCEN'!$N$32,1))))),IF('IN_COST'!$E$41="PER_M3",'ENG_OPS'!$N$64*'IN_COST'!$F$41*IF('IN_COST'!$G$41="FX",'ENG_SCEN'!$N$36,IF('IN_COST'!$G$41="PPI",'ENG_SCEN'!$N$35,IF('IN_COST'!$G$41="ENERGY",'ENG_SCEN'!$N$34,IF('IN_COST'!$G$41="WAGE",'ENG_SCEN'!$N$33,IF('IN_COST'!$G$41="CPI",'ENG_SCEN'!$N$32,1))))),IF('IN_COST'!$E$41="ANNUAL",'IN_COST'!$F$41*IF('IN_COST'!$G$41="FX",'ENG_SCEN'!$N$36,IF('IN_COST'!$G$41="PPI",'ENG_SCEN'!$N$35,IF('IN_COST'!$G$41="ENERGY",'ENG_SCEN'!$N$34,IF('IN_COST'!$G$41="WAGE",'ENG_SCEN'!$N$33,IF('IN_COST'!$G$41="CPI",'ENG_SCEN'!$N$32,1))))),IF('IN_COST'!$E$41="PCT_REV",'ENG_OPS'!$N$81*'IN_COST'!$F$41,IF('IN_COST'!$E$41="PCT_ASSET",'ENG_CAPEX'!$N$84*'IN_COST'!$F$41,IF('IN_COST'!$E$41="DEP",'ENG_CAPEX'!$N$81,IF('IN_COST'!$E$41="PAY",INDEX('IN_COST'!$D$15:$D$19,IFERROR(VALUE(MID('IN_COST'!$F$41,FIND(":",'IN_COST'!$F$41)+1,2)),1))*INDEX('IN_COST'!$E$15:$E$19,IFERROR(VALUE(MID('IN_COST'!$F$41,FIND(":",'IN_COST'!$F$41)+1,2)),1))*'IN_COST'!$D$10*'IN_COST'!$D$11*'ENG_SCEN'!$N$33,IF('IN_COST'!$E$41="SRV",SUM(INDEX('ENG_ALLOC'!$D$29:$P$58,(IFERROR(VALUE(MID('IN_COST'!$F$41,FIND(":",'IN_COST'!$F$41)+1,2)),1)-1)*6+1,11):INDEX('ENG_ALLOC'!$D$29:$P$58,IFERROR(VALUE(MID('IN_COST'!$F$41,FIND(":",'IN_COST'!$F$41)+1,2)),1)*6,11)),0)))))))))))*IF('IN_COST'!$E$41="DEP",'ENG_SCEN'!$G$16,IF('IN_COST'!$I$41="V",IF('IN_COST'!$E$41="SCRAP_LME",'ENG_SCEN'!$G$13,'ENG_SCEN'!$G$14),'ENG_SCEN'!$G$15))</f>
        <v/>
      </c>
      <c r="O55" s="33">
        <f>'IN_MACRO'!$O$34*IF('IN_COST'!$E$41="SCRAP_LME",'ENG_OPS'!$O$20*'IN_COST'!$F$41*'ENG_SCEN'!$O$37,IF('IN_COST'!$E$41="PER_TON_BATT",'ENG_OPS'!$O$20*'IN_COST'!$F$41*IF('IN_COST'!$G$41="FX",'ENG_SCEN'!$O$36,IF('IN_COST'!$G$41="PPI",'ENG_SCEN'!$O$35,IF('IN_COST'!$G$41="ENERGY",'ENG_SCEN'!$O$34,IF('IN_COST'!$G$41="WAGE",'ENG_SCEN'!$O$33,IF('IN_COST'!$G$41="CPI",'ENG_SCEN'!$O$32,1))))),IF('IN_COST'!$E$41="PER_TON_PROD",'ENG_OPS'!$O$43*'IN_COST'!$F$41*IF('IN_COST'!$G$41="FX",'ENG_SCEN'!$O$36,IF('IN_COST'!$G$41="PPI",'ENG_SCEN'!$O$35,IF('IN_COST'!$G$41="ENERGY",'ENG_SCEN'!$O$34,IF('IN_COST'!$G$41="WAGE",'ENG_SCEN'!$O$33,IF('IN_COST'!$G$41="CPI",'ENG_SCEN'!$O$32,1))))),IF('IN_COST'!$E$41="PER_KWH",'ENG_OPS'!$O$63*'IN_COST'!$F$41*IF('IN_COST'!$G$41="FX",'ENG_SCEN'!$O$36,IF('IN_COST'!$G$41="PPI",'ENG_SCEN'!$O$35,IF('IN_COST'!$G$41="ENERGY",'ENG_SCEN'!$O$34,IF('IN_COST'!$G$41="WAGE",'ENG_SCEN'!$O$33,IF('IN_COST'!$G$41="CPI",'ENG_SCEN'!$O$32,1))))),IF('IN_COST'!$E$41="PER_M3",'ENG_OPS'!$O$64*'IN_COST'!$F$41*IF('IN_COST'!$G$41="FX",'ENG_SCEN'!$O$36,IF('IN_COST'!$G$41="PPI",'ENG_SCEN'!$O$35,IF('IN_COST'!$G$41="ENERGY",'ENG_SCEN'!$O$34,IF('IN_COST'!$G$41="WAGE",'ENG_SCEN'!$O$33,IF('IN_COST'!$G$41="CPI",'ENG_SCEN'!$O$32,1))))),IF('IN_COST'!$E$41="ANNUAL",'IN_COST'!$F$41*IF('IN_COST'!$G$41="FX",'ENG_SCEN'!$O$36,IF('IN_COST'!$G$41="PPI",'ENG_SCEN'!$O$35,IF('IN_COST'!$G$41="ENERGY",'ENG_SCEN'!$O$34,IF('IN_COST'!$G$41="WAGE",'ENG_SCEN'!$O$33,IF('IN_COST'!$G$41="CPI",'ENG_SCEN'!$O$32,1))))),IF('IN_COST'!$E$41="PCT_REV",'ENG_OPS'!$O$81*'IN_COST'!$F$41,IF('IN_COST'!$E$41="PCT_ASSET",'ENG_CAPEX'!$O$84*'IN_COST'!$F$41,IF('IN_COST'!$E$41="DEP",'ENG_CAPEX'!$O$81,IF('IN_COST'!$E$41="PAY",INDEX('IN_COST'!$D$15:$D$19,IFERROR(VALUE(MID('IN_COST'!$F$41,FIND(":",'IN_COST'!$F$41)+1,2)),1))*INDEX('IN_COST'!$E$15:$E$19,IFERROR(VALUE(MID('IN_COST'!$F$41,FIND(":",'IN_COST'!$F$41)+1,2)),1))*'IN_COST'!$D$10*'IN_COST'!$D$11*'ENG_SCEN'!$O$33,IF('IN_COST'!$E$41="SRV",SUM(INDEX('ENG_ALLOC'!$D$29:$P$58,(IFERROR(VALUE(MID('IN_COST'!$F$41,FIND(":",'IN_COST'!$F$41)+1,2)),1)-1)*6+1,12):INDEX('ENG_ALLOC'!$D$29:$P$58,IFERROR(VALUE(MID('IN_COST'!$F$41,FIND(":",'IN_COST'!$F$41)+1,2)),1)*6,12)),0)))))))))))*IF('IN_COST'!$E$41="DEP",'ENG_SCEN'!$G$16,IF('IN_COST'!$I$41="V",IF('IN_COST'!$E$41="SCRAP_LME",'ENG_SCEN'!$G$13,'ENG_SCEN'!$G$14),'ENG_SCEN'!$G$15))</f>
        <v/>
      </c>
      <c r="P55" s="33">
        <f>'IN_MACRO'!$P$34*IF('IN_COST'!$E$41="SCRAP_LME",'ENG_OPS'!$P$20*'IN_COST'!$F$41*'ENG_SCEN'!$P$37,IF('IN_COST'!$E$41="PER_TON_BATT",'ENG_OPS'!$P$20*'IN_COST'!$F$41*IF('IN_COST'!$G$41="FX",'ENG_SCEN'!$P$36,IF('IN_COST'!$G$41="PPI",'ENG_SCEN'!$P$35,IF('IN_COST'!$G$41="ENERGY",'ENG_SCEN'!$P$34,IF('IN_COST'!$G$41="WAGE",'ENG_SCEN'!$P$33,IF('IN_COST'!$G$41="CPI",'ENG_SCEN'!$P$32,1))))),IF('IN_COST'!$E$41="PER_TON_PROD",'ENG_OPS'!$P$43*'IN_COST'!$F$41*IF('IN_COST'!$G$41="FX",'ENG_SCEN'!$P$36,IF('IN_COST'!$G$41="PPI",'ENG_SCEN'!$P$35,IF('IN_COST'!$G$41="ENERGY",'ENG_SCEN'!$P$34,IF('IN_COST'!$G$41="WAGE",'ENG_SCEN'!$P$33,IF('IN_COST'!$G$41="CPI",'ENG_SCEN'!$P$32,1))))),IF('IN_COST'!$E$41="PER_KWH",'ENG_OPS'!$P$63*'IN_COST'!$F$41*IF('IN_COST'!$G$41="FX",'ENG_SCEN'!$P$36,IF('IN_COST'!$G$41="PPI",'ENG_SCEN'!$P$35,IF('IN_COST'!$G$41="ENERGY",'ENG_SCEN'!$P$34,IF('IN_COST'!$G$41="WAGE",'ENG_SCEN'!$P$33,IF('IN_COST'!$G$41="CPI",'ENG_SCEN'!$P$32,1))))),IF('IN_COST'!$E$41="PER_M3",'ENG_OPS'!$P$64*'IN_COST'!$F$41*IF('IN_COST'!$G$41="FX",'ENG_SCEN'!$P$36,IF('IN_COST'!$G$41="PPI",'ENG_SCEN'!$P$35,IF('IN_COST'!$G$41="ENERGY",'ENG_SCEN'!$P$34,IF('IN_COST'!$G$41="WAGE",'ENG_SCEN'!$P$33,IF('IN_COST'!$G$41="CPI",'ENG_SCEN'!$P$32,1))))),IF('IN_COST'!$E$41="ANNUAL",'IN_COST'!$F$41*IF('IN_COST'!$G$41="FX",'ENG_SCEN'!$P$36,IF('IN_COST'!$G$41="PPI",'ENG_SCEN'!$P$35,IF('IN_COST'!$G$41="ENERGY",'ENG_SCEN'!$P$34,IF('IN_COST'!$G$41="WAGE",'ENG_SCEN'!$P$33,IF('IN_COST'!$G$41="CPI",'ENG_SCEN'!$P$32,1))))),IF('IN_COST'!$E$41="PCT_REV",'ENG_OPS'!$P$81*'IN_COST'!$F$41,IF('IN_COST'!$E$41="PCT_ASSET",'ENG_CAPEX'!$P$84*'IN_COST'!$F$41,IF('IN_COST'!$E$41="DEP",'ENG_CAPEX'!$P$81,IF('IN_COST'!$E$41="PAY",INDEX('IN_COST'!$D$15:$D$19,IFERROR(VALUE(MID('IN_COST'!$F$41,FIND(":",'IN_COST'!$F$41)+1,2)),1))*INDEX('IN_COST'!$E$15:$E$19,IFERROR(VALUE(MID('IN_COST'!$F$41,FIND(":",'IN_COST'!$F$41)+1,2)),1))*'IN_COST'!$D$10*'IN_COST'!$D$11*'ENG_SCEN'!$P$33,IF('IN_COST'!$E$41="SRV",SUM(INDEX('ENG_ALLOC'!$D$29:$P$58,(IFERROR(VALUE(MID('IN_COST'!$F$41,FIND(":",'IN_COST'!$F$41)+1,2)),1)-1)*6+1,13):INDEX('ENG_ALLOC'!$D$29:$P$58,IFERROR(VALUE(MID('IN_COST'!$F$41,FIND(":",'IN_COST'!$F$41)+1,2)),1)*6,13)),0)))))))))))*IF('IN_COST'!$E$41="DEP",'ENG_SCEN'!$G$16,IF('IN_COST'!$I$41="V",IF('IN_COST'!$E$41="SCRAP_LME",'ENG_SCEN'!$G$13,'ENG_SCEN'!$G$14),'ENG_SCEN'!$G$15))</f>
        <v/>
      </c>
    </row>
    <row r="56">
      <c r="A56" s="15" t="inlineStr">
        <is>
          <t>OPC-04 | نگهداری و تعمیرات متغیر</t>
        </is>
      </c>
      <c r="B56" s="16" t="inlineStr">
        <is>
          <t>EC.tot.9</t>
        </is>
      </c>
      <c r="C56" s="17" t="inlineStr">
        <is>
          <t>میلیون ریال</t>
        </is>
      </c>
      <c r="D56" s="33">
        <f>'IN_MACRO'!$D$34*IF('IN_COST'!$E$42="SCRAP_LME",'ENG_OPS'!$D$20*'IN_COST'!$F$42*'ENG_SCEN'!$D$37,IF('IN_COST'!$E$42="PER_TON_BATT",'ENG_OPS'!$D$20*'IN_COST'!$F$42*IF('IN_COST'!$G$42="FX",'ENG_SCEN'!$D$36,IF('IN_COST'!$G$42="PPI",'ENG_SCEN'!$D$35,IF('IN_COST'!$G$42="ENERGY",'ENG_SCEN'!$D$34,IF('IN_COST'!$G$42="WAGE",'ENG_SCEN'!$D$33,IF('IN_COST'!$G$42="CPI",'ENG_SCEN'!$D$32,1))))),IF('IN_COST'!$E$42="PER_TON_PROD",'ENG_OPS'!$D$43*'IN_COST'!$F$42*IF('IN_COST'!$G$42="FX",'ENG_SCEN'!$D$36,IF('IN_COST'!$G$42="PPI",'ENG_SCEN'!$D$35,IF('IN_COST'!$G$42="ENERGY",'ENG_SCEN'!$D$34,IF('IN_COST'!$G$42="WAGE",'ENG_SCEN'!$D$33,IF('IN_COST'!$G$42="CPI",'ENG_SCEN'!$D$32,1))))),IF('IN_COST'!$E$42="PER_KWH",'ENG_OPS'!$D$63*'IN_COST'!$F$42*IF('IN_COST'!$G$42="FX",'ENG_SCEN'!$D$36,IF('IN_COST'!$G$42="PPI",'ENG_SCEN'!$D$35,IF('IN_COST'!$G$42="ENERGY",'ENG_SCEN'!$D$34,IF('IN_COST'!$G$42="WAGE",'ENG_SCEN'!$D$33,IF('IN_COST'!$G$42="CPI",'ENG_SCEN'!$D$32,1))))),IF('IN_COST'!$E$42="PER_M3",'ENG_OPS'!$D$64*'IN_COST'!$F$42*IF('IN_COST'!$G$42="FX",'ENG_SCEN'!$D$36,IF('IN_COST'!$G$42="PPI",'ENG_SCEN'!$D$35,IF('IN_COST'!$G$42="ENERGY",'ENG_SCEN'!$D$34,IF('IN_COST'!$G$42="WAGE",'ENG_SCEN'!$D$33,IF('IN_COST'!$G$42="CPI",'ENG_SCEN'!$D$32,1))))),IF('IN_COST'!$E$42="ANNUAL",'IN_COST'!$F$42*IF('IN_COST'!$G$42="FX",'ENG_SCEN'!$D$36,IF('IN_COST'!$G$42="PPI",'ENG_SCEN'!$D$35,IF('IN_COST'!$G$42="ENERGY",'ENG_SCEN'!$D$34,IF('IN_COST'!$G$42="WAGE",'ENG_SCEN'!$D$33,IF('IN_COST'!$G$42="CPI",'ENG_SCEN'!$D$32,1))))),IF('IN_COST'!$E$42="PCT_REV",'ENG_OPS'!$D$81*'IN_COST'!$F$42,IF('IN_COST'!$E$42="PCT_ASSET",'ENG_CAPEX'!$D$84*'IN_COST'!$F$42,IF('IN_COST'!$E$42="DEP",'ENG_CAPEX'!$D$81,IF('IN_COST'!$E$42="PAY",INDEX('IN_COST'!$D$15:$D$19,IFERROR(VALUE(MID('IN_COST'!$F$42,FIND(":",'IN_COST'!$F$42)+1,2)),1))*INDEX('IN_COST'!$E$15:$E$19,IFERROR(VALUE(MID('IN_COST'!$F$42,FIND(":",'IN_COST'!$F$42)+1,2)),1))*'IN_COST'!$D$10*'IN_COST'!$D$11*'ENG_SCEN'!$D$33,IF('IN_COST'!$E$42="SRV",SUM(INDEX('ENG_ALLOC'!$D$29:$P$58,(IFERROR(VALUE(MID('IN_COST'!$F$42,FIND(":",'IN_COST'!$F$42)+1,2)),1)-1)*6+1,1):INDEX('ENG_ALLOC'!$D$29:$P$58,IFERROR(VALUE(MID('IN_COST'!$F$42,FIND(":",'IN_COST'!$F$42)+1,2)),1)*6,1)),0)))))))))))*IF('IN_COST'!$E$42="DEP",'ENG_SCEN'!$G$16,IF('IN_COST'!$I$42="V",IF('IN_COST'!$E$42="SCRAP_LME",'ENG_SCEN'!$G$13,'ENG_SCEN'!$G$14),'ENG_SCEN'!$G$15))</f>
        <v/>
      </c>
      <c r="E56" s="33">
        <f>'IN_MACRO'!$E$34*IF('IN_COST'!$E$42="SCRAP_LME",'ENG_OPS'!$E$20*'IN_COST'!$F$42*'ENG_SCEN'!$E$37,IF('IN_COST'!$E$42="PER_TON_BATT",'ENG_OPS'!$E$20*'IN_COST'!$F$42*IF('IN_COST'!$G$42="FX",'ENG_SCEN'!$E$36,IF('IN_COST'!$G$42="PPI",'ENG_SCEN'!$E$35,IF('IN_COST'!$G$42="ENERGY",'ENG_SCEN'!$E$34,IF('IN_COST'!$G$42="WAGE",'ENG_SCEN'!$E$33,IF('IN_COST'!$G$42="CPI",'ENG_SCEN'!$E$32,1))))),IF('IN_COST'!$E$42="PER_TON_PROD",'ENG_OPS'!$E$43*'IN_COST'!$F$42*IF('IN_COST'!$G$42="FX",'ENG_SCEN'!$E$36,IF('IN_COST'!$G$42="PPI",'ENG_SCEN'!$E$35,IF('IN_COST'!$G$42="ENERGY",'ENG_SCEN'!$E$34,IF('IN_COST'!$G$42="WAGE",'ENG_SCEN'!$E$33,IF('IN_COST'!$G$42="CPI",'ENG_SCEN'!$E$32,1))))),IF('IN_COST'!$E$42="PER_KWH",'ENG_OPS'!$E$63*'IN_COST'!$F$42*IF('IN_COST'!$G$42="FX",'ENG_SCEN'!$E$36,IF('IN_COST'!$G$42="PPI",'ENG_SCEN'!$E$35,IF('IN_COST'!$G$42="ENERGY",'ENG_SCEN'!$E$34,IF('IN_COST'!$G$42="WAGE",'ENG_SCEN'!$E$33,IF('IN_COST'!$G$42="CPI",'ENG_SCEN'!$E$32,1))))),IF('IN_COST'!$E$42="PER_M3",'ENG_OPS'!$E$64*'IN_COST'!$F$42*IF('IN_COST'!$G$42="FX",'ENG_SCEN'!$E$36,IF('IN_COST'!$G$42="PPI",'ENG_SCEN'!$E$35,IF('IN_COST'!$G$42="ENERGY",'ENG_SCEN'!$E$34,IF('IN_COST'!$G$42="WAGE",'ENG_SCEN'!$E$33,IF('IN_COST'!$G$42="CPI",'ENG_SCEN'!$E$32,1))))),IF('IN_COST'!$E$42="ANNUAL",'IN_COST'!$F$42*IF('IN_COST'!$G$42="FX",'ENG_SCEN'!$E$36,IF('IN_COST'!$G$42="PPI",'ENG_SCEN'!$E$35,IF('IN_COST'!$G$42="ENERGY",'ENG_SCEN'!$E$34,IF('IN_COST'!$G$42="WAGE",'ENG_SCEN'!$E$33,IF('IN_COST'!$G$42="CPI",'ENG_SCEN'!$E$32,1))))),IF('IN_COST'!$E$42="PCT_REV",'ENG_OPS'!$E$81*'IN_COST'!$F$42,IF('IN_COST'!$E$42="PCT_ASSET",'ENG_CAPEX'!$E$84*'IN_COST'!$F$42,IF('IN_COST'!$E$42="DEP",'ENG_CAPEX'!$E$81,IF('IN_COST'!$E$42="PAY",INDEX('IN_COST'!$D$15:$D$19,IFERROR(VALUE(MID('IN_COST'!$F$42,FIND(":",'IN_COST'!$F$42)+1,2)),1))*INDEX('IN_COST'!$E$15:$E$19,IFERROR(VALUE(MID('IN_COST'!$F$42,FIND(":",'IN_COST'!$F$42)+1,2)),1))*'IN_COST'!$D$10*'IN_COST'!$D$11*'ENG_SCEN'!$E$33,IF('IN_COST'!$E$42="SRV",SUM(INDEX('ENG_ALLOC'!$D$29:$P$58,(IFERROR(VALUE(MID('IN_COST'!$F$42,FIND(":",'IN_COST'!$F$42)+1,2)),1)-1)*6+1,2):INDEX('ENG_ALLOC'!$D$29:$P$58,IFERROR(VALUE(MID('IN_COST'!$F$42,FIND(":",'IN_COST'!$F$42)+1,2)),1)*6,2)),0)))))))))))*IF('IN_COST'!$E$42="DEP",'ENG_SCEN'!$G$16,IF('IN_COST'!$I$42="V",IF('IN_COST'!$E$42="SCRAP_LME",'ENG_SCEN'!$G$13,'ENG_SCEN'!$G$14),'ENG_SCEN'!$G$15))</f>
        <v/>
      </c>
      <c r="F56" s="33">
        <f>'IN_MACRO'!$F$34*IF('IN_COST'!$E$42="SCRAP_LME",'ENG_OPS'!$F$20*'IN_COST'!$F$42*'ENG_SCEN'!$F$37,IF('IN_COST'!$E$42="PER_TON_BATT",'ENG_OPS'!$F$20*'IN_COST'!$F$42*IF('IN_COST'!$G$42="FX",'ENG_SCEN'!$F$36,IF('IN_COST'!$G$42="PPI",'ENG_SCEN'!$F$35,IF('IN_COST'!$G$42="ENERGY",'ENG_SCEN'!$F$34,IF('IN_COST'!$G$42="WAGE",'ENG_SCEN'!$F$33,IF('IN_COST'!$G$42="CPI",'ENG_SCEN'!$F$32,1))))),IF('IN_COST'!$E$42="PER_TON_PROD",'ENG_OPS'!$F$43*'IN_COST'!$F$42*IF('IN_COST'!$G$42="FX",'ENG_SCEN'!$F$36,IF('IN_COST'!$G$42="PPI",'ENG_SCEN'!$F$35,IF('IN_COST'!$G$42="ENERGY",'ENG_SCEN'!$F$34,IF('IN_COST'!$G$42="WAGE",'ENG_SCEN'!$F$33,IF('IN_COST'!$G$42="CPI",'ENG_SCEN'!$F$32,1))))),IF('IN_COST'!$E$42="PER_KWH",'ENG_OPS'!$F$63*'IN_COST'!$F$42*IF('IN_COST'!$G$42="FX",'ENG_SCEN'!$F$36,IF('IN_COST'!$G$42="PPI",'ENG_SCEN'!$F$35,IF('IN_COST'!$G$42="ENERGY",'ENG_SCEN'!$F$34,IF('IN_COST'!$G$42="WAGE",'ENG_SCEN'!$F$33,IF('IN_COST'!$G$42="CPI",'ENG_SCEN'!$F$32,1))))),IF('IN_COST'!$E$42="PER_M3",'ENG_OPS'!$F$64*'IN_COST'!$F$42*IF('IN_COST'!$G$42="FX",'ENG_SCEN'!$F$36,IF('IN_COST'!$G$42="PPI",'ENG_SCEN'!$F$35,IF('IN_COST'!$G$42="ENERGY",'ENG_SCEN'!$F$34,IF('IN_COST'!$G$42="WAGE",'ENG_SCEN'!$F$33,IF('IN_COST'!$G$42="CPI",'ENG_SCEN'!$F$32,1))))),IF('IN_COST'!$E$42="ANNUAL",'IN_COST'!$F$42*IF('IN_COST'!$G$42="FX",'ENG_SCEN'!$F$36,IF('IN_COST'!$G$42="PPI",'ENG_SCEN'!$F$35,IF('IN_COST'!$G$42="ENERGY",'ENG_SCEN'!$F$34,IF('IN_COST'!$G$42="WAGE",'ENG_SCEN'!$F$33,IF('IN_COST'!$G$42="CPI",'ENG_SCEN'!$F$32,1))))),IF('IN_COST'!$E$42="PCT_REV",'ENG_OPS'!$F$81*'IN_COST'!$F$42,IF('IN_COST'!$E$42="PCT_ASSET",'ENG_CAPEX'!$F$84*'IN_COST'!$F$42,IF('IN_COST'!$E$42="DEP",'ENG_CAPEX'!$F$81,IF('IN_COST'!$E$42="PAY",INDEX('IN_COST'!$D$15:$D$19,IFERROR(VALUE(MID('IN_COST'!$F$42,FIND(":",'IN_COST'!$F$42)+1,2)),1))*INDEX('IN_COST'!$E$15:$E$19,IFERROR(VALUE(MID('IN_COST'!$F$42,FIND(":",'IN_COST'!$F$42)+1,2)),1))*'IN_COST'!$D$10*'IN_COST'!$D$11*'ENG_SCEN'!$F$33,IF('IN_COST'!$E$42="SRV",SUM(INDEX('ENG_ALLOC'!$D$29:$P$58,(IFERROR(VALUE(MID('IN_COST'!$F$42,FIND(":",'IN_COST'!$F$42)+1,2)),1)-1)*6+1,3):INDEX('ENG_ALLOC'!$D$29:$P$58,IFERROR(VALUE(MID('IN_COST'!$F$42,FIND(":",'IN_COST'!$F$42)+1,2)),1)*6,3)),0)))))))))))*IF('IN_COST'!$E$42="DEP",'ENG_SCEN'!$G$16,IF('IN_COST'!$I$42="V",IF('IN_COST'!$E$42="SCRAP_LME",'ENG_SCEN'!$G$13,'ENG_SCEN'!$G$14),'ENG_SCEN'!$G$15))</f>
        <v/>
      </c>
      <c r="G56" s="33">
        <f>'IN_MACRO'!$G$34*IF('IN_COST'!$E$42="SCRAP_LME",'ENG_OPS'!$G$20*'IN_COST'!$F$42*'ENG_SCEN'!$G$37,IF('IN_COST'!$E$42="PER_TON_BATT",'ENG_OPS'!$G$20*'IN_COST'!$F$42*IF('IN_COST'!$G$42="FX",'ENG_SCEN'!$G$36,IF('IN_COST'!$G$42="PPI",'ENG_SCEN'!$G$35,IF('IN_COST'!$G$42="ENERGY",'ENG_SCEN'!$G$34,IF('IN_COST'!$G$42="WAGE",'ENG_SCEN'!$G$33,IF('IN_COST'!$G$42="CPI",'ENG_SCEN'!$G$32,1))))),IF('IN_COST'!$E$42="PER_TON_PROD",'ENG_OPS'!$G$43*'IN_COST'!$F$42*IF('IN_COST'!$G$42="FX",'ENG_SCEN'!$G$36,IF('IN_COST'!$G$42="PPI",'ENG_SCEN'!$G$35,IF('IN_COST'!$G$42="ENERGY",'ENG_SCEN'!$G$34,IF('IN_COST'!$G$42="WAGE",'ENG_SCEN'!$G$33,IF('IN_COST'!$G$42="CPI",'ENG_SCEN'!$G$32,1))))),IF('IN_COST'!$E$42="PER_KWH",'ENG_OPS'!$G$63*'IN_COST'!$F$42*IF('IN_COST'!$G$42="FX",'ENG_SCEN'!$G$36,IF('IN_COST'!$G$42="PPI",'ENG_SCEN'!$G$35,IF('IN_COST'!$G$42="ENERGY",'ENG_SCEN'!$G$34,IF('IN_COST'!$G$42="WAGE",'ENG_SCEN'!$G$33,IF('IN_COST'!$G$42="CPI",'ENG_SCEN'!$G$32,1))))),IF('IN_COST'!$E$42="PER_M3",'ENG_OPS'!$G$64*'IN_COST'!$F$42*IF('IN_COST'!$G$42="FX",'ENG_SCEN'!$G$36,IF('IN_COST'!$G$42="PPI",'ENG_SCEN'!$G$35,IF('IN_COST'!$G$42="ENERGY",'ENG_SCEN'!$G$34,IF('IN_COST'!$G$42="WAGE",'ENG_SCEN'!$G$33,IF('IN_COST'!$G$42="CPI",'ENG_SCEN'!$G$32,1))))),IF('IN_COST'!$E$42="ANNUAL",'IN_COST'!$F$42*IF('IN_COST'!$G$42="FX",'ENG_SCEN'!$G$36,IF('IN_COST'!$G$42="PPI",'ENG_SCEN'!$G$35,IF('IN_COST'!$G$42="ENERGY",'ENG_SCEN'!$G$34,IF('IN_COST'!$G$42="WAGE",'ENG_SCEN'!$G$33,IF('IN_COST'!$G$42="CPI",'ENG_SCEN'!$G$32,1))))),IF('IN_COST'!$E$42="PCT_REV",'ENG_OPS'!$G$81*'IN_COST'!$F$42,IF('IN_COST'!$E$42="PCT_ASSET",'ENG_CAPEX'!$G$84*'IN_COST'!$F$42,IF('IN_COST'!$E$42="DEP",'ENG_CAPEX'!$G$81,IF('IN_COST'!$E$42="PAY",INDEX('IN_COST'!$D$15:$D$19,IFERROR(VALUE(MID('IN_COST'!$F$42,FIND(":",'IN_COST'!$F$42)+1,2)),1))*INDEX('IN_COST'!$E$15:$E$19,IFERROR(VALUE(MID('IN_COST'!$F$42,FIND(":",'IN_COST'!$F$42)+1,2)),1))*'IN_COST'!$D$10*'IN_COST'!$D$11*'ENG_SCEN'!$G$33,IF('IN_COST'!$E$42="SRV",SUM(INDEX('ENG_ALLOC'!$D$29:$P$58,(IFERROR(VALUE(MID('IN_COST'!$F$42,FIND(":",'IN_COST'!$F$42)+1,2)),1)-1)*6+1,4):INDEX('ENG_ALLOC'!$D$29:$P$58,IFERROR(VALUE(MID('IN_COST'!$F$42,FIND(":",'IN_COST'!$F$42)+1,2)),1)*6,4)),0)))))))))))*IF('IN_COST'!$E$42="DEP",'ENG_SCEN'!$G$16,IF('IN_COST'!$I$42="V",IF('IN_COST'!$E$42="SCRAP_LME",'ENG_SCEN'!$G$13,'ENG_SCEN'!$G$14),'ENG_SCEN'!$G$15))</f>
        <v/>
      </c>
      <c r="H56" s="33">
        <f>'IN_MACRO'!$H$34*IF('IN_COST'!$E$42="SCRAP_LME",'ENG_OPS'!$H$20*'IN_COST'!$F$42*'ENG_SCEN'!$H$37,IF('IN_COST'!$E$42="PER_TON_BATT",'ENG_OPS'!$H$20*'IN_COST'!$F$42*IF('IN_COST'!$G$42="FX",'ENG_SCEN'!$H$36,IF('IN_COST'!$G$42="PPI",'ENG_SCEN'!$H$35,IF('IN_COST'!$G$42="ENERGY",'ENG_SCEN'!$H$34,IF('IN_COST'!$G$42="WAGE",'ENG_SCEN'!$H$33,IF('IN_COST'!$G$42="CPI",'ENG_SCEN'!$H$32,1))))),IF('IN_COST'!$E$42="PER_TON_PROD",'ENG_OPS'!$H$43*'IN_COST'!$F$42*IF('IN_COST'!$G$42="FX",'ENG_SCEN'!$H$36,IF('IN_COST'!$G$42="PPI",'ENG_SCEN'!$H$35,IF('IN_COST'!$G$42="ENERGY",'ENG_SCEN'!$H$34,IF('IN_COST'!$G$42="WAGE",'ENG_SCEN'!$H$33,IF('IN_COST'!$G$42="CPI",'ENG_SCEN'!$H$32,1))))),IF('IN_COST'!$E$42="PER_KWH",'ENG_OPS'!$H$63*'IN_COST'!$F$42*IF('IN_COST'!$G$42="FX",'ENG_SCEN'!$H$36,IF('IN_COST'!$G$42="PPI",'ENG_SCEN'!$H$35,IF('IN_COST'!$G$42="ENERGY",'ENG_SCEN'!$H$34,IF('IN_COST'!$G$42="WAGE",'ENG_SCEN'!$H$33,IF('IN_COST'!$G$42="CPI",'ENG_SCEN'!$H$32,1))))),IF('IN_COST'!$E$42="PER_M3",'ENG_OPS'!$H$64*'IN_COST'!$F$42*IF('IN_COST'!$G$42="FX",'ENG_SCEN'!$H$36,IF('IN_COST'!$G$42="PPI",'ENG_SCEN'!$H$35,IF('IN_COST'!$G$42="ENERGY",'ENG_SCEN'!$H$34,IF('IN_COST'!$G$42="WAGE",'ENG_SCEN'!$H$33,IF('IN_COST'!$G$42="CPI",'ENG_SCEN'!$H$32,1))))),IF('IN_COST'!$E$42="ANNUAL",'IN_COST'!$F$42*IF('IN_COST'!$G$42="FX",'ENG_SCEN'!$H$36,IF('IN_COST'!$G$42="PPI",'ENG_SCEN'!$H$35,IF('IN_COST'!$G$42="ENERGY",'ENG_SCEN'!$H$34,IF('IN_COST'!$G$42="WAGE",'ENG_SCEN'!$H$33,IF('IN_COST'!$G$42="CPI",'ENG_SCEN'!$H$32,1))))),IF('IN_COST'!$E$42="PCT_REV",'ENG_OPS'!$H$81*'IN_COST'!$F$42,IF('IN_COST'!$E$42="PCT_ASSET",'ENG_CAPEX'!$H$84*'IN_COST'!$F$42,IF('IN_COST'!$E$42="DEP",'ENG_CAPEX'!$H$81,IF('IN_COST'!$E$42="PAY",INDEX('IN_COST'!$D$15:$D$19,IFERROR(VALUE(MID('IN_COST'!$F$42,FIND(":",'IN_COST'!$F$42)+1,2)),1))*INDEX('IN_COST'!$E$15:$E$19,IFERROR(VALUE(MID('IN_COST'!$F$42,FIND(":",'IN_COST'!$F$42)+1,2)),1))*'IN_COST'!$D$10*'IN_COST'!$D$11*'ENG_SCEN'!$H$33,IF('IN_COST'!$E$42="SRV",SUM(INDEX('ENG_ALLOC'!$D$29:$P$58,(IFERROR(VALUE(MID('IN_COST'!$F$42,FIND(":",'IN_COST'!$F$42)+1,2)),1)-1)*6+1,5):INDEX('ENG_ALLOC'!$D$29:$P$58,IFERROR(VALUE(MID('IN_COST'!$F$42,FIND(":",'IN_COST'!$F$42)+1,2)),1)*6,5)),0)))))))))))*IF('IN_COST'!$E$42="DEP",'ENG_SCEN'!$G$16,IF('IN_COST'!$I$42="V",IF('IN_COST'!$E$42="SCRAP_LME",'ENG_SCEN'!$G$13,'ENG_SCEN'!$G$14),'ENG_SCEN'!$G$15))</f>
        <v/>
      </c>
      <c r="I56" s="33">
        <f>'IN_MACRO'!$I$34*IF('IN_COST'!$E$42="SCRAP_LME",'ENG_OPS'!$I$20*'IN_COST'!$F$42*'ENG_SCEN'!$I$37,IF('IN_COST'!$E$42="PER_TON_BATT",'ENG_OPS'!$I$20*'IN_COST'!$F$42*IF('IN_COST'!$G$42="FX",'ENG_SCEN'!$I$36,IF('IN_COST'!$G$42="PPI",'ENG_SCEN'!$I$35,IF('IN_COST'!$G$42="ENERGY",'ENG_SCEN'!$I$34,IF('IN_COST'!$G$42="WAGE",'ENG_SCEN'!$I$33,IF('IN_COST'!$G$42="CPI",'ENG_SCEN'!$I$32,1))))),IF('IN_COST'!$E$42="PER_TON_PROD",'ENG_OPS'!$I$43*'IN_COST'!$F$42*IF('IN_COST'!$G$42="FX",'ENG_SCEN'!$I$36,IF('IN_COST'!$G$42="PPI",'ENG_SCEN'!$I$35,IF('IN_COST'!$G$42="ENERGY",'ENG_SCEN'!$I$34,IF('IN_COST'!$G$42="WAGE",'ENG_SCEN'!$I$33,IF('IN_COST'!$G$42="CPI",'ENG_SCEN'!$I$32,1))))),IF('IN_COST'!$E$42="PER_KWH",'ENG_OPS'!$I$63*'IN_COST'!$F$42*IF('IN_COST'!$G$42="FX",'ENG_SCEN'!$I$36,IF('IN_COST'!$G$42="PPI",'ENG_SCEN'!$I$35,IF('IN_COST'!$G$42="ENERGY",'ENG_SCEN'!$I$34,IF('IN_COST'!$G$42="WAGE",'ENG_SCEN'!$I$33,IF('IN_COST'!$G$42="CPI",'ENG_SCEN'!$I$32,1))))),IF('IN_COST'!$E$42="PER_M3",'ENG_OPS'!$I$64*'IN_COST'!$F$42*IF('IN_COST'!$G$42="FX",'ENG_SCEN'!$I$36,IF('IN_COST'!$G$42="PPI",'ENG_SCEN'!$I$35,IF('IN_COST'!$G$42="ENERGY",'ENG_SCEN'!$I$34,IF('IN_COST'!$G$42="WAGE",'ENG_SCEN'!$I$33,IF('IN_COST'!$G$42="CPI",'ENG_SCEN'!$I$32,1))))),IF('IN_COST'!$E$42="ANNUAL",'IN_COST'!$F$42*IF('IN_COST'!$G$42="FX",'ENG_SCEN'!$I$36,IF('IN_COST'!$G$42="PPI",'ENG_SCEN'!$I$35,IF('IN_COST'!$G$42="ENERGY",'ENG_SCEN'!$I$34,IF('IN_COST'!$G$42="WAGE",'ENG_SCEN'!$I$33,IF('IN_COST'!$G$42="CPI",'ENG_SCEN'!$I$32,1))))),IF('IN_COST'!$E$42="PCT_REV",'ENG_OPS'!$I$81*'IN_COST'!$F$42,IF('IN_COST'!$E$42="PCT_ASSET",'ENG_CAPEX'!$I$84*'IN_COST'!$F$42,IF('IN_COST'!$E$42="DEP",'ENG_CAPEX'!$I$81,IF('IN_COST'!$E$42="PAY",INDEX('IN_COST'!$D$15:$D$19,IFERROR(VALUE(MID('IN_COST'!$F$42,FIND(":",'IN_COST'!$F$42)+1,2)),1))*INDEX('IN_COST'!$E$15:$E$19,IFERROR(VALUE(MID('IN_COST'!$F$42,FIND(":",'IN_COST'!$F$42)+1,2)),1))*'IN_COST'!$D$10*'IN_COST'!$D$11*'ENG_SCEN'!$I$33,IF('IN_COST'!$E$42="SRV",SUM(INDEX('ENG_ALLOC'!$D$29:$P$58,(IFERROR(VALUE(MID('IN_COST'!$F$42,FIND(":",'IN_COST'!$F$42)+1,2)),1)-1)*6+1,6):INDEX('ENG_ALLOC'!$D$29:$P$58,IFERROR(VALUE(MID('IN_COST'!$F$42,FIND(":",'IN_COST'!$F$42)+1,2)),1)*6,6)),0)))))))))))*IF('IN_COST'!$E$42="DEP",'ENG_SCEN'!$G$16,IF('IN_COST'!$I$42="V",IF('IN_COST'!$E$42="SCRAP_LME",'ENG_SCEN'!$G$13,'ENG_SCEN'!$G$14),'ENG_SCEN'!$G$15))</f>
        <v/>
      </c>
      <c r="J56" s="33">
        <f>'IN_MACRO'!$J$34*IF('IN_COST'!$E$42="SCRAP_LME",'ENG_OPS'!$J$20*'IN_COST'!$F$42*'ENG_SCEN'!$J$37,IF('IN_COST'!$E$42="PER_TON_BATT",'ENG_OPS'!$J$20*'IN_COST'!$F$42*IF('IN_COST'!$G$42="FX",'ENG_SCEN'!$J$36,IF('IN_COST'!$G$42="PPI",'ENG_SCEN'!$J$35,IF('IN_COST'!$G$42="ENERGY",'ENG_SCEN'!$J$34,IF('IN_COST'!$G$42="WAGE",'ENG_SCEN'!$J$33,IF('IN_COST'!$G$42="CPI",'ENG_SCEN'!$J$32,1))))),IF('IN_COST'!$E$42="PER_TON_PROD",'ENG_OPS'!$J$43*'IN_COST'!$F$42*IF('IN_COST'!$G$42="FX",'ENG_SCEN'!$J$36,IF('IN_COST'!$G$42="PPI",'ENG_SCEN'!$J$35,IF('IN_COST'!$G$42="ENERGY",'ENG_SCEN'!$J$34,IF('IN_COST'!$G$42="WAGE",'ENG_SCEN'!$J$33,IF('IN_COST'!$G$42="CPI",'ENG_SCEN'!$J$32,1))))),IF('IN_COST'!$E$42="PER_KWH",'ENG_OPS'!$J$63*'IN_COST'!$F$42*IF('IN_COST'!$G$42="FX",'ENG_SCEN'!$J$36,IF('IN_COST'!$G$42="PPI",'ENG_SCEN'!$J$35,IF('IN_COST'!$G$42="ENERGY",'ENG_SCEN'!$J$34,IF('IN_COST'!$G$42="WAGE",'ENG_SCEN'!$J$33,IF('IN_COST'!$G$42="CPI",'ENG_SCEN'!$J$32,1))))),IF('IN_COST'!$E$42="PER_M3",'ENG_OPS'!$J$64*'IN_COST'!$F$42*IF('IN_COST'!$G$42="FX",'ENG_SCEN'!$J$36,IF('IN_COST'!$G$42="PPI",'ENG_SCEN'!$J$35,IF('IN_COST'!$G$42="ENERGY",'ENG_SCEN'!$J$34,IF('IN_COST'!$G$42="WAGE",'ENG_SCEN'!$J$33,IF('IN_COST'!$G$42="CPI",'ENG_SCEN'!$J$32,1))))),IF('IN_COST'!$E$42="ANNUAL",'IN_COST'!$F$42*IF('IN_COST'!$G$42="FX",'ENG_SCEN'!$J$36,IF('IN_COST'!$G$42="PPI",'ENG_SCEN'!$J$35,IF('IN_COST'!$G$42="ENERGY",'ENG_SCEN'!$J$34,IF('IN_COST'!$G$42="WAGE",'ENG_SCEN'!$J$33,IF('IN_COST'!$G$42="CPI",'ENG_SCEN'!$J$32,1))))),IF('IN_COST'!$E$42="PCT_REV",'ENG_OPS'!$J$81*'IN_COST'!$F$42,IF('IN_COST'!$E$42="PCT_ASSET",'ENG_CAPEX'!$J$84*'IN_COST'!$F$42,IF('IN_COST'!$E$42="DEP",'ENG_CAPEX'!$J$81,IF('IN_COST'!$E$42="PAY",INDEX('IN_COST'!$D$15:$D$19,IFERROR(VALUE(MID('IN_COST'!$F$42,FIND(":",'IN_COST'!$F$42)+1,2)),1))*INDEX('IN_COST'!$E$15:$E$19,IFERROR(VALUE(MID('IN_COST'!$F$42,FIND(":",'IN_COST'!$F$42)+1,2)),1))*'IN_COST'!$D$10*'IN_COST'!$D$11*'ENG_SCEN'!$J$33,IF('IN_COST'!$E$42="SRV",SUM(INDEX('ENG_ALLOC'!$D$29:$P$58,(IFERROR(VALUE(MID('IN_COST'!$F$42,FIND(":",'IN_COST'!$F$42)+1,2)),1)-1)*6+1,7):INDEX('ENG_ALLOC'!$D$29:$P$58,IFERROR(VALUE(MID('IN_COST'!$F$42,FIND(":",'IN_COST'!$F$42)+1,2)),1)*6,7)),0)))))))))))*IF('IN_COST'!$E$42="DEP",'ENG_SCEN'!$G$16,IF('IN_COST'!$I$42="V",IF('IN_COST'!$E$42="SCRAP_LME",'ENG_SCEN'!$G$13,'ENG_SCEN'!$G$14),'ENG_SCEN'!$G$15))</f>
        <v/>
      </c>
      <c r="K56" s="33">
        <f>'IN_MACRO'!$K$34*IF('IN_COST'!$E$42="SCRAP_LME",'ENG_OPS'!$K$20*'IN_COST'!$F$42*'ENG_SCEN'!$K$37,IF('IN_COST'!$E$42="PER_TON_BATT",'ENG_OPS'!$K$20*'IN_COST'!$F$42*IF('IN_COST'!$G$42="FX",'ENG_SCEN'!$K$36,IF('IN_COST'!$G$42="PPI",'ENG_SCEN'!$K$35,IF('IN_COST'!$G$42="ENERGY",'ENG_SCEN'!$K$34,IF('IN_COST'!$G$42="WAGE",'ENG_SCEN'!$K$33,IF('IN_COST'!$G$42="CPI",'ENG_SCEN'!$K$32,1))))),IF('IN_COST'!$E$42="PER_TON_PROD",'ENG_OPS'!$K$43*'IN_COST'!$F$42*IF('IN_COST'!$G$42="FX",'ENG_SCEN'!$K$36,IF('IN_COST'!$G$42="PPI",'ENG_SCEN'!$K$35,IF('IN_COST'!$G$42="ENERGY",'ENG_SCEN'!$K$34,IF('IN_COST'!$G$42="WAGE",'ENG_SCEN'!$K$33,IF('IN_COST'!$G$42="CPI",'ENG_SCEN'!$K$32,1))))),IF('IN_COST'!$E$42="PER_KWH",'ENG_OPS'!$K$63*'IN_COST'!$F$42*IF('IN_COST'!$G$42="FX",'ENG_SCEN'!$K$36,IF('IN_COST'!$G$42="PPI",'ENG_SCEN'!$K$35,IF('IN_COST'!$G$42="ENERGY",'ENG_SCEN'!$K$34,IF('IN_COST'!$G$42="WAGE",'ENG_SCEN'!$K$33,IF('IN_COST'!$G$42="CPI",'ENG_SCEN'!$K$32,1))))),IF('IN_COST'!$E$42="PER_M3",'ENG_OPS'!$K$64*'IN_COST'!$F$42*IF('IN_COST'!$G$42="FX",'ENG_SCEN'!$K$36,IF('IN_COST'!$G$42="PPI",'ENG_SCEN'!$K$35,IF('IN_COST'!$G$42="ENERGY",'ENG_SCEN'!$K$34,IF('IN_COST'!$G$42="WAGE",'ENG_SCEN'!$K$33,IF('IN_COST'!$G$42="CPI",'ENG_SCEN'!$K$32,1))))),IF('IN_COST'!$E$42="ANNUAL",'IN_COST'!$F$42*IF('IN_COST'!$G$42="FX",'ENG_SCEN'!$K$36,IF('IN_COST'!$G$42="PPI",'ENG_SCEN'!$K$35,IF('IN_COST'!$G$42="ENERGY",'ENG_SCEN'!$K$34,IF('IN_COST'!$G$42="WAGE",'ENG_SCEN'!$K$33,IF('IN_COST'!$G$42="CPI",'ENG_SCEN'!$K$32,1))))),IF('IN_COST'!$E$42="PCT_REV",'ENG_OPS'!$K$81*'IN_COST'!$F$42,IF('IN_COST'!$E$42="PCT_ASSET",'ENG_CAPEX'!$K$84*'IN_COST'!$F$42,IF('IN_COST'!$E$42="DEP",'ENG_CAPEX'!$K$81,IF('IN_COST'!$E$42="PAY",INDEX('IN_COST'!$D$15:$D$19,IFERROR(VALUE(MID('IN_COST'!$F$42,FIND(":",'IN_COST'!$F$42)+1,2)),1))*INDEX('IN_COST'!$E$15:$E$19,IFERROR(VALUE(MID('IN_COST'!$F$42,FIND(":",'IN_COST'!$F$42)+1,2)),1))*'IN_COST'!$D$10*'IN_COST'!$D$11*'ENG_SCEN'!$K$33,IF('IN_COST'!$E$42="SRV",SUM(INDEX('ENG_ALLOC'!$D$29:$P$58,(IFERROR(VALUE(MID('IN_COST'!$F$42,FIND(":",'IN_COST'!$F$42)+1,2)),1)-1)*6+1,8):INDEX('ENG_ALLOC'!$D$29:$P$58,IFERROR(VALUE(MID('IN_COST'!$F$42,FIND(":",'IN_COST'!$F$42)+1,2)),1)*6,8)),0)))))))))))*IF('IN_COST'!$E$42="DEP",'ENG_SCEN'!$G$16,IF('IN_COST'!$I$42="V",IF('IN_COST'!$E$42="SCRAP_LME",'ENG_SCEN'!$G$13,'ENG_SCEN'!$G$14),'ENG_SCEN'!$G$15))</f>
        <v/>
      </c>
      <c r="L56" s="33">
        <f>'IN_MACRO'!$L$34*IF('IN_COST'!$E$42="SCRAP_LME",'ENG_OPS'!$L$20*'IN_COST'!$F$42*'ENG_SCEN'!$L$37,IF('IN_COST'!$E$42="PER_TON_BATT",'ENG_OPS'!$L$20*'IN_COST'!$F$42*IF('IN_COST'!$G$42="FX",'ENG_SCEN'!$L$36,IF('IN_COST'!$G$42="PPI",'ENG_SCEN'!$L$35,IF('IN_COST'!$G$42="ENERGY",'ENG_SCEN'!$L$34,IF('IN_COST'!$G$42="WAGE",'ENG_SCEN'!$L$33,IF('IN_COST'!$G$42="CPI",'ENG_SCEN'!$L$32,1))))),IF('IN_COST'!$E$42="PER_TON_PROD",'ENG_OPS'!$L$43*'IN_COST'!$F$42*IF('IN_COST'!$G$42="FX",'ENG_SCEN'!$L$36,IF('IN_COST'!$G$42="PPI",'ENG_SCEN'!$L$35,IF('IN_COST'!$G$42="ENERGY",'ENG_SCEN'!$L$34,IF('IN_COST'!$G$42="WAGE",'ENG_SCEN'!$L$33,IF('IN_COST'!$G$42="CPI",'ENG_SCEN'!$L$32,1))))),IF('IN_COST'!$E$42="PER_KWH",'ENG_OPS'!$L$63*'IN_COST'!$F$42*IF('IN_COST'!$G$42="FX",'ENG_SCEN'!$L$36,IF('IN_COST'!$G$42="PPI",'ENG_SCEN'!$L$35,IF('IN_COST'!$G$42="ENERGY",'ENG_SCEN'!$L$34,IF('IN_COST'!$G$42="WAGE",'ENG_SCEN'!$L$33,IF('IN_COST'!$G$42="CPI",'ENG_SCEN'!$L$32,1))))),IF('IN_COST'!$E$42="PER_M3",'ENG_OPS'!$L$64*'IN_COST'!$F$42*IF('IN_COST'!$G$42="FX",'ENG_SCEN'!$L$36,IF('IN_COST'!$G$42="PPI",'ENG_SCEN'!$L$35,IF('IN_COST'!$G$42="ENERGY",'ENG_SCEN'!$L$34,IF('IN_COST'!$G$42="WAGE",'ENG_SCEN'!$L$33,IF('IN_COST'!$G$42="CPI",'ENG_SCEN'!$L$32,1))))),IF('IN_COST'!$E$42="ANNUAL",'IN_COST'!$F$42*IF('IN_COST'!$G$42="FX",'ENG_SCEN'!$L$36,IF('IN_COST'!$G$42="PPI",'ENG_SCEN'!$L$35,IF('IN_COST'!$G$42="ENERGY",'ENG_SCEN'!$L$34,IF('IN_COST'!$G$42="WAGE",'ENG_SCEN'!$L$33,IF('IN_COST'!$G$42="CPI",'ENG_SCEN'!$L$32,1))))),IF('IN_COST'!$E$42="PCT_REV",'ENG_OPS'!$L$81*'IN_COST'!$F$42,IF('IN_COST'!$E$42="PCT_ASSET",'ENG_CAPEX'!$L$84*'IN_COST'!$F$42,IF('IN_COST'!$E$42="DEP",'ENG_CAPEX'!$L$81,IF('IN_COST'!$E$42="PAY",INDEX('IN_COST'!$D$15:$D$19,IFERROR(VALUE(MID('IN_COST'!$F$42,FIND(":",'IN_COST'!$F$42)+1,2)),1))*INDEX('IN_COST'!$E$15:$E$19,IFERROR(VALUE(MID('IN_COST'!$F$42,FIND(":",'IN_COST'!$F$42)+1,2)),1))*'IN_COST'!$D$10*'IN_COST'!$D$11*'ENG_SCEN'!$L$33,IF('IN_COST'!$E$42="SRV",SUM(INDEX('ENG_ALLOC'!$D$29:$P$58,(IFERROR(VALUE(MID('IN_COST'!$F$42,FIND(":",'IN_COST'!$F$42)+1,2)),1)-1)*6+1,9):INDEX('ENG_ALLOC'!$D$29:$P$58,IFERROR(VALUE(MID('IN_COST'!$F$42,FIND(":",'IN_COST'!$F$42)+1,2)),1)*6,9)),0)))))))))))*IF('IN_COST'!$E$42="DEP",'ENG_SCEN'!$G$16,IF('IN_COST'!$I$42="V",IF('IN_COST'!$E$42="SCRAP_LME",'ENG_SCEN'!$G$13,'ENG_SCEN'!$G$14),'ENG_SCEN'!$G$15))</f>
        <v/>
      </c>
      <c r="M56" s="33">
        <f>'IN_MACRO'!$M$34*IF('IN_COST'!$E$42="SCRAP_LME",'ENG_OPS'!$M$20*'IN_COST'!$F$42*'ENG_SCEN'!$M$37,IF('IN_COST'!$E$42="PER_TON_BATT",'ENG_OPS'!$M$20*'IN_COST'!$F$42*IF('IN_COST'!$G$42="FX",'ENG_SCEN'!$M$36,IF('IN_COST'!$G$42="PPI",'ENG_SCEN'!$M$35,IF('IN_COST'!$G$42="ENERGY",'ENG_SCEN'!$M$34,IF('IN_COST'!$G$42="WAGE",'ENG_SCEN'!$M$33,IF('IN_COST'!$G$42="CPI",'ENG_SCEN'!$M$32,1))))),IF('IN_COST'!$E$42="PER_TON_PROD",'ENG_OPS'!$M$43*'IN_COST'!$F$42*IF('IN_COST'!$G$42="FX",'ENG_SCEN'!$M$36,IF('IN_COST'!$G$42="PPI",'ENG_SCEN'!$M$35,IF('IN_COST'!$G$42="ENERGY",'ENG_SCEN'!$M$34,IF('IN_COST'!$G$42="WAGE",'ENG_SCEN'!$M$33,IF('IN_COST'!$G$42="CPI",'ENG_SCEN'!$M$32,1))))),IF('IN_COST'!$E$42="PER_KWH",'ENG_OPS'!$M$63*'IN_COST'!$F$42*IF('IN_COST'!$G$42="FX",'ENG_SCEN'!$M$36,IF('IN_COST'!$G$42="PPI",'ENG_SCEN'!$M$35,IF('IN_COST'!$G$42="ENERGY",'ENG_SCEN'!$M$34,IF('IN_COST'!$G$42="WAGE",'ENG_SCEN'!$M$33,IF('IN_COST'!$G$42="CPI",'ENG_SCEN'!$M$32,1))))),IF('IN_COST'!$E$42="PER_M3",'ENG_OPS'!$M$64*'IN_COST'!$F$42*IF('IN_COST'!$G$42="FX",'ENG_SCEN'!$M$36,IF('IN_COST'!$G$42="PPI",'ENG_SCEN'!$M$35,IF('IN_COST'!$G$42="ENERGY",'ENG_SCEN'!$M$34,IF('IN_COST'!$G$42="WAGE",'ENG_SCEN'!$M$33,IF('IN_COST'!$G$42="CPI",'ENG_SCEN'!$M$32,1))))),IF('IN_COST'!$E$42="ANNUAL",'IN_COST'!$F$42*IF('IN_COST'!$G$42="FX",'ENG_SCEN'!$M$36,IF('IN_COST'!$G$42="PPI",'ENG_SCEN'!$M$35,IF('IN_COST'!$G$42="ENERGY",'ENG_SCEN'!$M$34,IF('IN_COST'!$G$42="WAGE",'ENG_SCEN'!$M$33,IF('IN_COST'!$G$42="CPI",'ENG_SCEN'!$M$32,1))))),IF('IN_COST'!$E$42="PCT_REV",'ENG_OPS'!$M$81*'IN_COST'!$F$42,IF('IN_COST'!$E$42="PCT_ASSET",'ENG_CAPEX'!$M$84*'IN_COST'!$F$42,IF('IN_COST'!$E$42="DEP",'ENG_CAPEX'!$M$81,IF('IN_COST'!$E$42="PAY",INDEX('IN_COST'!$D$15:$D$19,IFERROR(VALUE(MID('IN_COST'!$F$42,FIND(":",'IN_COST'!$F$42)+1,2)),1))*INDEX('IN_COST'!$E$15:$E$19,IFERROR(VALUE(MID('IN_COST'!$F$42,FIND(":",'IN_COST'!$F$42)+1,2)),1))*'IN_COST'!$D$10*'IN_COST'!$D$11*'ENG_SCEN'!$M$33,IF('IN_COST'!$E$42="SRV",SUM(INDEX('ENG_ALLOC'!$D$29:$P$58,(IFERROR(VALUE(MID('IN_COST'!$F$42,FIND(":",'IN_COST'!$F$42)+1,2)),1)-1)*6+1,10):INDEX('ENG_ALLOC'!$D$29:$P$58,IFERROR(VALUE(MID('IN_COST'!$F$42,FIND(":",'IN_COST'!$F$42)+1,2)),1)*6,10)),0)))))))))))*IF('IN_COST'!$E$42="DEP",'ENG_SCEN'!$G$16,IF('IN_COST'!$I$42="V",IF('IN_COST'!$E$42="SCRAP_LME",'ENG_SCEN'!$G$13,'ENG_SCEN'!$G$14),'ENG_SCEN'!$G$15))</f>
        <v/>
      </c>
      <c r="N56" s="33">
        <f>'IN_MACRO'!$N$34*IF('IN_COST'!$E$42="SCRAP_LME",'ENG_OPS'!$N$20*'IN_COST'!$F$42*'ENG_SCEN'!$N$37,IF('IN_COST'!$E$42="PER_TON_BATT",'ENG_OPS'!$N$20*'IN_COST'!$F$42*IF('IN_COST'!$G$42="FX",'ENG_SCEN'!$N$36,IF('IN_COST'!$G$42="PPI",'ENG_SCEN'!$N$35,IF('IN_COST'!$G$42="ENERGY",'ENG_SCEN'!$N$34,IF('IN_COST'!$G$42="WAGE",'ENG_SCEN'!$N$33,IF('IN_COST'!$G$42="CPI",'ENG_SCEN'!$N$32,1))))),IF('IN_COST'!$E$42="PER_TON_PROD",'ENG_OPS'!$N$43*'IN_COST'!$F$42*IF('IN_COST'!$G$42="FX",'ENG_SCEN'!$N$36,IF('IN_COST'!$G$42="PPI",'ENG_SCEN'!$N$35,IF('IN_COST'!$G$42="ENERGY",'ENG_SCEN'!$N$34,IF('IN_COST'!$G$42="WAGE",'ENG_SCEN'!$N$33,IF('IN_COST'!$G$42="CPI",'ENG_SCEN'!$N$32,1))))),IF('IN_COST'!$E$42="PER_KWH",'ENG_OPS'!$N$63*'IN_COST'!$F$42*IF('IN_COST'!$G$42="FX",'ENG_SCEN'!$N$36,IF('IN_COST'!$G$42="PPI",'ENG_SCEN'!$N$35,IF('IN_COST'!$G$42="ENERGY",'ENG_SCEN'!$N$34,IF('IN_COST'!$G$42="WAGE",'ENG_SCEN'!$N$33,IF('IN_COST'!$G$42="CPI",'ENG_SCEN'!$N$32,1))))),IF('IN_COST'!$E$42="PER_M3",'ENG_OPS'!$N$64*'IN_COST'!$F$42*IF('IN_COST'!$G$42="FX",'ENG_SCEN'!$N$36,IF('IN_COST'!$G$42="PPI",'ENG_SCEN'!$N$35,IF('IN_COST'!$G$42="ENERGY",'ENG_SCEN'!$N$34,IF('IN_COST'!$G$42="WAGE",'ENG_SCEN'!$N$33,IF('IN_COST'!$G$42="CPI",'ENG_SCEN'!$N$32,1))))),IF('IN_COST'!$E$42="ANNUAL",'IN_COST'!$F$42*IF('IN_COST'!$G$42="FX",'ENG_SCEN'!$N$36,IF('IN_COST'!$G$42="PPI",'ENG_SCEN'!$N$35,IF('IN_COST'!$G$42="ENERGY",'ENG_SCEN'!$N$34,IF('IN_COST'!$G$42="WAGE",'ENG_SCEN'!$N$33,IF('IN_COST'!$G$42="CPI",'ENG_SCEN'!$N$32,1))))),IF('IN_COST'!$E$42="PCT_REV",'ENG_OPS'!$N$81*'IN_COST'!$F$42,IF('IN_COST'!$E$42="PCT_ASSET",'ENG_CAPEX'!$N$84*'IN_COST'!$F$42,IF('IN_COST'!$E$42="DEP",'ENG_CAPEX'!$N$81,IF('IN_COST'!$E$42="PAY",INDEX('IN_COST'!$D$15:$D$19,IFERROR(VALUE(MID('IN_COST'!$F$42,FIND(":",'IN_COST'!$F$42)+1,2)),1))*INDEX('IN_COST'!$E$15:$E$19,IFERROR(VALUE(MID('IN_COST'!$F$42,FIND(":",'IN_COST'!$F$42)+1,2)),1))*'IN_COST'!$D$10*'IN_COST'!$D$11*'ENG_SCEN'!$N$33,IF('IN_COST'!$E$42="SRV",SUM(INDEX('ENG_ALLOC'!$D$29:$P$58,(IFERROR(VALUE(MID('IN_COST'!$F$42,FIND(":",'IN_COST'!$F$42)+1,2)),1)-1)*6+1,11):INDEX('ENG_ALLOC'!$D$29:$P$58,IFERROR(VALUE(MID('IN_COST'!$F$42,FIND(":",'IN_COST'!$F$42)+1,2)),1)*6,11)),0)))))))))))*IF('IN_COST'!$E$42="DEP",'ENG_SCEN'!$G$16,IF('IN_COST'!$I$42="V",IF('IN_COST'!$E$42="SCRAP_LME",'ENG_SCEN'!$G$13,'ENG_SCEN'!$G$14),'ENG_SCEN'!$G$15))</f>
        <v/>
      </c>
      <c r="O56" s="33">
        <f>'IN_MACRO'!$O$34*IF('IN_COST'!$E$42="SCRAP_LME",'ENG_OPS'!$O$20*'IN_COST'!$F$42*'ENG_SCEN'!$O$37,IF('IN_COST'!$E$42="PER_TON_BATT",'ENG_OPS'!$O$20*'IN_COST'!$F$42*IF('IN_COST'!$G$42="FX",'ENG_SCEN'!$O$36,IF('IN_COST'!$G$42="PPI",'ENG_SCEN'!$O$35,IF('IN_COST'!$G$42="ENERGY",'ENG_SCEN'!$O$34,IF('IN_COST'!$G$42="WAGE",'ENG_SCEN'!$O$33,IF('IN_COST'!$G$42="CPI",'ENG_SCEN'!$O$32,1))))),IF('IN_COST'!$E$42="PER_TON_PROD",'ENG_OPS'!$O$43*'IN_COST'!$F$42*IF('IN_COST'!$G$42="FX",'ENG_SCEN'!$O$36,IF('IN_COST'!$G$42="PPI",'ENG_SCEN'!$O$35,IF('IN_COST'!$G$42="ENERGY",'ENG_SCEN'!$O$34,IF('IN_COST'!$G$42="WAGE",'ENG_SCEN'!$O$33,IF('IN_COST'!$G$42="CPI",'ENG_SCEN'!$O$32,1))))),IF('IN_COST'!$E$42="PER_KWH",'ENG_OPS'!$O$63*'IN_COST'!$F$42*IF('IN_COST'!$G$42="FX",'ENG_SCEN'!$O$36,IF('IN_COST'!$G$42="PPI",'ENG_SCEN'!$O$35,IF('IN_COST'!$G$42="ENERGY",'ENG_SCEN'!$O$34,IF('IN_COST'!$G$42="WAGE",'ENG_SCEN'!$O$33,IF('IN_COST'!$G$42="CPI",'ENG_SCEN'!$O$32,1))))),IF('IN_COST'!$E$42="PER_M3",'ENG_OPS'!$O$64*'IN_COST'!$F$42*IF('IN_COST'!$G$42="FX",'ENG_SCEN'!$O$36,IF('IN_COST'!$G$42="PPI",'ENG_SCEN'!$O$35,IF('IN_COST'!$G$42="ENERGY",'ENG_SCEN'!$O$34,IF('IN_COST'!$G$42="WAGE",'ENG_SCEN'!$O$33,IF('IN_COST'!$G$42="CPI",'ENG_SCEN'!$O$32,1))))),IF('IN_COST'!$E$42="ANNUAL",'IN_COST'!$F$42*IF('IN_COST'!$G$42="FX",'ENG_SCEN'!$O$36,IF('IN_COST'!$G$42="PPI",'ENG_SCEN'!$O$35,IF('IN_COST'!$G$42="ENERGY",'ENG_SCEN'!$O$34,IF('IN_COST'!$G$42="WAGE",'ENG_SCEN'!$O$33,IF('IN_COST'!$G$42="CPI",'ENG_SCEN'!$O$32,1))))),IF('IN_COST'!$E$42="PCT_REV",'ENG_OPS'!$O$81*'IN_COST'!$F$42,IF('IN_COST'!$E$42="PCT_ASSET",'ENG_CAPEX'!$O$84*'IN_COST'!$F$42,IF('IN_COST'!$E$42="DEP",'ENG_CAPEX'!$O$81,IF('IN_COST'!$E$42="PAY",INDEX('IN_COST'!$D$15:$D$19,IFERROR(VALUE(MID('IN_COST'!$F$42,FIND(":",'IN_COST'!$F$42)+1,2)),1))*INDEX('IN_COST'!$E$15:$E$19,IFERROR(VALUE(MID('IN_COST'!$F$42,FIND(":",'IN_COST'!$F$42)+1,2)),1))*'IN_COST'!$D$10*'IN_COST'!$D$11*'ENG_SCEN'!$O$33,IF('IN_COST'!$E$42="SRV",SUM(INDEX('ENG_ALLOC'!$D$29:$P$58,(IFERROR(VALUE(MID('IN_COST'!$F$42,FIND(":",'IN_COST'!$F$42)+1,2)),1)-1)*6+1,12):INDEX('ENG_ALLOC'!$D$29:$P$58,IFERROR(VALUE(MID('IN_COST'!$F$42,FIND(":",'IN_COST'!$F$42)+1,2)),1)*6,12)),0)))))))))))*IF('IN_COST'!$E$42="DEP",'ENG_SCEN'!$G$16,IF('IN_COST'!$I$42="V",IF('IN_COST'!$E$42="SCRAP_LME",'ENG_SCEN'!$G$13,'ENG_SCEN'!$G$14),'ENG_SCEN'!$G$15))</f>
        <v/>
      </c>
      <c r="P56" s="33">
        <f>'IN_MACRO'!$P$34*IF('IN_COST'!$E$42="SCRAP_LME",'ENG_OPS'!$P$20*'IN_COST'!$F$42*'ENG_SCEN'!$P$37,IF('IN_COST'!$E$42="PER_TON_BATT",'ENG_OPS'!$P$20*'IN_COST'!$F$42*IF('IN_COST'!$G$42="FX",'ENG_SCEN'!$P$36,IF('IN_COST'!$G$42="PPI",'ENG_SCEN'!$P$35,IF('IN_COST'!$G$42="ENERGY",'ENG_SCEN'!$P$34,IF('IN_COST'!$G$42="WAGE",'ENG_SCEN'!$P$33,IF('IN_COST'!$G$42="CPI",'ENG_SCEN'!$P$32,1))))),IF('IN_COST'!$E$42="PER_TON_PROD",'ENG_OPS'!$P$43*'IN_COST'!$F$42*IF('IN_COST'!$G$42="FX",'ENG_SCEN'!$P$36,IF('IN_COST'!$G$42="PPI",'ENG_SCEN'!$P$35,IF('IN_COST'!$G$42="ENERGY",'ENG_SCEN'!$P$34,IF('IN_COST'!$G$42="WAGE",'ENG_SCEN'!$P$33,IF('IN_COST'!$G$42="CPI",'ENG_SCEN'!$P$32,1))))),IF('IN_COST'!$E$42="PER_KWH",'ENG_OPS'!$P$63*'IN_COST'!$F$42*IF('IN_COST'!$G$42="FX",'ENG_SCEN'!$P$36,IF('IN_COST'!$G$42="PPI",'ENG_SCEN'!$P$35,IF('IN_COST'!$G$42="ENERGY",'ENG_SCEN'!$P$34,IF('IN_COST'!$G$42="WAGE",'ENG_SCEN'!$P$33,IF('IN_COST'!$G$42="CPI",'ENG_SCEN'!$P$32,1))))),IF('IN_COST'!$E$42="PER_M3",'ENG_OPS'!$P$64*'IN_COST'!$F$42*IF('IN_COST'!$G$42="FX",'ENG_SCEN'!$P$36,IF('IN_COST'!$G$42="PPI",'ENG_SCEN'!$P$35,IF('IN_COST'!$G$42="ENERGY",'ENG_SCEN'!$P$34,IF('IN_COST'!$G$42="WAGE",'ENG_SCEN'!$P$33,IF('IN_COST'!$G$42="CPI",'ENG_SCEN'!$P$32,1))))),IF('IN_COST'!$E$42="ANNUAL",'IN_COST'!$F$42*IF('IN_COST'!$G$42="FX",'ENG_SCEN'!$P$36,IF('IN_COST'!$G$42="PPI",'ENG_SCEN'!$P$35,IF('IN_COST'!$G$42="ENERGY",'ENG_SCEN'!$P$34,IF('IN_COST'!$G$42="WAGE",'ENG_SCEN'!$P$33,IF('IN_COST'!$G$42="CPI",'ENG_SCEN'!$P$32,1))))),IF('IN_COST'!$E$42="PCT_REV",'ENG_OPS'!$P$81*'IN_COST'!$F$42,IF('IN_COST'!$E$42="PCT_ASSET",'ENG_CAPEX'!$P$84*'IN_COST'!$F$42,IF('IN_COST'!$E$42="DEP",'ENG_CAPEX'!$P$81,IF('IN_COST'!$E$42="PAY",INDEX('IN_COST'!$D$15:$D$19,IFERROR(VALUE(MID('IN_COST'!$F$42,FIND(":",'IN_COST'!$F$42)+1,2)),1))*INDEX('IN_COST'!$E$15:$E$19,IFERROR(VALUE(MID('IN_COST'!$F$42,FIND(":",'IN_COST'!$F$42)+1,2)),1))*'IN_COST'!$D$10*'IN_COST'!$D$11*'ENG_SCEN'!$P$33,IF('IN_COST'!$E$42="SRV",SUM(INDEX('ENG_ALLOC'!$D$29:$P$58,(IFERROR(VALUE(MID('IN_COST'!$F$42,FIND(":",'IN_COST'!$F$42)+1,2)),1)-1)*6+1,13):INDEX('ENG_ALLOC'!$D$29:$P$58,IFERROR(VALUE(MID('IN_COST'!$F$42,FIND(":",'IN_COST'!$F$42)+1,2)),1)*6,13)),0)))))))))))*IF('IN_COST'!$E$42="DEP",'ENG_SCEN'!$G$16,IF('IN_COST'!$I$42="V",IF('IN_COST'!$E$42="SCRAP_LME",'ENG_SCEN'!$G$13,'ENG_SCEN'!$G$14),'ENG_SCEN'!$G$15))</f>
        <v/>
      </c>
    </row>
    <row r="57">
      <c r="A57" s="15" t="inlineStr">
        <is>
          <t>OPC-05 | مرکز خدماتی: نگهداری و تعمیرات</t>
        </is>
      </c>
      <c r="B57" s="16" t="inlineStr">
        <is>
          <t>EC.tot.10</t>
        </is>
      </c>
      <c r="C57" s="17" t="inlineStr">
        <is>
          <t>میلیون ریال</t>
        </is>
      </c>
      <c r="D57" s="33">
        <f>'IN_MACRO'!$D$34*IF('IN_COST'!$E$43="SCRAP_LME",'ENG_OPS'!$D$20*'IN_COST'!$F$43*'ENG_SCEN'!$D$37,IF('IN_COST'!$E$43="PER_TON_BATT",'ENG_OPS'!$D$20*'IN_COST'!$F$43*IF('IN_COST'!$G$43="FX",'ENG_SCEN'!$D$36,IF('IN_COST'!$G$43="PPI",'ENG_SCEN'!$D$35,IF('IN_COST'!$G$43="ENERGY",'ENG_SCEN'!$D$34,IF('IN_COST'!$G$43="WAGE",'ENG_SCEN'!$D$33,IF('IN_COST'!$G$43="CPI",'ENG_SCEN'!$D$32,1))))),IF('IN_COST'!$E$43="PER_TON_PROD",'ENG_OPS'!$D$43*'IN_COST'!$F$43*IF('IN_COST'!$G$43="FX",'ENG_SCEN'!$D$36,IF('IN_COST'!$G$43="PPI",'ENG_SCEN'!$D$35,IF('IN_COST'!$G$43="ENERGY",'ENG_SCEN'!$D$34,IF('IN_COST'!$G$43="WAGE",'ENG_SCEN'!$D$33,IF('IN_COST'!$G$43="CPI",'ENG_SCEN'!$D$32,1))))),IF('IN_COST'!$E$43="PER_KWH",'ENG_OPS'!$D$63*'IN_COST'!$F$43*IF('IN_COST'!$G$43="FX",'ENG_SCEN'!$D$36,IF('IN_COST'!$G$43="PPI",'ENG_SCEN'!$D$35,IF('IN_COST'!$G$43="ENERGY",'ENG_SCEN'!$D$34,IF('IN_COST'!$G$43="WAGE",'ENG_SCEN'!$D$33,IF('IN_COST'!$G$43="CPI",'ENG_SCEN'!$D$32,1))))),IF('IN_COST'!$E$43="PER_M3",'ENG_OPS'!$D$64*'IN_COST'!$F$43*IF('IN_COST'!$G$43="FX",'ENG_SCEN'!$D$36,IF('IN_COST'!$G$43="PPI",'ENG_SCEN'!$D$35,IF('IN_COST'!$G$43="ENERGY",'ENG_SCEN'!$D$34,IF('IN_COST'!$G$43="WAGE",'ENG_SCEN'!$D$33,IF('IN_COST'!$G$43="CPI",'ENG_SCEN'!$D$32,1))))),IF('IN_COST'!$E$43="ANNUAL",'IN_COST'!$F$43*IF('IN_COST'!$G$43="FX",'ENG_SCEN'!$D$36,IF('IN_COST'!$G$43="PPI",'ENG_SCEN'!$D$35,IF('IN_COST'!$G$43="ENERGY",'ENG_SCEN'!$D$34,IF('IN_COST'!$G$43="WAGE",'ENG_SCEN'!$D$33,IF('IN_COST'!$G$43="CPI",'ENG_SCEN'!$D$32,1))))),IF('IN_COST'!$E$43="PCT_REV",'ENG_OPS'!$D$81*'IN_COST'!$F$43,IF('IN_COST'!$E$43="PCT_ASSET",'ENG_CAPEX'!$D$84*'IN_COST'!$F$43,IF('IN_COST'!$E$43="DEP",'ENG_CAPEX'!$D$81,IF('IN_COST'!$E$43="PAY",INDEX('IN_COST'!$D$15:$D$19,IFERROR(VALUE(MID('IN_COST'!$F$43,FIND(":",'IN_COST'!$F$43)+1,2)),1))*INDEX('IN_COST'!$E$15:$E$19,IFERROR(VALUE(MID('IN_COST'!$F$43,FIND(":",'IN_COST'!$F$43)+1,2)),1))*'IN_COST'!$D$10*'IN_COST'!$D$11*'ENG_SCEN'!$D$33,IF('IN_COST'!$E$43="SRV",SUM(INDEX('ENG_ALLOC'!$D$29:$P$58,(IFERROR(VALUE(MID('IN_COST'!$F$43,FIND(":",'IN_COST'!$F$43)+1,2)),1)-1)*6+1,1):INDEX('ENG_ALLOC'!$D$29:$P$58,IFERROR(VALUE(MID('IN_COST'!$F$43,FIND(":",'IN_COST'!$F$43)+1,2)),1)*6,1)),0)))))))))))*IF('IN_COST'!$E$43="DEP",'ENG_SCEN'!$G$16,IF('IN_COST'!$I$43="V",IF('IN_COST'!$E$43="SCRAP_LME",'ENG_SCEN'!$G$13,'ENG_SCEN'!$G$14),'ENG_SCEN'!$G$15))</f>
        <v/>
      </c>
      <c r="E57" s="33">
        <f>'IN_MACRO'!$E$34*IF('IN_COST'!$E$43="SCRAP_LME",'ENG_OPS'!$E$20*'IN_COST'!$F$43*'ENG_SCEN'!$E$37,IF('IN_COST'!$E$43="PER_TON_BATT",'ENG_OPS'!$E$20*'IN_COST'!$F$43*IF('IN_COST'!$G$43="FX",'ENG_SCEN'!$E$36,IF('IN_COST'!$G$43="PPI",'ENG_SCEN'!$E$35,IF('IN_COST'!$G$43="ENERGY",'ENG_SCEN'!$E$34,IF('IN_COST'!$G$43="WAGE",'ENG_SCEN'!$E$33,IF('IN_COST'!$G$43="CPI",'ENG_SCEN'!$E$32,1))))),IF('IN_COST'!$E$43="PER_TON_PROD",'ENG_OPS'!$E$43*'IN_COST'!$F$43*IF('IN_COST'!$G$43="FX",'ENG_SCEN'!$E$36,IF('IN_COST'!$G$43="PPI",'ENG_SCEN'!$E$35,IF('IN_COST'!$G$43="ENERGY",'ENG_SCEN'!$E$34,IF('IN_COST'!$G$43="WAGE",'ENG_SCEN'!$E$33,IF('IN_COST'!$G$43="CPI",'ENG_SCEN'!$E$32,1))))),IF('IN_COST'!$E$43="PER_KWH",'ENG_OPS'!$E$63*'IN_COST'!$F$43*IF('IN_COST'!$G$43="FX",'ENG_SCEN'!$E$36,IF('IN_COST'!$G$43="PPI",'ENG_SCEN'!$E$35,IF('IN_COST'!$G$43="ENERGY",'ENG_SCEN'!$E$34,IF('IN_COST'!$G$43="WAGE",'ENG_SCEN'!$E$33,IF('IN_COST'!$G$43="CPI",'ENG_SCEN'!$E$32,1))))),IF('IN_COST'!$E$43="PER_M3",'ENG_OPS'!$E$64*'IN_COST'!$F$43*IF('IN_COST'!$G$43="FX",'ENG_SCEN'!$E$36,IF('IN_COST'!$G$43="PPI",'ENG_SCEN'!$E$35,IF('IN_COST'!$G$43="ENERGY",'ENG_SCEN'!$E$34,IF('IN_COST'!$G$43="WAGE",'ENG_SCEN'!$E$33,IF('IN_COST'!$G$43="CPI",'ENG_SCEN'!$E$32,1))))),IF('IN_COST'!$E$43="ANNUAL",'IN_COST'!$F$43*IF('IN_COST'!$G$43="FX",'ENG_SCEN'!$E$36,IF('IN_COST'!$G$43="PPI",'ENG_SCEN'!$E$35,IF('IN_COST'!$G$43="ENERGY",'ENG_SCEN'!$E$34,IF('IN_COST'!$G$43="WAGE",'ENG_SCEN'!$E$33,IF('IN_COST'!$G$43="CPI",'ENG_SCEN'!$E$32,1))))),IF('IN_COST'!$E$43="PCT_REV",'ENG_OPS'!$E$81*'IN_COST'!$F$43,IF('IN_COST'!$E$43="PCT_ASSET",'ENG_CAPEX'!$E$84*'IN_COST'!$F$43,IF('IN_COST'!$E$43="DEP",'ENG_CAPEX'!$E$81,IF('IN_COST'!$E$43="PAY",INDEX('IN_COST'!$D$15:$D$19,IFERROR(VALUE(MID('IN_COST'!$F$43,FIND(":",'IN_COST'!$F$43)+1,2)),1))*INDEX('IN_COST'!$E$15:$E$19,IFERROR(VALUE(MID('IN_COST'!$F$43,FIND(":",'IN_COST'!$F$43)+1,2)),1))*'IN_COST'!$D$10*'IN_COST'!$D$11*'ENG_SCEN'!$E$33,IF('IN_COST'!$E$43="SRV",SUM(INDEX('ENG_ALLOC'!$D$29:$P$58,(IFERROR(VALUE(MID('IN_COST'!$F$43,FIND(":",'IN_COST'!$F$43)+1,2)),1)-1)*6+1,2):INDEX('ENG_ALLOC'!$D$29:$P$58,IFERROR(VALUE(MID('IN_COST'!$F$43,FIND(":",'IN_COST'!$F$43)+1,2)),1)*6,2)),0)))))))))))*IF('IN_COST'!$E$43="DEP",'ENG_SCEN'!$G$16,IF('IN_COST'!$I$43="V",IF('IN_COST'!$E$43="SCRAP_LME",'ENG_SCEN'!$G$13,'ENG_SCEN'!$G$14),'ENG_SCEN'!$G$15))</f>
        <v/>
      </c>
      <c r="F57" s="33">
        <f>'IN_MACRO'!$F$34*IF('IN_COST'!$E$43="SCRAP_LME",'ENG_OPS'!$F$20*'IN_COST'!$F$43*'ENG_SCEN'!$F$37,IF('IN_COST'!$E$43="PER_TON_BATT",'ENG_OPS'!$F$20*'IN_COST'!$F$43*IF('IN_COST'!$G$43="FX",'ENG_SCEN'!$F$36,IF('IN_COST'!$G$43="PPI",'ENG_SCEN'!$F$35,IF('IN_COST'!$G$43="ENERGY",'ENG_SCEN'!$F$34,IF('IN_COST'!$G$43="WAGE",'ENG_SCEN'!$F$33,IF('IN_COST'!$G$43="CPI",'ENG_SCEN'!$F$32,1))))),IF('IN_COST'!$E$43="PER_TON_PROD",'ENG_OPS'!$F$43*'IN_COST'!$F$43*IF('IN_COST'!$G$43="FX",'ENG_SCEN'!$F$36,IF('IN_COST'!$G$43="PPI",'ENG_SCEN'!$F$35,IF('IN_COST'!$G$43="ENERGY",'ENG_SCEN'!$F$34,IF('IN_COST'!$G$43="WAGE",'ENG_SCEN'!$F$33,IF('IN_COST'!$G$43="CPI",'ENG_SCEN'!$F$32,1))))),IF('IN_COST'!$E$43="PER_KWH",'ENG_OPS'!$F$63*'IN_COST'!$F$43*IF('IN_COST'!$G$43="FX",'ENG_SCEN'!$F$36,IF('IN_COST'!$G$43="PPI",'ENG_SCEN'!$F$35,IF('IN_COST'!$G$43="ENERGY",'ENG_SCEN'!$F$34,IF('IN_COST'!$G$43="WAGE",'ENG_SCEN'!$F$33,IF('IN_COST'!$G$43="CPI",'ENG_SCEN'!$F$32,1))))),IF('IN_COST'!$E$43="PER_M3",'ENG_OPS'!$F$64*'IN_COST'!$F$43*IF('IN_COST'!$G$43="FX",'ENG_SCEN'!$F$36,IF('IN_COST'!$G$43="PPI",'ENG_SCEN'!$F$35,IF('IN_COST'!$G$43="ENERGY",'ENG_SCEN'!$F$34,IF('IN_COST'!$G$43="WAGE",'ENG_SCEN'!$F$33,IF('IN_COST'!$G$43="CPI",'ENG_SCEN'!$F$32,1))))),IF('IN_COST'!$E$43="ANNUAL",'IN_COST'!$F$43*IF('IN_COST'!$G$43="FX",'ENG_SCEN'!$F$36,IF('IN_COST'!$G$43="PPI",'ENG_SCEN'!$F$35,IF('IN_COST'!$G$43="ENERGY",'ENG_SCEN'!$F$34,IF('IN_COST'!$G$43="WAGE",'ENG_SCEN'!$F$33,IF('IN_COST'!$G$43="CPI",'ENG_SCEN'!$F$32,1))))),IF('IN_COST'!$E$43="PCT_REV",'ENG_OPS'!$F$81*'IN_COST'!$F$43,IF('IN_COST'!$E$43="PCT_ASSET",'ENG_CAPEX'!$F$84*'IN_COST'!$F$43,IF('IN_COST'!$E$43="DEP",'ENG_CAPEX'!$F$81,IF('IN_COST'!$E$43="PAY",INDEX('IN_COST'!$D$15:$D$19,IFERROR(VALUE(MID('IN_COST'!$F$43,FIND(":",'IN_COST'!$F$43)+1,2)),1))*INDEX('IN_COST'!$E$15:$E$19,IFERROR(VALUE(MID('IN_COST'!$F$43,FIND(":",'IN_COST'!$F$43)+1,2)),1))*'IN_COST'!$D$10*'IN_COST'!$D$11*'ENG_SCEN'!$F$33,IF('IN_COST'!$E$43="SRV",SUM(INDEX('ENG_ALLOC'!$D$29:$P$58,(IFERROR(VALUE(MID('IN_COST'!$F$43,FIND(":",'IN_COST'!$F$43)+1,2)),1)-1)*6+1,3):INDEX('ENG_ALLOC'!$D$29:$P$58,IFERROR(VALUE(MID('IN_COST'!$F$43,FIND(":",'IN_COST'!$F$43)+1,2)),1)*6,3)),0)))))))))))*IF('IN_COST'!$E$43="DEP",'ENG_SCEN'!$G$16,IF('IN_COST'!$I$43="V",IF('IN_COST'!$E$43="SCRAP_LME",'ENG_SCEN'!$G$13,'ENG_SCEN'!$G$14),'ENG_SCEN'!$G$15))</f>
        <v/>
      </c>
      <c r="G57" s="33">
        <f>'IN_MACRO'!$G$34*IF('IN_COST'!$E$43="SCRAP_LME",'ENG_OPS'!$G$20*'IN_COST'!$F$43*'ENG_SCEN'!$G$37,IF('IN_COST'!$E$43="PER_TON_BATT",'ENG_OPS'!$G$20*'IN_COST'!$F$43*IF('IN_COST'!$G$43="FX",'ENG_SCEN'!$G$36,IF('IN_COST'!$G$43="PPI",'ENG_SCEN'!$G$35,IF('IN_COST'!$G$43="ENERGY",'ENG_SCEN'!$G$34,IF('IN_COST'!$G$43="WAGE",'ENG_SCEN'!$G$33,IF('IN_COST'!$G$43="CPI",'ENG_SCEN'!$G$32,1))))),IF('IN_COST'!$E$43="PER_TON_PROD",'ENG_OPS'!$G$43*'IN_COST'!$F$43*IF('IN_COST'!$G$43="FX",'ENG_SCEN'!$G$36,IF('IN_COST'!$G$43="PPI",'ENG_SCEN'!$G$35,IF('IN_COST'!$G$43="ENERGY",'ENG_SCEN'!$G$34,IF('IN_COST'!$G$43="WAGE",'ENG_SCEN'!$G$33,IF('IN_COST'!$G$43="CPI",'ENG_SCEN'!$G$32,1))))),IF('IN_COST'!$E$43="PER_KWH",'ENG_OPS'!$G$63*'IN_COST'!$F$43*IF('IN_COST'!$G$43="FX",'ENG_SCEN'!$G$36,IF('IN_COST'!$G$43="PPI",'ENG_SCEN'!$G$35,IF('IN_COST'!$G$43="ENERGY",'ENG_SCEN'!$G$34,IF('IN_COST'!$G$43="WAGE",'ENG_SCEN'!$G$33,IF('IN_COST'!$G$43="CPI",'ENG_SCEN'!$G$32,1))))),IF('IN_COST'!$E$43="PER_M3",'ENG_OPS'!$G$64*'IN_COST'!$F$43*IF('IN_COST'!$G$43="FX",'ENG_SCEN'!$G$36,IF('IN_COST'!$G$43="PPI",'ENG_SCEN'!$G$35,IF('IN_COST'!$G$43="ENERGY",'ENG_SCEN'!$G$34,IF('IN_COST'!$G$43="WAGE",'ENG_SCEN'!$G$33,IF('IN_COST'!$G$43="CPI",'ENG_SCEN'!$G$32,1))))),IF('IN_COST'!$E$43="ANNUAL",'IN_COST'!$F$43*IF('IN_COST'!$G$43="FX",'ENG_SCEN'!$G$36,IF('IN_COST'!$G$43="PPI",'ENG_SCEN'!$G$35,IF('IN_COST'!$G$43="ENERGY",'ENG_SCEN'!$G$34,IF('IN_COST'!$G$43="WAGE",'ENG_SCEN'!$G$33,IF('IN_COST'!$G$43="CPI",'ENG_SCEN'!$G$32,1))))),IF('IN_COST'!$E$43="PCT_REV",'ENG_OPS'!$G$81*'IN_COST'!$F$43,IF('IN_COST'!$E$43="PCT_ASSET",'ENG_CAPEX'!$G$84*'IN_COST'!$F$43,IF('IN_COST'!$E$43="DEP",'ENG_CAPEX'!$G$81,IF('IN_COST'!$E$43="PAY",INDEX('IN_COST'!$D$15:$D$19,IFERROR(VALUE(MID('IN_COST'!$F$43,FIND(":",'IN_COST'!$F$43)+1,2)),1))*INDEX('IN_COST'!$E$15:$E$19,IFERROR(VALUE(MID('IN_COST'!$F$43,FIND(":",'IN_COST'!$F$43)+1,2)),1))*'IN_COST'!$D$10*'IN_COST'!$D$11*'ENG_SCEN'!$G$33,IF('IN_COST'!$E$43="SRV",SUM(INDEX('ENG_ALLOC'!$D$29:$P$58,(IFERROR(VALUE(MID('IN_COST'!$F$43,FIND(":",'IN_COST'!$F$43)+1,2)),1)-1)*6+1,4):INDEX('ENG_ALLOC'!$D$29:$P$58,IFERROR(VALUE(MID('IN_COST'!$F$43,FIND(":",'IN_COST'!$F$43)+1,2)),1)*6,4)),0)))))))))))*IF('IN_COST'!$E$43="DEP",'ENG_SCEN'!$G$16,IF('IN_COST'!$I$43="V",IF('IN_COST'!$E$43="SCRAP_LME",'ENG_SCEN'!$G$13,'ENG_SCEN'!$G$14),'ENG_SCEN'!$G$15))</f>
        <v/>
      </c>
      <c r="H57" s="33">
        <f>'IN_MACRO'!$H$34*IF('IN_COST'!$E$43="SCRAP_LME",'ENG_OPS'!$H$20*'IN_COST'!$F$43*'ENG_SCEN'!$H$37,IF('IN_COST'!$E$43="PER_TON_BATT",'ENG_OPS'!$H$20*'IN_COST'!$F$43*IF('IN_COST'!$G$43="FX",'ENG_SCEN'!$H$36,IF('IN_COST'!$G$43="PPI",'ENG_SCEN'!$H$35,IF('IN_COST'!$G$43="ENERGY",'ENG_SCEN'!$H$34,IF('IN_COST'!$G$43="WAGE",'ENG_SCEN'!$H$33,IF('IN_COST'!$G$43="CPI",'ENG_SCEN'!$H$32,1))))),IF('IN_COST'!$E$43="PER_TON_PROD",'ENG_OPS'!$H$43*'IN_COST'!$F$43*IF('IN_COST'!$G$43="FX",'ENG_SCEN'!$H$36,IF('IN_COST'!$G$43="PPI",'ENG_SCEN'!$H$35,IF('IN_COST'!$G$43="ENERGY",'ENG_SCEN'!$H$34,IF('IN_COST'!$G$43="WAGE",'ENG_SCEN'!$H$33,IF('IN_COST'!$G$43="CPI",'ENG_SCEN'!$H$32,1))))),IF('IN_COST'!$E$43="PER_KWH",'ENG_OPS'!$H$63*'IN_COST'!$F$43*IF('IN_COST'!$G$43="FX",'ENG_SCEN'!$H$36,IF('IN_COST'!$G$43="PPI",'ENG_SCEN'!$H$35,IF('IN_COST'!$G$43="ENERGY",'ENG_SCEN'!$H$34,IF('IN_COST'!$G$43="WAGE",'ENG_SCEN'!$H$33,IF('IN_COST'!$G$43="CPI",'ENG_SCEN'!$H$32,1))))),IF('IN_COST'!$E$43="PER_M3",'ENG_OPS'!$H$64*'IN_COST'!$F$43*IF('IN_COST'!$G$43="FX",'ENG_SCEN'!$H$36,IF('IN_COST'!$G$43="PPI",'ENG_SCEN'!$H$35,IF('IN_COST'!$G$43="ENERGY",'ENG_SCEN'!$H$34,IF('IN_COST'!$G$43="WAGE",'ENG_SCEN'!$H$33,IF('IN_COST'!$G$43="CPI",'ENG_SCEN'!$H$32,1))))),IF('IN_COST'!$E$43="ANNUAL",'IN_COST'!$F$43*IF('IN_COST'!$G$43="FX",'ENG_SCEN'!$H$36,IF('IN_COST'!$G$43="PPI",'ENG_SCEN'!$H$35,IF('IN_COST'!$G$43="ENERGY",'ENG_SCEN'!$H$34,IF('IN_COST'!$G$43="WAGE",'ENG_SCEN'!$H$33,IF('IN_COST'!$G$43="CPI",'ENG_SCEN'!$H$32,1))))),IF('IN_COST'!$E$43="PCT_REV",'ENG_OPS'!$H$81*'IN_COST'!$F$43,IF('IN_COST'!$E$43="PCT_ASSET",'ENG_CAPEX'!$H$84*'IN_COST'!$F$43,IF('IN_COST'!$E$43="DEP",'ENG_CAPEX'!$H$81,IF('IN_COST'!$E$43="PAY",INDEX('IN_COST'!$D$15:$D$19,IFERROR(VALUE(MID('IN_COST'!$F$43,FIND(":",'IN_COST'!$F$43)+1,2)),1))*INDEX('IN_COST'!$E$15:$E$19,IFERROR(VALUE(MID('IN_COST'!$F$43,FIND(":",'IN_COST'!$F$43)+1,2)),1))*'IN_COST'!$D$10*'IN_COST'!$D$11*'ENG_SCEN'!$H$33,IF('IN_COST'!$E$43="SRV",SUM(INDEX('ENG_ALLOC'!$D$29:$P$58,(IFERROR(VALUE(MID('IN_COST'!$F$43,FIND(":",'IN_COST'!$F$43)+1,2)),1)-1)*6+1,5):INDEX('ENG_ALLOC'!$D$29:$P$58,IFERROR(VALUE(MID('IN_COST'!$F$43,FIND(":",'IN_COST'!$F$43)+1,2)),1)*6,5)),0)))))))))))*IF('IN_COST'!$E$43="DEP",'ENG_SCEN'!$G$16,IF('IN_COST'!$I$43="V",IF('IN_COST'!$E$43="SCRAP_LME",'ENG_SCEN'!$G$13,'ENG_SCEN'!$G$14),'ENG_SCEN'!$G$15))</f>
        <v/>
      </c>
      <c r="I57" s="33">
        <f>'IN_MACRO'!$I$34*IF('IN_COST'!$E$43="SCRAP_LME",'ENG_OPS'!$I$20*'IN_COST'!$F$43*'ENG_SCEN'!$I$37,IF('IN_COST'!$E$43="PER_TON_BATT",'ENG_OPS'!$I$20*'IN_COST'!$F$43*IF('IN_COST'!$G$43="FX",'ENG_SCEN'!$I$36,IF('IN_COST'!$G$43="PPI",'ENG_SCEN'!$I$35,IF('IN_COST'!$G$43="ENERGY",'ENG_SCEN'!$I$34,IF('IN_COST'!$G$43="WAGE",'ENG_SCEN'!$I$33,IF('IN_COST'!$G$43="CPI",'ENG_SCEN'!$I$32,1))))),IF('IN_COST'!$E$43="PER_TON_PROD",'ENG_OPS'!$I$43*'IN_COST'!$F$43*IF('IN_COST'!$G$43="FX",'ENG_SCEN'!$I$36,IF('IN_COST'!$G$43="PPI",'ENG_SCEN'!$I$35,IF('IN_COST'!$G$43="ENERGY",'ENG_SCEN'!$I$34,IF('IN_COST'!$G$43="WAGE",'ENG_SCEN'!$I$33,IF('IN_COST'!$G$43="CPI",'ENG_SCEN'!$I$32,1))))),IF('IN_COST'!$E$43="PER_KWH",'ENG_OPS'!$I$63*'IN_COST'!$F$43*IF('IN_COST'!$G$43="FX",'ENG_SCEN'!$I$36,IF('IN_COST'!$G$43="PPI",'ENG_SCEN'!$I$35,IF('IN_COST'!$G$43="ENERGY",'ENG_SCEN'!$I$34,IF('IN_COST'!$G$43="WAGE",'ENG_SCEN'!$I$33,IF('IN_COST'!$G$43="CPI",'ENG_SCEN'!$I$32,1))))),IF('IN_COST'!$E$43="PER_M3",'ENG_OPS'!$I$64*'IN_COST'!$F$43*IF('IN_COST'!$G$43="FX",'ENG_SCEN'!$I$36,IF('IN_COST'!$G$43="PPI",'ENG_SCEN'!$I$35,IF('IN_COST'!$G$43="ENERGY",'ENG_SCEN'!$I$34,IF('IN_COST'!$G$43="WAGE",'ENG_SCEN'!$I$33,IF('IN_COST'!$G$43="CPI",'ENG_SCEN'!$I$32,1))))),IF('IN_COST'!$E$43="ANNUAL",'IN_COST'!$F$43*IF('IN_COST'!$G$43="FX",'ENG_SCEN'!$I$36,IF('IN_COST'!$G$43="PPI",'ENG_SCEN'!$I$35,IF('IN_COST'!$G$43="ENERGY",'ENG_SCEN'!$I$34,IF('IN_COST'!$G$43="WAGE",'ENG_SCEN'!$I$33,IF('IN_COST'!$G$43="CPI",'ENG_SCEN'!$I$32,1))))),IF('IN_COST'!$E$43="PCT_REV",'ENG_OPS'!$I$81*'IN_COST'!$F$43,IF('IN_COST'!$E$43="PCT_ASSET",'ENG_CAPEX'!$I$84*'IN_COST'!$F$43,IF('IN_COST'!$E$43="DEP",'ENG_CAPEX'!$I$81,IF('IN_COST'!$E$43="PAY",INDEX('IN_COST'!$D$15:$D$19,IFERROR(VALUE(MID('IN_COST'!$F$43,FIND(":",'IN_COST'!$F$43)+1,2)),1))*INDEX('IN_COST'!$E$15:$E$19,IFERROR(VALUE(MID('IN_COST'!$F$43,FIND(":",'IN_COST'!$F$43)+1,2)),1))*'IN_COST'!$D$10*'IN_COST'!$D$11*'ENG_SCEN'!$I$33,IF('IN_COST'!$E$43="SRV",SUM(INDEX('ENG_ALLOC'!$D$29:$P$58,(IFERROR(VALUE(MID('IN_COST'!$F$43,FIND(":",'IN_COST'!$F$43)+1,2)),1)-1)*6+1,6):INDEX('ENG_ALLOC'!$D$29:$P$58,IFERROR(VALUE(MID('IN_COST'!$F$43,FIND(":",'IN_COST'!$F$43)+1,2)),1)*6,6)),0)))))))))))*IF('IN_COST'!$E$43="DEP",'ENG_SCEN'!$G$16,IF('IN_COST'!$I$43="V",IF('IN_COST'!$E$43="SCRAP_LME",'ENG_SCEN'!$G$13,'ENG_SCEN'!$G$14),'ENG_SCEN'!$G$15))</f>
        <v/>
      </c>
      <c r="J57" s="33">
        <f>'IN_MACRO'!$J$34*IF('IN_COST'!$E$43="SCRAP_LME",'ENG_OPS'!$J$20*'IN_COST'!$F$43*'ENG_SCEN'!$J$37,IF('IN_COST'!$E$43="PER_TON_BATT",'ENG_OPS'!$J$20*'IN_COST'!$F$43*IF('IN_COST'!$G$43="FX",'ENG_SCEN'!$J$36,IF('IN_COST'!$G$43="PPI",'ENG_SCEN'!$J$35,IF('IN_COST'!$G$43="ENERGY",'ENG_SCEN'!$J$34,IF('IN_COST'!$G$43="WAGE",'ENG_SCEN'!$J$33,IF('IN_COST'!$G$43="CPI",'ENG_SCEN'!$J$32,1))))),IF('IN_COST'!$E$43="PER_TON_PROD",'ENG_OPS'!$J$43*'IN_COST'!$F$43*IF('IN_COST'!$G$43="FX",'ENG_SCEN'!$J$36,IF('IN_COST'!$G$43="PPI",'ENG_SCEN'!$J$35,IF('IN_COST'!$G$43="ENERGY",'ENG_SCEN'!$J$34,IF('IN_COST'!$G$43="WAGE",'ENG_SCEN'!$J$33,IF('IN_COST'!$G$43="CPI",'ENG_SCEN'!$J$32,1))))),IF('IN_COST'!$E$43="PER_KWH",'ENG_OPS'!$J$63*'IN_COST'!$F$43*IF('IN_COST'!$G$43="FX",'ENG_SCEN'!$J$36,IF('IN_COST'!$G$43="PPI",'ENG_SCEN'!$J$35,IF('IN_COST'!$G$43="ENERGY",'ENG_SCEN'!$J$34,IF('IN_COST'!$G$43="WAGE",'ENG_SCEN'!$J$33,IF('IN_COST'!$G$43="CPI",'ENG_SCEN'!$J$32,1))))),IF('IN_COST'!$E$43="PER_M3",'ENG_OPS'!$J$64*'IN_COST'!$F$43*IF('IN_COST'!$G$43="FX",'ENG_SCEN'!$J$36,IF('IN_COST'!$G$43="PPI",'ENG_SCEN'!$J$35,IF('IN_COST'!$G$43="ENERGY",'ENG_SCEN'!$J$34,IF('IN_COST'!$G$43="WAGE",'ENG_SCEN'!$J$33,IF('IN_COST'!$G$43="CPI",'ENG_SCEN'!$J$32,1))))),IF('IN_COST'!$E$43="ANNUAL",'IN_COST'!$F$43*IF('IN_COST'!$G$43="FX",'ENG_SCEN'!$J$36,IF('IN_COST'!$G$43="PPI",'ENG_SCEN'!$J$35,IF('IN_COST'!$G$43="ENERGY",'ENG_SCEN'!$J$34,IF('IN_COST'!$G$43="WAGE",'ENG_SCEN'!$J$33,IF('IN_COST'!$G$43="CPI",'ENG_SCEN'!$J$32,1))))),IF('IN_COST'!$E$43="PCT_REV",'ENG_OPS'!$J$81*'IN_COST'!$F$43,IF('IN_COST'!$E$43="PCT_ASSET",'ENG_CAPEX'!$J$84*'IN_COST'!$F$43,IF('IN_COST'!$E$43="DEP",'ENG_CAPEX'!$J$81,IF('IN_COST'!$E$43="PAY",INDEX('IN_COST'!$D$15:$D$19,IFERROR(VALUE(MID('IN_COST'!$F$43,FIND(":",'IN_COST'!$F$43)+1,2)),1))*INDEX('IN_COST'!$E$15:$E$19,IFERROR(VALUE(MID('IN_COST'!$F$43,FIND(":",'IN_COST'!$F$43)+1,2)),1))*'IN_COST'!$D$10*'IN_COST'!$D$11*'ENG_SCEN'!$J$33,IF('IN_COST'!$E$43="SRV",SUM(INDEX('ENG_ALLOC'!$D$29:$P$58,(IFERROR(VALUE(MID('IN_COST'!$F$43,FIND(":",'IN_COST'!$F$43)+1,2)),1)-1)*6+1,7):INDEX('ENG_ALLOC'!$D$29:$P$58,IFERROR(VALUE(MID('IN_COST'!$F$43,FIND(":",'IN_COST'!$F$43)+1,2)),1)*6,7)),0)))))))))))*IF('IN_COST'!$E$43="DEP",'ENG_SCEN'!$G$16,IF('IN_COST'!$I$43="V",IF('IN_COST'!$E$43="SCRAP_LME",'ENG_SCEN'!$G$13,'ENG_SCEN'!$G$14),'ENG_SCEN'!$G$15))</f>
        <v/>
      </c>
      <c r="K57" s="33">
        <f>'IN_MACRO'!$K$34*IF('IN_COST'!$E$43="SCRAP_LME",'ENG_OPS'!$K$20*'IN_COST'!$F$43*'ENG_SCEN'!$K$37,IF('IN_COST'!$E$43="PER_TON_BATT",'ENG_OPS'!$K$20*'IN_COST'!$F$43*IF('IN_COST'!$G$43="FX",'ENG_SCEN'!$K$36,IF('IN_COST'!$G$43="PPI",'ENG_SCEN'!$K$35,IF('IN_COST'!$G$43="ENERGY",'ENG_SCEN'!$K$34,IF('IN_COST'!$G$43="WAGE",'ENG_SCEN'!$K$33,IF('IN_COST'!$G$43="CPI",'ENG_SCEN'!$K$32,1))))),IF('IN_COST'!$E$43="PER_TON_PROD",'ENG_OPS'!$K$43*'IN_COST'!$F$43*IF('IN_COST'!$G$43="FX",'ENG_SCEN'!$K$36,IF('IN_COST'!$G$43="PPI",'ENG_SCEN'!$K$35,IF('IN_COST'!$G$43="ENERGY",'ENG_SCEN'!$K$34,IF('IN_COST'!$G$43="WAGE",'ENG_SCEN'!$K$33,IF('IN_COST'!$G$43="CPI",'ENG_SCEN'!$K$32,1))))),IF('IN_COST'!$E$43="PER_KWH",'ENG_OPS'!$K$63*'IN_COST'!$F$43*IF('IN_COST'!$G$43="FX",'ENG_SCEN'!$K$36,IF('IN_COST'!$G$43="PPI",'ENG_SCEN'!$K$35,IF('IN_COST'!$G$43="ENERGY",'ENG_SCEN'!$K$34,IF('IN_COST'!$G$43="WAGE",'ENG_SCEN'!$K$33,IF('IN_COST'!$G$43="CPI",'ENG_SCEN'!$K$32,1))))),IF('IN_COST'!$E$43="PER_M3",'ENG_OPS'!$K$64*'IN_COST'!$F$43*IF('IN_COST'!$G$43="FX",'ENG_SCEN'!$K$36,IF('IN_COST'!$G$43="PPI",'ENG_SCEN'!$K$35,IF('IN_COST'!$G$43="ENERGY",'ENG_SCEN'!$K$34,IF('IN_COST'!$G$43="WAGE",'ENG_SCEN'!$K$33,IF('IN_COST'!$G$43="CPI",'ENG_SCEN'!$K$32,1))))),IF('IN_COST'!$E$43="ANNUAL",'IN_COST'!$F$43*IF('IN_COST'!$G$43="FX",'ENG_SCEN'!$K$36,IF('IN_COST'!$G$43="PPI",'ENG_SCEN'!$K$35,IF('IN_COST'!$G$43="ENERGY",'ENG_SCEN'!$K$34,IF('IN_COST'!$G$43="WAGE",'ENG_SCEN'!$K$33,IF('IN_COST'!$G$43="CPI",'ENG_SCEN'!$K$32,1))))),IF('IN_COST'!$E$43="PCT_REV",'ENG_OPS'!$K$81*'IN_COST'!$F$43,IF('IN_COST'!$E$43="PCT_ASSET",'ENG_CAPEX'!$K$84*'IN_COST'!$F$43,IF('IN_COST'!$E$43="DEP",'ENG_CAPEX'!$K$81,IF('IN_COST'!$E$43="PAY",INDEX('IN_COST'!$D$15:$D$19,IFERROR(VALUE(MID('IN_COST'!$F$43,FIND(":",'IN_COST'!$F$43)+1,2)),1))*INDEX('IN_COST'!$E$15:$E$19,IFERROR(VALUE(MID('IN_COST'!$F$43,FIND(":",'IN_COST'!$F$43)+1,2)),1))*'IN_COST'!$D$10*'IN_COST'!$D$11*'ENG_SCEN'!$K$33,IF('IN_COST'!$E$43="SRV",SUM(INDEX('ENG_ALLOC'!$D$29:$P$58,(IFERROR(VALUE(MID('IN_COST'!$F$43,FIND(":",'IN_COST'!$F$43)+1,2)),1)-1)*6+1,8):INDEX('ENG_ALLOC'!$D$29:$P$58,IFERROR(VALUE(MID('IN_COST'!$F$43,FIND(":",'IN_COST'!$F$43)+1,2)),1)*6,8)),0)))))))))))*IF('IN_COST'!$E$43="DEP",'ENG_SCEN'!$G$16,IF('IN_COST'!$I$43="V",IF('IN_COST'!$E$43="SCRAP_LME",'ENG_SCEN'!$G$13,'ENG_SCEN'!$G$14),'ENG_SCEN'!$G$15))</f>
        <v/>
      </c>
      <c r="L57" s="33">
        <f>'IN_MACRO'!$L$34*IF('IN_COST'!$E$43="SCRAP_LME",'ENG_OPS'!$L$20*'IN_COST'!$F$43*'ENG_SCEN'!$L$37,IF('IN_COST'!$E$43="PER_TON_BATT",'ENG_OPS'!$L$20*'IN_COST'!$F$43*IF('IN_COST'!$G$43="FX",'ENG_SCEN'!$L$36,IF('IN_COST'!$G$43="PPI",'ENG_SCEN'!$L$35,IF('IN_COST'!$G$43="ENERGY",'ENG_SCEN'!$L$34,IF('IN_COST'!$G$43="WAGE",'ENG_SCEN'!$L$33,IF('IN_COST'!$G$43="CPI",'ENG_SCEN'!$L$32,1))))),IF('IN_COST'!$E$43="PER_TON_PROD",'ENG_OPS'!$L$43*'IN_COST'!$F$43*IF('IN_COST'!$G$43="FX",'ENG_SCEN'!$L$36,IF('IN_COST'!$G$43="PPI",'ENG_SCEN'!$L$35,IF('IN_COST'!$G$43="ENERGY",'ENG_SCEN'!$L$34,IF('IN_COST'!$G$43="WAGE",'ENG_SCEN'!$L$33,IF('IN_COST'!$G$43="CPI",'ENG_SCEN'!$L$32,1))))),IF('IN_COST'!$E$43="PER_KWH",'ENG_OPS'!$L$63*'IN_COST'!$F$43*IF('IN_COST'!$G$43="FX",'ENG_SCEN'!$L$36,IF('IN_COST'!$G$43="PPI",'ENG_SCEN'!$L$35,IF('IN_COST'!$G$43="ENERGY",'ENG_SCEN'!$L$34,IF('IN_COST'!$G$43="WAGE",'ENG_SCEN'!$L$33,IF('IN_COST'!$G$43="CPI",'ENG_SCEN'!$L$32,1))))),IF('IN_COST'!$E$43="PER_M3",'ENG_OPS'!$L$64*'IN_COST'!$F$43*IF('IN_COST'!$G$43="FX",'ENG_SCEN'!$L$36,IF('IN_COST'!$G$43="PPI",'ENG_SCEN'!$L$35,IF('IN_COST'!$G$43="ENERGY",'ENG_SCEN'!$L$34,IF('IN_COST'!$G$43="WAGE",'ENG_SCEN'!$L$33,IF('IN_COST'!$G$43="CPI",'ENG_SCEN'!$L$32,1))))),IF('IN_COST'!$E$43="ANNUAL",'IN_COST'!$F$43*IF('IN_COST'!$G$43="FX",'ENG_SCEN'!$L$36,IF('IN_COST'!$G$43="PPI",'ENG_SCEN'!$L$35,IF('IN_COST'!$G$43="ENERGY",'ENG_SCEN'!$L$34,IF('IN_COST'!$G$43="WAGE",'ENG_SCEN'!$L$33,IF('IN_COST'!$G$43="CPI",'ENG_SCEN'!$L$32,1))))),IF('IN_COST'!$E$43="PCT_REV",'ENG_OPS'!$L$81*'IN_COST'!$F$43,IF('IN_COST'!$E$43="PCT_ASSET",'ENG_CAPEX'!$L$84*'IN_COST'!$F$43,IF('IN_COST'!$E$43="DEP",'ENG_CAPEX'!$L$81,IF('IN_COST'!$E$43="PAY",INDEX('IN_COST'!$D$15:$D$19,IFERROR(VALUE(MID('IN_COST'!$F$43,FIND(":",'IN_COST'!$F$43)+1,2)),1))*INDEX('IN_COST'!$E$15:$E$19,IFERROR(VALUE(MID('IN_COST'!$F$43,FIND(":",'IN_COST'!$F$43)+1,2)),1))*'IN_COST'!$D$10*'IN_COST'!$D$11*'ENG_SCEN'!$L$33,IF('IN_COST'!$E$43="SRV",SUM(INDEX('ENG_ALLOC'!$D$29:$P$58,(IFERROR(VALUE(MID('IN_COST'!$F$43,FIND(":",'IN_COST'!$F$43)+1,2)),1)-1)*6+1,9):INDEX('ENG_ALLOC'!$D$29:$P$58,IFERROR(VALUE(MID('IN_COST'!$F$43,FIND(":",'IN_COST'!$F$43)+1,2)),1)*6,9)),0)))))))))))*IF('IN_COST'!$E$43="DEP",'ENG_SCEN'!$G$16,IF('IN_COST'!$I$43="V",IF('IN_COST'!$E$43="SCRAP_LME",'ENG_SCEN'!$G$13,'ENG_SCEN'!$G$14),'ENG_SCEN'!$G$15))</f>
        <v/>
      </c>
      <c r="M57" s="33">
        <f>'IN_MACRO'!$M$34*IF('IN_COST'!$E$43="SCRAP_LME",'ENG_OPS'!$M$20*'IN_COST'!$F$43*'ENG_SCEN'!$M$37,IF('IN_COST'!$E$43="PER_TON_BATT",'ENG_OPS'!$M$20*'IN_COST'!$F$43*IF('IN_COST'!$G$43="FX",'ENG_SCEN'!$M$36,IF('IN_COST'!$G$43="PPI",'ENG_SCEN'!$M$35,IF('IN_COST'!$G$43="ENERGY",'ENG_SCEN'!$M$34,IF('IN_COST'!$G$43="WAGE",'ENG_SCEN'!$M$33,IF('IN_COST'!$G$43="CPI",'ENG_SCEN'!$M$32,1))))),IF('IN_COST'!$E$43="PER_TON_PROD",'ENG_OPS'!$M$43*'IN_COST'!$F$43*IF('IN_COST'!$G$43="FX",'ENG_SCEN'!$M$36,IF('IN_COST'!$G$43="PPI",'ENG_SCEN'!$M$35,IF('IN_COST'!$G$43="ENERGY",'ENG_SCEN'!$M$34,IF('IN_COST'!$G$43="WAGE",'ENG_SCEN'!$M$33,IF('IN_COST'!$G$43="CPI",'ENG_SCEN'!$M$32,1))))),IF('IN_COST'!$E$43="PER_KWH",'ENG_OPS'!$M$63*'IN_COST'!$F$43*IF('IN_COST'!$G$43="FX",'ENG_SCEN'!$M$36,IF('IN_COST'!$G$43="PPI",'ENG_SCEN'!$M$35,IF('IN_COST'!$G$43="ENERGY",'ENG_SCEN'!$M$34,IF('IN_COST'!$G$43="WAGE",'ENG_SCEN'!$M$33,IF('IN_COST'!$G$43="CPI",'ENG_SCEN'!$M$32,1))))),IF('IN_COST'!$E$43="PER_M3",'ENG_OPS'!$M$64*'IN_COST'!$F$43*IF('IN_COST'!$G$43="FX",'ENG_SCEN'!$M$36,IF('IN_COST'!$G$43="PPI",'ENG_SCEN'!$M$35,IF('IN_COST'!$G$43="ENERGY",'ENG_SCEN'!$M$34,IF('IN_COST'!$G$43="WAGE",'ENG_SCEN'!$M$33,IF('IN_COST'!$G$43="CPI",'ENG_SCEN'!$M$32,1))))),IF('IN_COST'!$E$43="ANNUAL",'IN_COST'!$F$43*IF('IN_COST'!$G$43="FX",'ENG_SCEN'!$M$36,IF('IN_COST'!$G$43="PPI",'ENG_SCEN'!$M$35,IF('IN_COST'!$G$43="ENERGY",'ENG_SCEN'!$M$34,IF('IN_COST'!$G$43="WAGE",'ENG_SCEN'!$M$33,IF('IN_COST'!$G$43="CPI",'ENG_SCEN'!$M$32,1))))),IF('IN_COST'!$E$43="PCT_REV",'ENG_OPS'!$M$81*'IN_COST'!$F$43,IF('IN_COST'!$E$43="PCT_ASSET",'ENG_CAPEX'!$M$84*'IN_COST'!$F$43,IF('IN_COST'!$E$43="DEP",'ENG_CAPEX'!$M$81,IF('IN_COST'!$E$43="PAY",INDEX('IN_COST'!$D$15:$D$19,IFERROR(VALUE(MID('IN_COST'!$F$43,FIND(":",'IN_COST'!$F$43)+1,2)),1))*INDEX('IN_COST'!$E$15:$E$19,IFERROR(VALUE(MID('IN_COST'!$F$43,FIND(":",'IN_COST'!$F$43)+1,2)),1))*'IN_COST'!$D$10*'IN_COST'!$D$11*'ENG_SCEN'!$M$33,IF('IN_COST'!$E$43="SRV",SUM(INDEX('ENG_ALLOC'!$D$29:$P$58,(IFERROR(VALUE(MID('IN_COST'!$F$43,FIND(":",'IN_COST'!$F$43)+1,2)),1)-1)*6+1,10):INDEX('ENG_ALLOC'!$D$29:$P$58,IFERROR(VALUE(MID('IN_COST'!$F$43,FIND(":",'IN_COST'!$F$43)+1,2)),1)*6,10)),0)))))))))))*IF('IN_COST'!$E$43="DEP",'ENG_SCEN'!$G$16,IF('IN_COST'!$I$43="V",IF('IN_COST'!$E$43="SCRAP_LME",'ENG_SCEN'!$G$13,'ENG_SCEN'!$G$14),'ENG_SCEN'!$G$15))</f>
        <v/>
      </c>
      <c r="N57" s="33">
        <f>'IN_MACRO'!$N$34*IF('IN_COST'!$E$43="SCRAP_LME",'ENG_OPS'!$N$20*'IN_COST'!$F$43*'ENG_SCEN'!$N$37,IF('IN_COST'!$E$43="PER_TON_BATT",'ENG_OPS'!$N$20*'IN_COST'!$F$43*IF('IN_COST'!$G$43="FX",'ENG_SCEN'!$N$36,IF('IN_COST'!$G$43="PPI",'ENG_SCEN'!$N$35,IF('IN_COST'!$G$43="ENERGY",'ENG_SCEN'!$N$34,IF('IN_COST'!$G$43="WAGE",'ENG_SCEN'!$N$33,IF('IN_COST'!$G$43="CPI",'ENG_SCEN'!$N$32,1))))),IF('IN_COST'!$E$43="PER_TON_PROD",'ENG_OPS'!$N$43*'IN_COST'!$F$43*IF('IN_COST'!$G$43="FX",'ENG_SCEN'!$N$36,IF('IN_COST'!$G$43="PPI",'ENG_SCEN'!$N$35,IF('IN_COST'!$G$43="ENERGY",'ENG_SCEN'!$N$34,IF('IN_COST'!$G$43="WAGE",'ENG_SCEN'!$N$33,IF('IN_COST'!$G$43="CPI",'ENG_SCEN'!$N$32,1))))),IF('IN_COST'!$E$43="PER_KWH",'ENG_OPS'!$N$63*'IN_COST'!$F$43*IF('IN_COST'!$G$43="FX",'ENG_SCEN'!$N$36,IF('IN_COST'!$G$43="PPI",'ENG_SCEN'!$N$35,IF('IN_COST'!$G$43="ENERGY",'ENG_SCEN'!$N$34,IF('IN_COST'!$G$43="WAGE",'ENG_SCEN'!$N$33,IF('IN_COST'!$G$43="CPI",'ENG_SCEN'!$N$32,1))))),IF('IN_COST'!$E$43="PER_M3",'ENG_OPS'!$N$64*'IN_COST'!$F$43*IF('IN_COST'!$G$43="FX",'ENG_SCEN'!$N$36,IF('IN_COST'!$G$43="PPI",'ENG_SCEN'!$N$35,IF('IN_COST'!$G$43="ENERGY",'ENG_SCEN'!$N$34,IF('IN_COST'!$G$43="WAGE",'ENG_SCEN'!$N$33,IF('IN_COST'!$G$43="CPI",'ENG_SCEN'!$N$32,1))))),IF('IN_COST'!$E$43="ANNUAL",'IN_COST'!$F$43*IF('IN_COST'!$G$43="FX",'ENG_SCEN'!$N$36,IF('IN_COST'!$G$43="PPI",'ENG_SCEN'!$N$35,IF('IN_COST'!$G$43="ENERGY",'ENG_SCEN'!$N$34,IF('IN_COST'!$G$43="WAGE",'ENG_SCEN'!$N$33,IF('IN_COST'!$G$43="CPI",'ENG_SCEN'!$N$32,1))))),IF('IN_COST'!$E$43="PCT_REV",'ENG_OPS'!$N$81*'IN_COST'!$F$43,IF('IN_COST'!$E$43="PCT_ASSET",'ENG_CAPEX'!$N$84*'IN_COST'!$F$43,IF('IN_COST'!$E$43="DEP",'ENG_CAPEX'!$N$81,IF('IN_COST'!$E$43="PAY",INDEX('IN_COST'!$D$15:$D$19,IFERROR(VALUE(MID('IN_COST'!$F$43,FIND(":",'IN_COST'!$F$43)+1,2)),1))*INDEX('IN_COST'!$E$15:$E$19,IFERROR(VALUE(MID('IN_COST'!$F$43,FIND(":",'IN_COST'!$F$43)+1,2)),1))*'IN_COST'!$D$10*'IN_COST'!$D$11*'ENG_SCEN'!$N$33,IF('IN_COST'!$E$43="SRV",SUM(INDEX('ENG_ALLOC'!$D$29:$P$58,(IFERROR(VALUE(MID('IN_COST'!$F$43,FIND(":",'IN_COST'!$F$43)+1,2)),1)-1)*6+1,11):INDEX('ENG_ALLOC'!$D$29:$P$58,IFERROR(VALUE(MID('IN_COST'!$F$43,FIND(":",'IN_COST'!$F$43)+1,2)),1)*6,11)),0)))))))))))*IF('IN_COST'!$E$43="DEP",'ENG_SCEN'!$G$16,IF('IN_COST'!$I$43="V",IF('IN_COST'!$E$43="SCRAP_LME",'ENG_SCEN'!$G$13,'ENG_SCEN'!$G$14),'ENG_SCEN'!$G$15))</f>
        <v/>
      </c>
      <c r="O57" s="33">
        <f>'IN_MACRO'!$O$34*IF('IN_COST'!$E$43="SCRAP_LME",'ENG_OPS'!$O$20*'IN_COST'!$F$43*'ENG_SCEN'!$O$37,IF('IN_COST'!$E$43="PER_TON_BATT",'ENG_OPS'!$O$20*'IN_COST'!$F$43*IF('IN_COST'!$G$43="FX",'ENG_SCEN'!$O$36,IF('IN_COST'!$G$43="PPI",'ENG_SCEN'!$O$35,IF('IN_COST'!$G$43="ENERGY",'ENG_SCEN'!$O$34,IF('IN_COST'!$G$43="WAGE",'ENG_SCEN'!$O$33,IF('IN_COST'!$G$43="CPI",'ENG_SCEN'!$O$32,1))))),IF('IN_COST'!$E$43="PER_TON_PROD",'ENG_OPS'!$O$43*'IN_COST'!$F$43*IF('IN_COST'!$G$43="FX",'ENG_SCEN'!$O$36,IF('IN_COST'!$G$43="PPI",'ENG_SCEN'!$O$35,IF('IN_COST'!$G$43="ENERGY",'ENG_SCEN'!$O$34,IF('IN_COST'!$G$43="WAGE",'ENG_SCEN'!$O$33,IF('IN_COST'!$G$43="CPI",'ENG_SCEN'!$O$32,1))))),IF('IN_COST'!$E$43="PER_KWH",'ENG_OPS'!$O$63*'IN_COST'!$F$43*IF('IN_COST'!$G$43="FX",'ENG_SCEN'!$O$36,IF('IN_COST'!$G$43="PPI",'ENG_SCEN'!$O$35,IF('IN_COST'!$G$43="ENERGY",'ENG_SCEN'!$O$34,IF('IN_COST'!$G$43="WAGE",'ENG_SCEN'!$O$33,IF('IN_COST'!$G$43="CPI",'ENG_SCEN'!$O$32,1))))),IF('IN_COST'!$E$43="PER_M3",'ENG_OPS'!$O$64*'IN_COST'!$F$43*IF('IN_COST'!$G$43="FX",'ENG_SCEN'!$O$36,IF('IN_COST'!$G$43="PPI",'ENG_SCEN'!$O$35,IF('IN_COST'!$G$43="ENERGY",'ENG_SCEN'!$O$34,IF('IN_COST'!$G$43="WAGE",'ENG_SCEN'!$O$33,IF('IN_COST'!$G$43="CPI",'ENG_SCEN'!$O$32,1))))),IF('IN_COST'!$E$43="ANNUAL",'IN_COST'!$F$43*IF('IN_COST'!$G$43="FX",'ENG_SCEN'!$O$36,IF('IN_COST'!$G$43="PPI",'ENG_SCEN'!$O$35,IF('IN_COST'!$G$43="ENERGY",'ENG_SCEN'!$O$34,IF('IN_COST'!$G$43="WAGE",'ENG_SCEN'!$O$33,IF('IN_COST'!$G$43="CPI",'ENG_SCEN'!$O$32,1))))),IF('IN_COST'!$E$43="PCT_REV",'ENG_OPS'!$O$81*'IN_COST'!$F$43,IF('IN_COST'!$E$43="PCT_ASSET",'ENG_CAPEX'!$O$84*'IN_COST'!$F$43,IF('IN_COST'!$E$43="DEP",'ENG_CAPEX'!$O$81,IF('IN_COST'!$E$43="PAY",INDEX('IN_COST'!$D$15:$D$19,IFERROR(VALUE(MID('IN_COST'!$F$43,FIND(":",'IN_COST'!$F$43)+1,2)),1))*INDEX('IN_COST'!$E$15:$E$19,IFERROR(VALUE(MID('IN_COST'!$F$43,FIND(":",'IN_COST'!$F$43)+1,2)),1))*'IN_COST'!$D$10*'IN_COST'!$D$11*'ENG_SCEN'!$O$33,IF('IN_COST'!$E$43="SRV",SUM(INDEX('ENG_ALLOC'!$D$29:$P$58,(IFERROR(VALUE(MID('IN_COST'!$F$43,FIND(":",'IN_COST'!$F$43)+1,2)),1)-1)*6+1,12):INDEX('ENG_ALLOC'!$D$29:$P$58,IFERROR(VALUE(MID('IN_COST'!$F$43,FIND(":",'IN_COST'!$F$43)+1,2)),1)*6,12)),0)))))))))))*IF('IN_COST'!$E$43="DEP",'ENG_SCEN'!$G$16,IF('IN_COST'!$I$43="V",IF('IN_COST'!$E$43="SCRAP_LME",'ENG_SCEN'!$G$13,'ENG_SCEN'!$G$14),'ENG_SCEN'!$G$15))</f>
        <v/>
      </c>
      <c r="P57" s="33">
        <f>'IN_MACRO'!$P$34*IF('IN_COST'!$E$43="SCRAP_LME",'ENG_OPS'!$P$20*'IN_COST'!$F$43*'ENG_SCEN'!$P$37,IF('IN_COST'!$E$43="PER_TON_BATT",'ENG_OPS'!$P$20*'IN_COST'!$F$43*IF('IN_COST'!$G$43="FX",'ENG_SCEN'!$P$36,IF('IN_COST'!$G$43="PPI",'ENG_SCEN'!$P$35,IF('IN_COST'!$G$43="ENERGY",'ENG_SCEN'!$P$34,IF('IN_COST'!$G$43="WAGE",'ENG_SCEN'!$P$33,IF('IN_COST'!$G$43="CPI",'ENG_SCEN'!$P$32,1))))),IF('IN_COST'!$E$43="PER_TON_PROD",'ENG_OPS'!$P$43*'IN_COST'!$F$43*IF('IN_COST'!$G$43="FX",'ENG_SCEN'!$P$36,IF('IN_COST'!$G$43="PPI",'ENG_SCEN'!$P$35,IF('IN_COST'!$G$43="ENERGY",'ENG_SCEN'!$P$34,IF('IN_COST'!$G$43="WAGE",'ENG_SCEN'!$P$33,IF('IN_COST'!$G$43="CPI",'ENG_SCEN'!$P$32,1))))),IF('IN_COST'!$E$43="PER_KWH",'ENG_OPS'!$P$63*'IN_COST'!$F$43*IF('IN_COST'!$G$43="FX",'ENG_SCEN'!$P$36,IF('IN_COST'!$G$43="PPI",'ENG_SCEN'!$P$35,IF('IN_COST'!$G$43="ENERGY",'ENG_SCEN'!$P$34,IF('IN_COST'!$G$43="WAGE",'ENG_SCEN'!$P$33,IF('IN_COST'!$G$43="CPI",'ENG_SCEN'!$P$32,1))))),IF('IN_COST'!$E$43="PER_M3",'ENG_OPS'!$P$64*'IN_COST'!$F$43*IF('IN_COST'!$G$43="FX",'ENG_SCEN'!$P$36,IF('IN_COST'!$G$43="PPI",'ENG_SCEN'!$P$35,IF('IN_COST'!$G$43="ENERGY",'ENG_SCEN'!$P$34,IF('IN_COST'!$G$43="WAGE",'ENG_SCEN'!$P$33,IF('IN_COST'!$G$43="CPI",'ENG_SCEN'!$P$32,1))))),IF('IN_COST'!$E$43="ANNUAL",'IN_COST'!$F$43*IF('IN_COST'!$G$43="FX",'ENG_SCEN'!$P$36,IF('IN_COST'!$G$43="PPI",'ENG_SCEN'!$P$35,IF('IN_COST'!$G$43="ENERGY",'ENG_SCEN'!$P$34,IF('IN_COST'!$G$43="WAGE",'ENG_SCEN'!$P$33,IF('IN_COST'!$G$43="CPI",'ENG_SCEN'!$P$32,1))))),IF('IN_COST'!$E$43="PCT_REV",'ENG_OPS'!$P$81*'IN_COST'!$F$43,IF('IN_COST'!$E$43="PCT_ASSET",'ENG_CAPEX'!$P$84*'IN_COST'!$F$43,IF('IN_COST'!$E$43="DEP",'ENG_CAPEX'!$P$81,IF('IN_COST'!$E$43="PAY",INDEX('IN_COST'!$D$15:$D$19,IFERROR(VALUE(MID('IN_COST'!$F$43,FIND(":",'IN_COST'!$F$43)+1,2)),1))*INDEX('IN_COST'!$E$15:$E$19,IFERROR(VALUE(MID('IN_COST'!$F$43,FIND(":",'IN_COST'!$F$43)+1,2)),1))*'IN_COST'!$D$10*'IN_COST'!$D$11*'ENG_SCEN'!$P$33,IF('IN_COST'!$E$43="SRV",SUM(INDEX('ENG_ALLOC'!$D$29:$P$58,(IFERROR(VALUE(MID('IN_COST'!$F$43,FIND(":",'IN_COST'!$F$43)+1,2)),1)-1)*6+1,13):INDEX('ENG_ALLOC'!$D$29:$P$58,IFERROR(VALUE(MID('IN_COST'!$F$43,FIND(":",'IN_COST'!$F$43)+1,2)),1)*6,13)),0)))))))))))*IF('IN_COST'!$E$43="DEP",'ENG_SCEN'!$G$16,IF('IN_COST'!$I$43="V",IF('IN_COST'!$E$43="SCRAP_LME",'ENG_SCEN'!$G$13,'ENG_SCEN'!$G$14),'ENG_SCEN'!$G$15))</f>
        <v/>
      </c>
    </row>
    <row r="58">
      <c r="A58" s="15" t="inlineStr">
        <is>
          <t>OPC-06 | مرکز خدماتی: لجستیک و انبارداری</t>
        </is>
      </c>
      <c r="B58" s="16" t="inlineStr">
        <is>
          <t>EC.tot.11</t>
        </is>
      </c>
      <c r="C58" s="17" t="inlineStr">
        <is>
          <t>میلیون ریال</t>
        </is>
      </c>
      <c r="D58" s="33">
        <f>'IN_MACRO'!$D$34*IF('IN_COST'!$E$44="SCRAP_LME",'ENG_OPS'!$D$20*'IN_COST'!$F$44*'ENG_SCEN'!$D$37,IF('IN_COST'!$E$44="PER_TON_BATT",'ENG_OPS'!$D$20*'IN_COST'!$F$44*IF('IN_COST'!$G$44="FX",'ENG_SCEN'!$D$36,IF('IN_COST'!$G$44="PPI",'ENG_SCEN'!$D$35,IF('IN_COST'!$G$44="ENERGY",'ENG_SCEN'!$D$34,IF('IN_COST'!$G$44="WAGE",'ENG_SCEN'!$D$33,IF('IN_COST'!$G$44="CPI",'ENG_SCEN'!$D$32,1))))),IF('IN_COST'!$E$44="PER_TON_PROD",'ENG_OPS'!$D$43*'IN_COST'!$F$44*IF('IN_COST'!$G$44="FX",'ENG_SCEN'!$D$36,IF('IN_COST'!$G$44="PPI",'ENG_SCEN'!$D$35,IF('IN_COST'!$G$44="ENERGY",'ENG_SCEN'!$D$34,IF('IN_COST'!$G$44="WAGE",'ENG_SCEN'!$D$33,IF('IN_COST'!$G$44="CPI",'ENG_SCEN'!$D$32,1))))),IF('IN_COST'!$E$44="PER_KWH",'ENG_OPS'!$D$63*'IN_COST'!$F$44*IF('IN_COST'!$G$44="FX",'ENG_SCEN'!$D$36,IF('IN_COST'!$G$44="PPI",'ENG_SCEN'!$D$35,IF('IN_COST'!$G$44="ENERGY",'ENG_SCEN'!$D$34,IF('IN_COST'!$G$44="WAGE",'ENG_SCEN'!$D$33,IF('IN_COST'!$G$44="CPI",'ENG_SCEN'!$D$32,1))))),IF('IN_COST'!$E$44="PER_M3",'ENG_OPS'!$D$64*'IN_COST'!$F$44*IF('IN_COST'!$G$44="FX",'ENG_SCEN'!$D$36,IF('IN_COST'!$G$44="PPI",'ENG_SCEN'!$D$35,IF('IN_COST'!$G$44="ENERGY",'ENG_SCEN'!$D$34,IF('IN_COST'!$G$44="WAGE",'ENG_SCEN'!$D$33,IF('IN_COST'!$G$44="CPI",'ENG_SCEN'!$D$32,1))))),IF('IN_COST'!$E$44="ANNUAL",'IN_COST'!$F$44*IF('IN_COST'!$G$44="FX",'ENG_SCEN'!$D$36,IF('IN_COST'!$G$44="PPI",'ENG_SCEN'!$D$35,IF('IN_COST'!$G$44="ENERGY",'ENG_SCEN'!$D$34,IF('IN_COST'!$G$44="WAGE",'ENG_SCEN'!$D$33,IF('IN_COST'!$G$44="CPI",'ENG_SCEN'!$D$32,1))))),IF('IN_COST'!$E$44="PCT_REV",'ENG_OPS'!$D$81*'IN_COST'!$F$44,IF('IN_COST'!$E$44="PCT_ASSET",'ENG_CAPEX'!$D$84*'IN_COST'!$F$44,IF('IN_COST'!$E$44="DEP",'ENG_CAPEX'!$D$81,IF('IN_COST'!$E$44="PAY",INDEX('IN_COST'!$D$15:$D$19,IFERROR(VALUE(MID('IN_COST'!$F$44,FIND(":",'IN_COST'!$F$44)+1,2)),1))*INDEX('IN_COST'!$E$15:$E$19,IFERROR(VALUE(MID('IN_COST'!$F$44,FIND(":",'IN_COST'!$F$44)+1,2)),1))*'IN_COST'!$D$10*'IN_COST'!$D$11*'ENG_SCEN'!$D$33,IF('IN_COST'!$E$44="SRV",SUM(INDEX('ENG_ALLOC'!$D$29:$P$58,(IFERROR(VALUE(MID('IN_COST'!$F$44,FIND(":",'IN_COST'!$F$44)+1,2)),1)-1)*6+1,1):INDEX('ENG_ALLOC'!$D$29:$P$58,IFERROR(VALUE(MID('IN_COST'!$F$44,FIND(":",'IN_COST'!$F$44)+1,2)),1)*6,1)),0)))))))))))*IF('IN_COST'!$E$44="DEP",'ENG_SCEN'!$G$16,IF('IN_COST'!$I$44="V",IF('IN_COST'!$E$44="SCRAP_LME",'ENG_SCEN'!$G$13,'ENG_SCEN'!$G$14),'ENG_SCEN'!$G$15))</f>
        <v/>
      </c>
      <c r="E58" s="33">
        <f>'IN_MACRO'!$E$34*IF('IN_COST'!$E$44="SCRAP_LME",'ENG_OPS'!$E$20*'IN_COST'!$F$44*'ENG_SCEN'!$E$37,IF('IN_COST'!$E$44="PER_TON_BATT",'ENG_OPS'!$E$20*'IN_COST'!$F$44*IF('IN_COST'!$G$44="FX",'ENG_SCEN'!$E$36,IF('IN_COST'!$G$44="PPI",'ENG_SCEN'!$E$35,IF('IN_COST'!$G$44="ENERGY",'ENG_SCEN'!$E$34,IF('IN_COST'!$G$44="WAGE",'ENG_SCEN'!$E$33,IF('IN_COST'!$G$44="CPI",'ENG_SCEN'!$E$32,1))))),IF('IN_COST'!$E$44="PER_TON_PROD",'ENG_OPS'!$E$43*'IN_COST'!$F$44*IF('IN_COST'!$G$44="FX",'ENG_SCEN'!$E$36,IF('IN_COST'!$G$44="PPI",'ENG_SCEN'!$E$35,IF('IN_COST'!$G$44="ENERGY",'ENG_SCEN'!$E$34,IF('IN_COST'!$G$44="WAGE",'ENG_SCEN'!$E$33,IF('IN_COST'!$G$44="CPI",'ENG_SCEN'!$E$32,1))))),IF('IN_COST'!$E$44="PER_KWH",'ENG_OPS'!$E$63*'IN_COST'!$F$44*IF('IN_COST'!$G$44="FX",'ENG_SCEN'!$E$36,IF('IN_COST'!$G$44="PPI",'ENG_SCEN'!$E$35,IF('IN_COST'!$G$44="ENERGY",'ENG_SCEN'!$E$34,IF('IN_COST'!$G$44="WAGE",'ENG_SCEN'!$E$33,IF('IN_COST'!$G$44="CPI",'ENG_SCEN'!$E$32,1))))),IF('IN_COST'!$E$44="PER_M3",'ENG_OPS'!$E$64*'IN_COST'!$F$44*IF('IN_COST'!$G$44="FX",'ENG_SCEN'!$E$36,IF('IN_COST'!$G$44="PPI",'ENG_SCEN'!$E$35,IF('IN_COST'!$G$44="ENERGY",'ENG_SCEN'!$E$34,IF('IN_COST'!$G$44="WAGE",'ENG_SCEN'!$E$33,IF('IN_COST'!$G$44="CPI",'ENG_SCEN'!$E$32,1))))),IF('IN_COST'!$E$44="ANNUAL",'IN_COST'!$F$44*IF('IN_COST'!$G$44="FX",'ENG_SCEN'!$E$36,IF('IN_COST'!$G$44="PPI",'ENG_SCEN'!$E$35,IF('IN_COST'!$G$44="ENERGY",'ENG_SCEN'!$E$34,IF('IN_COST'!$G$44="WAGE",'ENG_SCEN'!$E$33,IF('IN_COST'!$G$44="CPI",'ENG_SCEN'!$E$32,1))))),IF('IN_COST'!$E$44="PCT_REV",'ENG_OPS'!$E$81*'IN_COST'!$F$44,IF('IN_COST'!$E$44="PCT_ASSET",'ENG_CAPEX'!$E$84*'IN_COST'!$F$44,IF('IN_COST'!$E$44="DEP",'ENG_CAPEX'!$E$81,IF('IN_COST'!$E$44="PAY",INDEX('IN_COST'!$D$15:$D$19,IFERROR(VALUE(MID('IN_COST'!$F$44,FIND(":",'IN_COST'!$F$44)+1,2)),1))*INDEX('IN_COST'!$E$15:$E$19,IFERROR(VALUE(MID('IN_COST'!$F$44,FIND(":",'IN_COST'!$F$44)+1,2)),1))*'IN_COST'!$D$10*'IN_COST'!$D$11*'ENG_SCEN'!$E$33,IF('IN_COST'!$E$44="SRV",SUM(INDEX('ENG_ALLOC'!$D$29:$P$58,(IFERROR(VALUE(MID('IN_COST'!$F$44,FIND(":",'IN_COST'!$F$44)+1,2)),1)-1)*6+1,2):INDEX('ENG_ALLOC'!$D$29:$P$58,IFERROR(VALUE(MID('IN_COST'!$F$44,FIND(":",'IN_COST'!$F$44)+1,2)),1)*6,2)),0)))))))))))*IF('IN_COST'!$E$44="DEP",'ENG_SCEN'!$G$16,IF('IN_COST'!$I$44="V",IF('IN_COST'!$E$44="SCRAP_LME",'ENG_SCEN'!$G$13,'ENG_SCEN'!$G$14),'ENG_SCEN'!$G$15))</f>
        <v/>
      </c>
      <c r="F58" s="33">
        <f>'IN_MACRO'!$F$34*IF('IN_COST'!$E$44="SCRAP_LME",'ENG_OPS'!$F$20*'IN_COST'!$F$44*'ENG_SCEN'!$F$37,IF('IN_COST'!$E$44="PER_TON_BATT",'ENG_OPS'!$F$20*'IN_COST'!$F$44*IF('IN_COST'!$G$44="FX",'ENG_SCEN'!$F$36,IF('IN_COST'!$G$44="PPI",'ENG_SCEN'!$F$35,IF('IN_COST'!$G$44="ENERGY",'ENG_SCEN'!$F$34,IF('IN_COST'!$G$44="WAGE",'ENG_SCEN'!$F$33,IF('IN_COST'!$G$44="CPI",'ENG_SCEN'!$F$32,1))))),IF('IN_COST'!$E$44="PER_TON_PROD",'ENG_OPS'!$F$43*'IN_COST'!$F$44*IF('IN_COST'!$G$44="FX",'ENG_SCEN'!$F$36,IF('IN_COST'!$G$44="PPI",'ENG_SCEN'!$F$35,IF('IN_COST'!$G$44="ENERGY",'ENG_SCEN'!$F$34,IF('IN_COST'!$G$44="WAGE",'ENG_SCEN'!$F$33,IF('IN_COST'!$G$44="CPI",'ENG_SCEN'!$F$32,1))))),IF('IN_COST'!$E$44="PER_KWH",'ENG_OPS'!$F$63*'IN_COST'!$F$44*IF('IN_COST'!$G$44="FX",'ENG_SCEN'!$F$36,IF('IN_COST'!$G$44="PPI",'ENG_SCEN'!$F$35,IF('IN_COST'!$G$44="ENERGY",'ENG_SCEN'!$F$34,IF('IN_COST'!$G$44="WAGE",'ENG_SCEN'!$F$33,IF('IN_COST'!$G$44="CPI",'ENG_SCEN'!$F$32,1))))),IF('IN_COST'!$E$44="PER_M3",'ENG_OPS'!$F$64*'IN_COST'!$F$44*IF('IN_COST'!$G$44="FX",'ENG_SCEN'!$F$36,IF('IN_COST'!$G$44="PPI",'ENG_SCEN'!$F$35,IF('IN_COST'!$G$44="ENERGY",'ENG_SCEN'!$F$34,IF('IN_COST'!$G$44="WAGE",'ENG_SCEN'!$F$33,IF('IN_COST'!$G$44="CPI",'ENG_SCEN'!$F$32,1))))),IF('IN_COST'!$E$44="ANNUAL",'IN_COST'!$F$44*IF('IN_COST'!$G$44="FX",'ENG_SCEN'!$F$36,IF('IN_COST'!$G$44="PPI",'ENG_SCEN'!$F$35,IF('IN_COST'!$G$44="ENERGY",'ENG_SCEN'!$F$34,IF('IN_COST'!$G$44="WAGE",'ENG_SCEN'!$F$33,IF('IN_COST'!$G$44="CPI",'ENG_SCEN'!$F$32,1))))),IF('IN_COST'!$E$44="PCT_REV",'ENG_OPS'!$F$81*'IN_COST'!$F$44,IF('IN_COST'!$E$44="PCT_ASSET",'ENG_CAPEX'!$F$84*'IN_COST'!$F$44,IF('IN_COST'!$E$44="DEP",'ENG_CAPEX'!$F$81,IF('IN_COST'!$E$44="PAY",INDEX('IN_COST'!$D$15:$D$19,IFERROR(VALUE(MID('IN_COST'!$F$44,FIND(":",'IN_COST'!$F$44)+1,2)),1))*INDEX('IN_COST'!$E$15:$E$19,IFERROR(VALUE(MID('IN_COST'!$F$44,FIND(":",'IN_COST'!$F$44)+1,2)),1))*'IN_COST'!$D$10*'IN_COST'!$D$11*'ENG_SCEN'!$F$33,IF('IN_COST'!$E$44="SRV",SUM(INDEX('ENG_ALLOC'!$D$29:$P$58,(IFERROR(VALUE(MID('IN_COST'!$F$44,FIND(":",'IN_COST'!$F$44)+1,2)),1)-1)*6+1,3):INDEX('ENG_ALLOC'!$D$29:$P$58,IFERROR(VALUE(MID('IN_COST'!$F$44,FIND(":",'IN_COST'!$F$44)+1,2)),1)*6,3)),0)))))))))))*IF('IN_COST'!$E$44="DEP",'ENG_SCEN'!$G$16,IF('IN_COST'!$I$44="V",IF('IN_COST'!$E$44="SCRAP_LME",'ENG_SCEN'!$G$13,'ENG_SCEN'!$G$14),'ENG_SCEN'!$G$15))</f>
        <v/>
      </c>
      <c r="G58" s="33">
        <f>'IN_MACRO'!$G$34*IF('IN_COST'!$E$44="SCRAP_LME",'ENG_OPS'!$G$20*'IN_COST'!$F$44*'ENG_SCEN'!$G$37,IF('IN_COST'!$E$44="PER_TON_BATT",'ENG_OPS'!$G$20*'IN_COST'!$F$44*IF('IN_COST'!$G$44="FX",'ENG_SCEN'!$G$36,IF('IN_COST'!$G$44="PPI",'ENG_SCEN'!$G$35,IF('IN_COST'!$G$44="ENERGY",'ENG_SCEN'!$G$34,IF('IN_COST'!$G$44="WAGE",'ENG_SCEN'!$G$33,IF('IN_COST'!$G$44="CPI",'ENG_SCEN'!$G$32,1))))),IF('IN_COST'!$E$44="PER_TON_PROD",'ENG_OPS'!$G$43*'IN_COST'!$F$44*IF('IN_COST'!$G$44="FX",'ENG_SCEN'!$G$36,IF('IN_COST'!$G$44="PPI",'ENG_SCEN'!$G$35,IF('IN_COST'!$G$44="ENERGY",'ENG_SCEN'!$G$34,IF('IN_COST'!$G$44="WAGE",'ENG_SCEN'!$G$33,IF('IN_COST'!$G$44="CPI",'ENG_SCEN'!$G$32,1))))),IF('IN_COST'!$E$44="PER_KWH",'ENG_OPS'!$G$63*'IN_COST'!$F$44*IF('IN_COST'!$G$44="FX",'ENG_SCEN'!$G$36,IF('IN_COST'!$G$44="PPI",'ENG_SCEN'!$G$35,IF('IN_COST'!$G$44="ENERGY",'ENG_SCEN'!$G$34,IF('IN_COST'!$G$44="WAGE",'ENG_SCEN'!$G$33,IF('IN_COST'!$G$44="CPI",'ENG_SCEN'!$G$32,1))))),IF('IN_COST'!$E$44="PER_M3",'ENG_OPS'!$G$64*'IN_COST'!$F$44*IF('IN_COST'!$G$44="FX",'ENG_SCEN'!$G$36,IF('IN_COST'!$G$44="PPI",'ENG_SCEN'!$G$35,IF('IN_COST'!$G$44="ENERGY",'ENG_SCEN'!$G$34,IF('IN_COST'!$G$44="WAGE",'ENG_SCEN'!$G$33,IF('IN_COST'!$G$44="CPI",'ENG_SCEN'!$G$32,1))))),IF('IN_COST'!$E$44="ANNUAL",'IN_COST'!$F$44*IF('IN_COST'!$G$44="FX",'ENG_SCEN'!$G$36,IF('IN_COST'!$G$44="PPI",'ENG_SCEN'!$G$35,IF('IN_COST'!$G$44="ENERGY",'ENG_SCEN'!$G$34,IF('IN_COST'!$G$44="WAGE",'ENG_SCEN'!$G$33,IF('IN_COST'!$G$44="CPI",'ENG_SCEN'!$G$32,1))))),IF('IN_COST'!$E$44="PCT_REV",'ENG_OPS'!$G$81*'IN_COST'!$F$44,IF('IN_COST'!$E$44="PCT_ASSET",'ENG_CAPEX'!$G$84*'IN_COST'!$F$44,IF('IN_COST'!$E$44="DEP",'ENG_CAPEX'!$G$81,IF('IN_COST'!$E$44="PAY",INDEX('IN_COST'!$D$15:$D$19,IFERROR(VALUE(MID('IN_COST'!$F$44,FIND(":",'IN_COST'!$F$44)+1,2)),1))*INDEX('IN_COST'!$E$15:$E$19,IFERROR(VALUE(MID('IN_COST'!$F$44,FIND(":",'IN_COST'!$F$44)+1,2)),1))*'IN_COST'!$D$10*'IN_COST'!$D$11*'ENG_SCEN'!$G$33,IF('IN_COST'!$E$44="SRV",SUM(INDEX('ENG_ALLOC'!$D$29:$P$58,(IFERROR(VALUE(MID('IN_COST'!$F$44,FIND(":",'IN_COST'!$F$44)+1,2)),1)-1)*6+1,4):INDEX('ENG_ALLOC'!$D$29:$P$58,IFERROR(VALUE(MID('IN_COST'!$F$44,FIND(":",'IN_COST'!$F$44)+1,2)),1)*6,4)),0)))))))))))*IF('IN_COST'!$E$44="DEP",'ENG_SCEN'!$G$16,IF('IN_COST'!$I$44="V",IF('IN_COST'!$E$44="SCRAP_LME",'ENG_SCEN'!$G$13,'ENG_SCEN'!$G$14),'ENG_SCEN'!$G$15))</f>
        <v/>
      </c>
      <c r="H58" s="33">
        <f>'IN_MACRO'!$H$34*IF('IN_COST'!$E$44="SCRAP_LME",'ENG_OPS'!$H$20*'IN_COST'!$F$44*'ENG_SCEN'!$H$37,IF('IN_COST'!$E$44="PER_TON_BATT",'ENG_OPS'!$H$20*'IN_COST'!$F$44*IF('IN_COST'!$G$44="FX",'ENG_SCEN'!$H$36,IF('IN_COST'!$G$44="PPI",'ENG_SCEN'!$H$35,IF('IN_COST'!$G$44="ENERGY",'ENG_SCEN'!$H$34,IF('IN_COST'!$G$44="WAGE",'ENG_SCEN'!$H$33,IF('IN_COST'!$G$44="CPI",'ENG_SCEN'!$H$32,1))))),IF('IN_COST'!$E$44="PER_TON_PROD",'ENG_OPS'!$H$43*'IN_COST'!$F$44*IF('IN_COST'!$G$44="FX",'ENG_SCEN'!$H$36,IF('IN_COST'!$G$44="PPI",'ENG_SCEN'!$H$35,IF('IN_COST'!$G$44="ENERGY",'ENG_SCEN'!$H$34,IF('IN_COST'!$G$44="WAGE",'ENG_SCEN'!$H$33,IF('IN_COST'!$G$44="CPI",'ENG_SCEN'!$H$32,1))))),IF('IN_COST'!$E$44="PER_KWH",'ENG_OPS'!$H$63*'IN_COST'!$F$44*IF('IN_COST'!$G$44="FX",'ENG_SCEN'!$H$36,IF('IN_COST'!$G$44="PPI",'ENG_SCEN'!$H$35,IF('IN_COST'!$G$44="ENERGY",'ENG_SCEN'!$H$34,IF('IN_COST'!$G$44="WAGE",'ENG_SCEN'!$H$33,IF('IN_COST'!$G$44="CPI",'ENG_SCEN'!$H$32,1))))),IF('IN_COST'!$E$44="PER_M3",'ENG_OPS'!$H$64*'IN_COST'!$F$44*IF('IN_COST'!$G$44="FX",'ENG_SCEN'!$H$36,IF('IN_COST'!$G$44="PPI",'ENG_SCEN'!$H$35,IF('IN_COST'!$G$44="ENERGY",'ENG_SCEN'!$H$34,IF('IN_COST'!$G$44="WAGE",'ENG_SCEN'!$H$33,IF('IN_COST'!$G$44="CPI",'ENG_SCEN'!$H$32,1))))),IF('IN_COST'!$E$44="ANNUAL",'IN_COST'!$F$44*IF('IN_COST'!$G$44="FX",'ENG_SCEN'!$H$36,IF('IN_COST'!$G$44="PPI",'ENG_SCEN'!$H$35,IF('IN_COST'!$G$44="ENERGY",'ENG_SCEN'!$H$34,IF('IN_COST'!$G$44="WAGE",'ENG_SCEN'!$H$33,IF('IN_COST'!$G$44="CPI",'ENG_SCEN'!$H$32,1))))),IF('IN_COST'!$E$44="PCT_REV",'ENG_OPS'!$H$81*'IN_COST'!$F$44,IF('IN_COST'!$E$44="PCT_ASSET",'ENG_CAPEX'!$H$84*'IN_COST'!$F$44,IF('IN_COST'!$E$44="DEP",'ENG_CAPEX'!$H$81,IF('IN_COST'!$E$44="PAY",INDEX('IN_COST'!$D$15:$D$19,IFERROR(VALUE(MID('IN_COST'!$F$44,FIND(":",'IN_COST'!$F$44)+1,2)),1))*INDEX('IN_COST'!$E$15:$E$19,IFERROR(VALUE(MID('IN_COST'!$F$44,FIND(":",'IN_COST'!$F$44)+1,2)),1))*'IN_COST'!$D$10*'IN_COST'!$D$11*'ENG_SCEN'!$H$33,IF('IN_COST'!$E$44="SRV",SUM(INDEX('ENG_ALLOC'!$D$29:$P$58,(IFERROR(VALUE(MID('IN_COST'!$F$44,FIND(":",'IN_COST'!$F$44)+1,2)),1)-1)*6+1,5):INDEX('ENG_ALLOC'!$D$29:$P$58,IFERROR(VALUE(MID('IN_COST'!$F$44,FIND(":",'IN_COST'!$F$44)+1,2)),1)*6,5)),0)))))))))))*IF('IN_COST'!$E$44="DEP",'ENG_SCEN'!$G$16,IF('IN_COST'!$I$44="V",IF('IN_COST'!$E$44="SCRAP_LME",'ENG_SCEN'!$G$13,'ENG_SCEN'!$G$14),'ENG_SCEN'!$G$15))</f>
        <v/>
      </c>
      <c r="I58" s="33">
        <f>'IN_MACRO'!$I$34*IF('IN_COST'!$E$44="SCRAP_LME",'ENG_OPS'!$I$20*'IN_COST'!$F$44*'ENG_SCEN'!$I$37,IF('IN_COST'!$E$44="PER_TON_BATT",'ENG_OPS'!$I$20*'IN_COST'!$F$44*IF('IN_COST'!$G$44="FX",'ENG_SCEN'!$I$36,IF('IN_COST'!$G$44="PPI",'ENG_SCEN'!$I$35,IF('IN_COST'!$G$44="ENERGY",'ENG_SCEN'!$I$34,IF('IN_COST'!$G$44="WAGE",'ENG_SCEN'!$I$33,IF('IN_COST'!$G$44="CPI",'ENG_SCEN'!$I$32,1))))),IF('IN_COST'!$E$44="PER_TON_PROD",'ENG_OPS'!$I$43*'IN_COST'!$F$44*IF('IN_COST'!$G$44="FX",'ENG_SCEN'!$I$36,IF('IN_COST'!$G$44="PPI",'ENG_SCEN'!$I$35,IF('IN_COST'!$G$44="ENERGY",'ENG_SCEN'!$I$34,IF('IN_COST'!$G$44="WAGE",'ENG_SCEN'!$I$33,IF('IN_COST'!$G$44="CPI",'ENG_SCEN'!$I$32,1))))),IF('IN_COST'!$E$44="PER_KWH",'ENG_OPS'!$I$63*'IN_COST'!$F$44*IF('IN_COST'!$G$44="FX",'ENG_SCEN'!$I$36,IF('IN_COST'!$G$44="PPI",'ENG_SCEN'!$I$35,IF('IN_COST'!$G$44="ENERGY",'ENG_SCEN'!$I$34,IF('IN_COST'!$G$44="WAGE",'ENG_SCEN'!$I$33,IF('IN_COST'!$G$44="CPI",'ENG_SCEN'!$I$32,1))))),IF('IN_COST'!$E$44="PER_M3",'ENG_OPS'!$I$64*'IN_COST'!$F$44*IF('IN_COST'!$G$44="FX",'ENG_SCEN'!$I$36,IF('IN_COST'!$G$44="PPI",'ENG_SCEN'!$I$35,IF('IN_COST'!$G$44="ENERGY",'ENG_SCEN'!$I$34,IF('IN_COST'!$G$44="WAGE",'ENG_SCEN'!$I$33,IF('IN_COST'!$G$44="CPI",'ENG_SCEN'!$I$32,1))))),IF('IN_COST'!$E$44="ANNUAL",'IN_COST'!$F$44*IF('IN_COST'!$G$44="FX",'ENG_SCEN'!$I$36,IF('IN_COST'!$G$44="PPI",'ENG_SCEN'!$I$35,IF('IN_COST'!$G$44="ENERGY",'ENG_SCEN'!$I$34,IF('IN_COST'!$G$44="WAGE",'ENG_SCEN'!$I$33,IF('IN_COST'!$G$44="CPI",'ENG_SCEN'!$I$32,1))))),IF('IN_COST'!$E$44="PCT_REV",'ENG_OPS'!$I$81*'IN_COST'!$F$44,IF('IN_COST'!$E$44="PCT_ASSET",'ENG_CAPEX'!$I$84*'IN_COST'!$F$44,IF('IN_COST'!$E$44="DEP",'ENG_CAPEX'!$I$81,IF('IN_COST'!$E$44="PAY",INDEX('IN_COST'!$D$15:$D$19,IFERROR(VALUE(MID('IN_COST'!$F$44,FIND(":",'IN_COST'!$F$44)+1,2)),1))*INDEX('IN_COST'!$E$15:$E$19,IFERROR(VALUE(MID('IN_COST'!$F$44,FIND(":",'IN_COST'!$F$44)+1,2)),1))*'IN_COST'!$D$10*'IN_COST'!$D$11*'ENG_SCEN'!$I$33,IF('IN_COST'!$E$44="SRV",SUM(INDEX('ENG_ALLOC'!$D$29:$P$58,(IFERROR(VALUE(MID('IN_COST'!$F$44,FIND(":",'IN_COST'!$F$44)+1,2)),1)-1)*6+1,6):INDEX('ENG_ALLOC'!$D$29:$P$58,IFERROR(VALUE(MID('IN_COST'!$F$44,FIND(":",'IN_COST'!$F$44)+1,2)),1)*6,6)),0)))))))))))*IF('IN_COST'!$E$44="DEP",'ENG_SCEN'!$G$16,IF('IN_COST'!$I$44="V",IF('IN_COST'!$E$44="SCRAP_LME",'ENG_SCEN'!$G$13,'ENG_SCEN'!$G$14),'ENG_SCEN'!$G$15))</f>
        <v/>
      </c>
      <c r="J58" s="33">
        <f>'IN_MACRO'!$J$34*IF('IN_COST'!$E$44="SCRAP_LME",'ENG_OPS'!$J$20*'IN_COST'!$F$44*'ENG_SCEN'!$J$37,IF('IN_COST'!$E$44="PER_TON_BATT",'ENG_OPS'!$J$20*'IN_COST'!$F$44*IF('IN_COST'!$G$44="FX",'ENG_SCEN'!$J$36,IF('IN_COST'!$G$44="PPI",'ENG_SCEN'!$J$35,IF('IN_COST'!$G$44="ENERGY",'ENG_SCEN'!$J$34,IF('IN_COST'!$G$44="WAGE",'ENG_SCEN'!$J$33,IF('IN_COST'!$G$44="CPI",'ENG_SCEN'!$J$32,1))))),IF('IN_COST'!$E$44="PER_TON_PROD",'ENG_OPS'!$J$43*'IN_COST'!$F$44*IF('IN_COST'!$G$44="FX",'ENG_SCEN'!$J$36,IF('IN_COST'!$G$44="PPI",'ENG_SCEN'!$J$35,IF('IN_COST'!$G$44="ENERGY",'ENG_SCEN'!$J$34,IF('IN_COST'!$G$44="WAGE",'ENG_SCEN'!$J$33,IF('IN_COST'!$G$44="CPI",'ENG_SCEN'!$J$32,1))))),IF('IN_COST'!$E$44="PER_KWH",'ENG_OPS'!$J$63*'IN_COST'!$F$44*IF('IN_COST'!$G$44="FX",'ENG_SCEN'!$J$36,IF('IN_COST'!$G$44="PPI",'ENG_SCEN'!$J$35,IF('IN_COST'!$G$44="ENERGY",'ENG_SCEN'!$J$34,IF('IN_COST'!$G$44="WAGE",'ENG_SCEN'!$J$33,IF('IN_COST'!$G$44="CPI",'ENG_SCEN'!$J$32,1))))),IF('IN_COST'!$E$44="PER_M3",'ENG_OPS'!$J$64*'IN_COST'!$F$44*IF('IN_COST'!$G$44="FX",'ENG_SCEN'!$J$36,IF('IN_COST'!$G$44="PPI",'ENG_SCEN'!$J$35,IF('IN_COST'!$G$44="ENERGY",'ENG_SCEN'!$J$34,IF('IN_COST'!$G$44="WAGE",'ENG_SCEN'!$J$33,IF('IN_COST'!$G$44="CPI",'ENG_SCEN'!$J$32,1))))),IF('IN_COST'!$E$44="ANNUAL",'IN_COST'!$F$44*IF('IN_COST'!$G$44="FX",'ENG_SCEN'!$J$36,IF('IN_COST'!$G$44="PPI",'ENG_SCEN'!$J$35,IF('IN_COST'!$G$44="ENERGY",'ENG_SCEN'!$J$34,IF('IN_COST'!$G$44="WAGE",'ENG_SCEN'!$J$33,IF('IN_COST'!$G$44="CPI",'ENG_SCEN'!$J$32,1))))),IF('IN_COST'!$E$44="PCT_REV",'ENG_OPS'!$J$81*'IN_COST'!$F$44,IF('IN_COST'!$E$44="PCT_ASSET",'ENG_CAPEX'!$J$84*'IN_COST'!$F$44,IF('IN_COST'!$E$44="DEP",'ENG_CAPEX'!$J$81,IF('IN_COST'!$E$44="PAY",INDEX('IN_COST'!$D$15:$D$19,IFERROR(VALUE(MID('IN_COST'!$F$44,FIND(":",'IN_COST'!$F$44)+1,2)),1))*INDEX('IN_COST'!$E$15:$E$19,IFERROR(VALUE(MID('IN_COST'!$F$44,FIND(":",'IN_COST'!$F$44)+1,2)),1))*'IN_COST'!$D$10*'IN_COST'!$D$11*'ENG_SCEN'!$J$33,IF('IN_COST'!$E$44="SRV",SUM(INDEX('ENG_ALLOC'!$D$29:$P$58,(IFERROR(VALUE(MID('IN_COST'!$F$44,FIND(":",'IN_COST'!$F$44)+1,2)),1)-1)*6+1,7):INDEX('ENG_ALLOC'!$D$29:$P$58,IFERROR(VALUE(MID('IN_COST'!$F$44,FIND(":",'IN_COST'!$F$44)+1,2)),1)*6,7)),0)))))))))))*IF('IN_COST'!$E$44="DEP",'ENG_SCEN'!$G$16,IF('IN_COST'!$I$44="V",IF('IN_COST'!$E$44="SCRAP_LME",'ENG_SCEN'!$G$13,'ENG_SCEN'!$G$14),'ENG_SCEN'!$G$15))</f>
        <v/>
      </c>
      <c r="K58" s="33">
        <f>'IN_MACRO'!$K$34*IF('IN_COST'!$E$44="SCRAP_LME",'ENG_OPS'!$K$20*'IN_COST'!$F$44*'ENG_SCEN'!$K$37,IF('IN_COST'!$E$44="PER_TON_BATT",'ENG_OPS'!$K$20*'IN_COST'!$F$44*IF('IN_COST'!$G$44="FX",'ENG_SCEN'!$K$36,IF('IN_COST'!$G$44="PPI",'ENG_SCEN'!$K$35,IF('IN_COST'!$G$44="ENERGY",'ENG_SCEN'!$K$34,IF('IN_COST'!$G$44="WAGE",'ENG_SCEN'!$K$33,IF('IN_COST'!$G$44="CPI",'ENG_SCEN'!$K$32,1))))),IF('IN_COST'!$E$44="PER_TON_PROD",'ENG_OPS'!$K$43*'IN_COST'!$F$44*IF('IN_COST'!$G$44="FX",'ENG_SCEN'!$K$36,IF('IN_COST'!$G$44="PPI",'ENG_SCEN'!$K$35,IF('IN_COST'!$G$44="ENERGY",'ENG_SCEN'!$K$34,IF('IN_COST'!$G$44="WAGE",'ENG_SCEN'!$K$33,IF('IN_COST'!$G$44="CPI",'ENG_SCEN'!$K$32,1))))),IF('IN_COST'!$E$44="PER_KWH",'ENG_OPS'!$K$63*'IN_COST'!$F$44*IF('IN_COST'!$G$44="FX",'ENG_SCEN'!$K$36,IF('IN_COST'!$G$44="PPI",'ENG_SCEN'!$K$35,IF('IN_COST'!$G$44="ENERGY",'ENG_SCEN'!$K$34,IF('IN_COST'!$G$44="WAGE",'ENG_SCEN'!$K$33,IF('IN_COST'!$G$44="CPI",'ENG_SCEN'!$K$32,1))))),IF('IN_COST'!$E$44="PER_M3",'ENG_OPS'!$K$64*'IN_COST'!$F$44*IF('IN_COST'!$G$44="FX",'ENG_SCEN'!$K$36,IF('IN_COST'!$G$44="PPI",'ENG_SCEN'!$K$35,IF('IN_COST'!$G$44="ENERGY",'ENG_SCEN'!$K$34,IF('IN_COST'!$G$44="WAGE",'ENG_SCEN'!$K$33,IF('IN_COST'!$G$44="CPI",'ENG_SCEN'!$K$32,1))))),IF('IN_COST'!$E$44="ANNUAL",'IN_COST'!$F$44*IF('IN_COST'!$G$44="FX",'ENG_SCEN'!$K$36,IF('IN_COST'!$G$44="PPI",'ENG_SCEN'!$K$35,IF('IN_COST'!$G$44="ENERGY",'ENG_SCEN'!$K$34,IF('IN_COST'!$G$44="WAGE",'ENG_SCEN'!$K$33,IF('IN_COST'!$G$44="CPI",'ENG_SCEN'!$K$32,1))))),IF('IN_COST'!$E$44="PCT_REV",'ENG_OPS'!$K$81*'IN_COST'!$F$44,IF('IN_COST'!$E$44="PCT_ASSET",'ENG_CAPEX'!$K$84*'IN_COST'!$F$44,IF('IN_COST'!$E$44="DEP",'ENG_CAPEX'!$K$81,IF('IN_COST'!$E$44="PAY",INDEX('IN_COST'!$D$15:$D$19,IFERROR(VALUE(MID('IN_COST'!$F$44,FIND(":",'IN_COST'!$F$44)+1,2)),1))*INDEX('IN_COST'!$E$15:$E$19,IFERROR(VALUE(MID('IN_COST'!$F$44,FIND(":",'IN_COST'!$F$44)+1,2)),1))*'IN_COST'!$D$10*'IN_COST'!$D$11*'ENG_SCEN'!$K$33,IF('IN_COST'!$E$44="SRV",SUM(INDEX('ENG_ALLOC'!$D$29:$P$58,(IFERROR(VALUE(MID('IN_COST'!$F$44,FIND(":",'IN_COST'!$F$44)+1,2)),1)-1)*6+1,8):INDEX('ENG_ALLOC'!$D$29:$P$58,IFERROR(VALUE(MID('IN_COST'!$F$44,FIND(":",'IN_COST'!$F$44)+1,2)),1)*6,8)),0)))))))))))*IF('IN_COST'!$E$44="DEP",'ENG_SCEN'!$G$16,IF('IN_COST'!$I$44="V",IF('IN_COST'!$E$44="SCRAP_LME",'ENG_SCEN'!$G$13,'ENG_SCEN'!$G$14),'ENG_SCEN'!$G$15))</f>
        <v/>
      </c>
      <c r="L58" s="33">
        <f>'IN_MACRO'!$L$34*IF('IN_COST'!$E$44="SCRAP_LME",'ENG_OPS'!$L$20*'IN_COST'!$F$44*'ENG_SCEN'!$L$37,IF('IN_COST'!$E$44="PER_TON_BATT",'ENG_OPS'!$L$20*'IN_COST'!$F$44*IF('IN_COST'!$G$44="FX",'ENG_SCEN'!$L$36,IF('IN_COST'!$G$44="PPI",'ENG_SCEN'!$L$35,IF('IN_COST'!$G$44="ENERGY",'ENG_SCEN'!$L$34,IF('IN_COST'!$G$44="WAGE",'ENG_SCEN'!$L$33,IF('IN_COST'!$G$44="CPI",'ENG_SCEN'!$L$32,1))))),IF('IN_COST'!$E$44="PER_TON_PROD",'ENG_OPS'!$L$43*'IN_COST'!$F$44*IF('IN_COST'!$G$44="FX",'ENG_SCEN'!$L$36,IF('IN_COST'!$G$44="PPI",'ENG_SCEN'!$L$35,IF('IN_COST'!$G$44="ENERGY",'ENG_SCEN'!$L$34,IF('IN_COST'!$G$44="WAGE",'ENG_SCEN'!$L$33,IF('IN_COST'!$G$44="CPI",'ENG_SCEN'!$L$32,1))))),IF('IN_COST'!$E$44="PER_KWH",'ENG_OPS'!$L$63*'IN_COST'!$F$44*IF('IN_COST'!$G$44="FX",'ENG_SCEN'!$L$36,IF('IN_COST'!$G$44="PPI",'ENG_SCEN'!$L$35,IF('IN_COST'!$G$44="ENERGY",'ENG_SCEN'!$L$34,IF('IN_COST'!$G$44="WAGE",'ENG_SCEN'!$L$33,IF('IN_COST'!$G$44="CPI",'ENG_SCEN'!$L$32,1))))),IF('IN_COST'!$E$44="PER_M3",'ENG_OPS'!$L$64*'IN_COST'!$F$44*IF('IN_COST'!$G$44="FX",'ENG_SCEN'!$L$36,IF('IN_COST'!$G$44="PPI",'ENG_SCEN'!$L$35,IF('IN_COST'!$G$44="ENERGY",'ENG_SCEN'!$L$34,IF('IN_COST'!$G$44="WAGE",'ENG_SCEN'!$L$33,IF('IN_COST'!$G$44="CPI",'ENG_SCEN'!$L$32,1))))),IF('IN_COST'!$E$44="ANNUAL",'IN_COST'!$F$44*IF('IN_COST'!$G$44="FX",'ENG_SCEN'!$L$36,IF('IN_COST'!$G$44="PPI",'ENG_SCEN'!$L$35,IF('IN_COST'!$G$44="ENERGY",'ENG_SCEN'!$L$34,IF('IN_COST'!$G$44="WAGE",'ENG_SCEN'!$L$33,IF('IN_COST'!$G$44="CPI",'ENG_SCEN'!$L$32,1))))),IF('IN_COST'!$E$44="PCT_REV",'ENG_OPS'!$L$81*'IN_COST'!$F$44,IF('IN_COST'!$E$44="PCT_ASSET",'ENG_CAPEX'!$L$84*'IN_COST'!$F$44,IF('IN_COST'!$E$44="DEP",'ENG_CAPEX'!$L$81,IF('IN_COST'!$E$44="PAY",INDEX('IN_COST'!$D$15:$D$19,IFERROR(VALUE(MID('IN_COST'!$F$44,FIND(":",'IN_COST'!$F$44)+1,2)),1))*INDEX('IN_COST'!$E$15:$E$19,IFERROR(VALUE(MID('IN_COST'!$F$44,FIND(":",'IN_COST'!$F$44)+1,2)),1))*'IN_COST'!$D$10*'IN_COST'!$D$11*'ENG_SCEN'!$L$33,IF('IN_COST'!$E$44="SRV",SUM(INDEX('ENG_ALLOC'!$D$29:$P$58,(IFERROR(VALUE(MID('IN_COST'!$F$44,FIND(":",'IN_COST'!$F$44)+1,2)),1)-1)*6+1,9):INDEX('ENG_ALLOC'!$D$29:$P$58,IFERROR(VALUE(MID('IN_COST'!$F$44,FIND(":",'IN_COST'!$F$44)+1,2)),1)*6,9)),0)))))))))))*IF('IN_COST'!$E$44="DEP",'ENG_SCEN'!$G$16,IF('IN_COST'!$I$44="V",IF('IN_COST'!$E$44="SCRAP_LME",'ENG_SCEN'!$G$13,'ENG_SCEN'!$G$14),'ENG_SCEN'!$G$15))</f>
        <v/>
      </c>
      <c r="M58" s="33">
        <f>'IN_MACRO'!$M$34*IF('IN_COST'!$E$44="SCRAP_LME",'ENG_OPS'!$M$20*'IN_COST'!$F$44*'ENG_SCEN'!$M$37,IF('IN_COST'!$E$44="PER_TON_BATT",'ENG_OPS'!$M$20*'IN_COST'!$F$44*IF('IN_COST'!$G$44="FX",'ENG_SCEN'!$M$36,IF('IN_COST'!$G$44="PPI",'ENG_SCEN'!$M$35,IF('IN_COST'!$G$44="ENERGY",'ENG_SCEN'!$M$34,IF('IN_COST'!$G$44="WAGE",'ENG_SCEN'!$M$33,IF('IN_COST'!$G$44="CPI",'ENG_SCEN'!$M$32,1))))),IF('IN_COST'!$E$44="PER_TON_PROD",'ENG_OPS'!$M$43*'IN_COST'!$F$44*IF('IN_COST'!$G$44="FX",'ENG_SCEN'!$M$36,IF('IN_COST'!$G$44="PPI",'ENG_SCEN'!$M$35,IF('IN_COST'!$G$44="ENERGY",'ENG_SCEN'!$M$34,IF('IN_COST'!$G$44="WAGE",'ENG_SCEN'!$M$33,IF('IN_COST'!$G$44="CPI",'ENG_SCEN'!$M$32,1))))),IF('IN_COST'!$E$44="PER_KWH",'ENG_OPS'!$M$63*'IN_COST'!$F$44*IF('IN_COST'!$G$44="FX",'ENG_SCEN'!$M$36,IF('IN_COST'!$G$44="PPI",'ENG_SCEN'!$M$35,IF('IN_COST'!$G$44="ENERGY",'ENG_SCEN'!$M$34,IF('IN_COST'!$G$44="WAGE",'ENG_SCEN'!$M$33,IF('IN_COST'!$G$44="CPI",'ENG_SCEN'!$M$32,1))))),IF('IN_COST'!$E$44="PER_M3",'ENG_OPS'!$M$64*'IN_COST'!$F$44*IF('IN_COST'!$G$44="FX",'ENG_SCEN'!$M$36,IF('IN_COST'!$G$44="PPI",'ENG_SCEN'!$M$35,IF('IN_COST'!$G$44="ENERGY",'ENG_SCEN'!$M$34,IF('IN_COST'!$G$44="WAGE",'ENG_SCEN'!$M$33,IF('IN_COST'!$G$44="CPI",'ENG_SCEN'!$M$32,1))))),IF('IN_COST'!$E$44="ANNUAL",'IN_COST'!$F$44*IF('IN_COST'!$G$44="FX",'ENG_SCEN'!$M$36,IF('IN_COST'!$G$44="PPI",'ENG_SCEN'!$M$35,IF('IN_COST'!$G$44="ENERGY",'ENG_SCEN'!$M$34,IF('IN_COST'!$G$44="WAGE",'ENG_SCEN'!$M$33,IF('IN_COST'!$G$44="CPI",'ENG_SCEN'!$M$32,1))))),IF('IN_COST'!$E$44="PCT_REV",'ENG_OPS'!$M$81*'IN_COST'!$F$44,IF('IN_COST'!$E$44="PCT_ASSET",'ENG_CAPEX'!$M$84*'IN_COST'!$F$44,IF('IN_COST'!$E$44="DEP",'ENG_CAPEX'!$M$81,IF('IN_COST'!$E$44="PAY",INDEX('IN_COST'!$D$15:$D$19,IFERROR(VALUE(MID('IN_COST'!$F$44,FIND(":",'IN_COST'!$F$44)+1,2)),1))*INDEX('IN_COST'!$E$15:$E$19,IFERROR(VALUE(MID('IN_COST'!$F$44,FIND(":",'IN_COST'!$F$44)+1,2)),1))*'IN_COST'!$D$10*'IN_COST'!$D$11*'ENG_SCEN'!$M$33,IF('IN_COST'!$E$44="SRV",SUM(INDEX('ENG_ALLOC'!$D$29:$P$58,(IFERROR(VALUE(MID('IN_COST'!$F$44,FIND(":",'IN_COST'!$F$44)+1,2)),1)-1)*6+1,10):INDEX('ENG_ALLOC'!$D$29:$P$58,IFERROR(VALUE(MID('IN_COST'!$F$44,FIND(":",'IN_COST'!$F$44)+1,2)),1)*6,10)),0)))))))))))*IF('IN_COST'!$E$44="DEP",'ENG_SCEN'!$G$16,IF('IN_COST'!$I$44="V",IF('IN_COST'!$E$44="SCRAP_LME",'ENG_SCEN'!$G$13,'ENG_SCEN'!$G$14),'ENG_SCEN'!$G$15))</f>
        <v/>
      </c>
      <c r="N58" s="33">
        <f>'IN_MACRO'!$N$34*IF('IN_COST'!$E$44="SCRAP_LME",'ENG_OPS'!$N$20*'IN_COST'!$F$44*'ENG_SCEN'!$N$37,IF('IN_COST'!$E$44="PER_TON_BATT",'ENG_OPS'!$N$20*'IN_COST'!$F$44*IF('IN_COST'!$G$44="FX",'ENG_SCEN'!$N$36,IF('IN_COST'!$G$44="PPI",'ENG_SCEN'!$N$35,IF('IN_COST'!$G$44="ENERGY",'ENG_SCEN'!$N$34,IF('IN_COST'!$G$44="WAGE",'ENG_SCEN'!$N$33,IF('IN_COST'!$G$44="CPI",'ENG_SCEN'!$N$32,1))))),IF('IN_COST'!$E$44="PER_TON_PROD",'ENG_OPS'!$N$43*'IN_COST'!$F$44*IF('IN_COST'!$G$44="FX",'ENG_SCEN'!$N$36,IF('IN_COST'!$G$44="PPI",'ENG_SCEN'!$N$35,IF('IN_COST'!$G$44="ENERGY",'ENG_SCEN'!$N$34,IF('IN_COST'!$G$44="WAGE",'ENG_SCEN'!$N$33,IF('IN_COST'!$G$44="CPI",'ENG_SCEN'!$N$32,1))))),IF('IN_COST'!$E$44="PER_KWH",'ENG_OPS'!$N$63*'IN_COST'!$F$44*IF('IN_COST'!$G$44="FX",'ENG_SCEN'!$N$36,IF('IN_COST'!$G$44="PPI",'ENG_SCEN'!$N$35,IF('IN_COST'!$G$44="ENERGY",'ENG_SCEN'!$N$34,IF('IN_COST'!$G$44="WAGE",'ENG_SCEN'!$N$33,IF('IN_COST'!$G$44="CPI",'ENG_SCEN'!$N$32,1))))),IF('IN_COST'!$E$44="PER_M3",'ENG_OPS'!$N$64*'IN_COST'!$F$44*IF('IN_COST'!$G$44="FX",'ENG_SCEN'!$N$36,IF('IN_COST'!$G$44="PPI",'ENG_SCEN'!$N$35,IF('IN_COST'!$G$44="ENERGY",'ENG_SCEN'!$N$34,IF('IN_COST'!$G$44="WAGE",'ENG_SCEN'!$N$33,IF('IN_COST'!$G$44="CPI",'ENG_SCEN'!$N$32,1))))),IF('IN_COST'!$E$44="ANNUAL",'IN_COST'!$F$44*IF('IN_COST'!$G$44="FX",'ENG_SCEN'!$N$36,IF('IN_COST'!$G$44="PPI",'ENG_SCEN'!$N$35,IF('IN_COST'!$G$44="ENERGY",'ENG_SCEN'!$N$34,IF('IN_COST'!$G$44="WAGE",'ENG_SCEN'!$N$33,IF('IN_COST'!$G$44="CPI",'ENG_SCEN'!$N$32,1))))),IF('IN_COST'!$E$44="PCT_REV",'ENG_OPS'!$N$81*'IN_COST'!$F$44,IF('IN_COST'!$E$44="PCT_ASSET",'ENG_CAPEX'!$N$84*'IN_COST'!$F$44,IF('IN_COST'!$E$44="DEP",'ENG_CAPEX'!$N$81,IF('IN_COST'!$E$44="PAY",INDEX('IN_COST'!$D$15:$D$19,IFERROR(VALUE(MID('IN_COST'!$F$44,FIND(":",'IN_COST'!$F$44)+1,2)),1))*INDEX('IN_COST'!$E$15:$E$19,IFERROR(VALUE(MID('IN_COST'!$F$44,FIND(":",'IN_COST'!$F$44)+1,2)),1))*'IN_COST'!$D$10*'IN_COST'!$D$11*'ENG_SCEN'!$N$33,IF('IN_COST'!$E$44="SRV",SUM(INDEX('ENG_ALLOC'!$D$29:$P$58,(IFERROR(VALUE(MID('IN_COST'!$F$44,FIND(":",'IN_COST'!$F$44)+1,2)),1)-1)*6+1,11):INDEX('ENG_ALLOC'!$D$29:$P$58,IFERROR(VALUE(MID('IN_COST'!$F$44,FIND(":",'IN_COST'!$F$44)+1,2)),1)*6,11)),0)))))))))))*IF('IN_COST'!$E$44="DEP",'ENG_SCEN'!$G$16,IF('IN_COST'!$I$44="V",IF('IN_COST'!$E$44="SCRAP_LME",'ENG_SCEN'!$G$13,'ENG_SCEN'!$G$14),'ENG_SCEN'!$G$15))</f>
        <v/>
      </c>
      <c r="O58" s="33">
        <f>'IN_MACRO'!$O$34*IF('IN_COST'!$E$44="SCRAP_LME",'ENG_OPS'!$O$20*'IN_COST'!$F$44*'ENG_SCEN'!$O$37,IF('IN_COST'!$E$44="PER_TON_BATT",'ENG_OPS'!$O$20*'IN_COST'!$F$44*IF('IN_COST'!$G$44="FX",'ENG_SCEN'!$O$36,IF('IN_COST'!$G$44="PPI",'ENG_SCEN'!$O$35,IF('IN_COST'!$G$44="ENERGY",'ENG_SCEN'!$O$34,IF('IN_COST'!$G$44="WAGE",'ENG_SCEN'!$O$33,IF('IN_COST'!$G$44="CPI",'ENG_SCEN'!$O$32,1))))),IF('IN_COST'!$E$44="PER_TON_PROD",'ENG_OPS'!$O$43*'IN_COST'!$F$44*IF('IN_COST'!$G$44="FX",'ENG_SCEN'!$O$36,IF('IN_COST'!$G$44="PPI",'ENG_SCEN'!$O$35,IF('IN_COST'!$G$44="ENERGY",'ENG_SCEN'!$O$34,IF('IN_COST'!$G$44="WAGE",'ENG_SCEN'!$O$33,IF('IN_COST'!$G$44="CPI",'ENG_SCEN'!$O$32,1))))),IF('IN_COST'!$E$44="PER_KWH",'ENG_OPS'!$O$63*'IN_COST'!$F$44*IF('IN_COST'!$G$44="FX",'ENG_SCEN'!$O$36,IF('IN_COST'!$G$44="PPI",'ENG_SCEN'!$O$35,IF('IN_COST'!$G$44="ENERGY",'ENG_SCEN'!$O$34,IF('IN_COST'!$G$44="WAGE",'ENG_SCEN'!$O$33,IF('IN_COST'!$G$44="CPI",'ENG_SCEN'!$O$32,1))))),IF('IN_COST'!$E$44="PER_M3",'ENG_OPS'!$O$64*'IN_COST'!$F$44*IF('IN_COST'!$G$44="FX",'ENG_SCEN'!$O$36,IF('IN_COST'!$G$44="PPI",'ENG_SCEN'!$O$35,IF('IN_COST'!$G$44="ENERGY",'ENG_SCEN'!$O$34,IF('IN_COST'!$G$44="WAGE",'ENG_SCEN'!$O$33,IF('IN_COST'!$G$44="CPI",'ENG_SCEN'!$O$32,1))))),IF('IN_COST'!$E$44="ANNUAL",'IN_COST'!$F$44*IF('IN_COST'!$G$44="FX",'ENG_SCEN'!$O$36,IF('IN_COST'!$G$44="PPI",'ENG_SCEN'!$O$35,IF('IN_COST'!$G$44="ENERGY",'ENG_SCEN'!$O$34,IF('IN_COST'!$G$44="WAGE",'ENG_SCEN'!$O$33,IF('IN_COST'!$G$44="CPI",'ENG_SCEN'!$O$32,1))))),IF('IN_COST'!$E$44="PCT_REV",'ENG_OPS'!$O$81*'IN_COST'!$F$44,IF('IN_COST'!$E$44="PCT_ASSET",'ENG_CAPEX'!$O$84*'IN_COST'!$F$44,IF('IN_COST'!$E$44="DEP",'ENG_CAPEX'!$O$81,IF('IN_COST'!$E$44="PAY",INDEX('IN_COST'!$D$15:$D$19,IFERROR(VALUE(MID('IN_COST'!$F$44,FIND(":",'IN_COST'!$F$44)+1,2)),1))*INDEX('IN_COST'!$E$15:$E$19,IFERROR(VALUE(MID('IN_COST'!$F$44,FIND(":",'IN_COST'!$F$44)+1,2)),1))*'IN_COST'!$D$10*'IN_COST'!$D$11*'ENG_SCEN'!$O$33,IF('IN_COST'!$E$44="SRV",SUM(INDEX('ENG_ALLOC'!$D$29:$P$58,(IFERROR(VALUE(MID('IN_COST'!$F$44,FIND(":",'IN_COST'!$F$44)+1,2)),1)-1)*6+1,12):INDEX('ENG_ALLOC'!$D$29:$P$58,IFERROR(VALUE(MID('IN_COST'!$F$44,FIND(":",'IN_COST'!$F$44)+1,2)),1)*6,12)),0)))))))))))*IF('IN_COST'!$E$44="DEP",'ENG_SCEN'!$G$16,IF('IN_COST'!$I$44="V",IF('IN_COST'!$E$44="SCRAP_LME",'ENG_SCEN'!$G$13,'ENG_SCEN'!$G$14),'ENG_SCEN'!$G$15))</f>
        <v/>
      </c>
      <c r="P58" s="33">
        <f>'IN_MACRO'!$P$34*IF('IN_COST'!$E$44="SCRAP_LME",'ENG_OPS'!$P$20*'IN_COST'!$F$44*'ENG_SCEN'!$P$37,IF('IN_COST'!$E$44="PER_TON_BATT",'ENG_OPS'!$P$20*'IN_COST'!$F$44*IF('IN_COST'!$G$44="FX",'ENG_SCEN'!$P$36,IF('IN_COST'!$G$44="PPI",'ENG_SCEN'!$P$35,IF('IN_COST'!$G$44="ENERGY",'ENG_SCEN'!$P$34,IF('IN_COST'!$G$44="WAGE",'ENG_SCEN'!$P$33,IF('IN_COST'!$G$44="CPI",'ENG_SCEN'!$P$32,1))))),IF('IN_COST'!$E$44="PER_TON_PROD",'ENG_OPS'!$P$43*'IN_COST'!$F$44*IF('IN_COST'!$G$44="FX",'ENG_SCEN'!$P$36,IF('IN_COST'!$G$44="PPI",'ENG_SCEN'!$P$35,IF('IN_COST'!$G$44="ENERGY",'ENG_SCEN'!$P$34,IF('IN_COST'!$G$44="WAGE",'ENG_SCEN'!$P$33,IF('IN_COST'!$G$44="CPI",'ENG_SCEN'!$P$32,1))))),IF('IN_COST'!$E$44="PER_KWH",'ENG_OPS'!$P$63*'IN_COST'!$F$44*IF('IN_COST'!$G$44="FX",'ENG_SCEN'!$P$36,IF('IN_COST'!$G$44="PPI",'ENG_SCEN'!$P$35,IF('IN_COST'!$G$44="ENERGY",'ENG_SCEN'!$P$34,IF('IN_COST'!$G$44="WAGE",'ENG_SCEN'!$P$33,IF('IN_COST'!$G$44="CPI",'ENG_SCEN'!$P$32,1))))),IF('IN_COST'!$E$44="PER_M3",'ENG_OPS'!$P$64*'IN_COST'!$F$44*IF('IN_COST'!$G$44="FX",'ENG_SCEN'!$P$36,IF('IN_COST'!$G$44="PPI",'ENG_SCEN'!$P$35,IF('IN_COST'!$G$44="ENERGY",'ENG_SCEN'!$P$34,IF('IN_COST'!$G$44="WAGE",'ENG_SCEN'!$P$33,IF('IN_COST'!$G$44="CPI",'ENG_SCEN'!$P$32,1))))),IF('IN_COST'!$E$44="ANNUAL",'IN_COST'!$F$44*IF('IN_COST'!$G$44="FX",'ENG_SCEN'!$P$36,IF('IN_COST'!$G$44="PPI",'ENG_SCEN'!$P$35,IF('IN_COST'!$G$44="ENERGY",'ENG_SCEN'!$P$34,IF('IN_COST'!$G$44="WAGE",'ENG_SCEN'!$P$33,IF('IN_COST'!$G$44="CPI",'ENG_SCEN'!$P$32,1))))),IF('IN_COST'!$E$44="PCT_REV",'ENG_OPS'!$P$81*'IN_COST'!$F$44,IF('IN_COST'!$E$44="PCT_ASSET",'ENG_CAPEX'!$P$84*'IN_COST'!$F$44,IF('IN_COST'!$E$44="DEP",'ENG_CAPEX'!$P$81,IF('IN_COST'!$E$44="PAY",INDEX('IN_COST'!$D$15:$D$19,IFERROR(VALUE(MID('IN_COST'!$F$44,FIND(":",'IN_COST'!$F$44)+1,2)),1))*INDEX('IN_COST'!$E$15:$E$19,IFERROR(VALUE(MID('IN_COST'!$F$44,FIND(":",'IN_COST'!$F$44)+1,2)),1))*'IN_COST'!$D$10*'IN_COST'!$D$11*'ENG_SCEN'!$P$33,IF('IN_COST'!$E$44="SRV",SUM(INDEX('ENG_ALLOC'!$D$29:$P$58,(IFERROR(VALUE(MID('IN_COST'!$F$44,FIND(":",'IN_COST'!$F$44)+1,2)),1)-1)*6+1,13):INDEX('ENG_ALLOC'!$D$29:$P$58,IFERROR(VALUE(MID('IN_COST'!$F$44,FIND(":",'IN_COST'!$F$44)+1,2)),1)*6,13)),0)))))))))))*IF('IN_COST'!$E$44="DEP",'ENG_SCEN'!$G$16,IF('IN_COST'!$I$44="V",IF('IN_COST'!$E$44="SCRAP_LME",'ENG_SCEN'!$G$13,'ENG_SCEN'!$G$14),'ENG_SCEN'!$G$15))</f>
        <v/>
      </c>
    </row>
    <row r="59">
      <c r="A59" s="15" t="inlineStr">
        <is>
          <t>OPC-07 | مرکز خدماتی: تصفیه‌خانه</t>
        </is>
      </c>
      <c r="B59" s="16" t="inlineStr">
        <is>
          <t>EC.tot.12</t>
        </is>
      </c>
      <c r="C59" s="17" t="inlineStr">
        <is>
          <t>میلیون ریال</t>
        </is>
      </c>
      <c r="D59" s="33">
        <f>'IN_MACRO'!$D$34*IF('IN_COST'!$E$45="SCRAP_LME",'ENG_OPS'!$D$20*'IN_COST'!$F$45*'ENG_SCEN'!$D$37,IF('IN_COST'!$E$45="PER_TON_BATT",'ENG_OPS'!$D$20*'IN_COST'!$F$45*IF('IN_COST'!$G$45="FX",'ENG_SCEN'!$D$36,IF('IN_COST'!$G$45="PPI",'ENG_SCEN'!$D$35,IF('IN_COST'!$G$45="ENERGY",'ENG_SCEN'!$D$34,IF('IN_COST'!$G$45="WAGE",'ENG_SCEN'!$D$33,IF('IN_COST'!$G$45="CPI",'ENG_SCEN'!$D$32,1))))),IF('IN_COST'!$E$45="PER_TON_PROD",'ENG_OPS'!$D$43*'IN_COST'!$F$45*IF('IN_COST'!$G$45="FX",'ENG_SCEN'!$D$36,IF('IN_COST'!$G$45="PPI",'ENG_SCEN'!$D$35,IF('IN_COST'!$G$45="ENERGY",'ENG_SCEN'!$D$34,IF('IN_COST'!$G$45="WAGE",'ENG_SCEN'!$D$33,IF('IN_COST'!$G$45="CPI",'ENG_SCEN'!$D$32,1))))),IF('IN_COST'!$E$45="PER_KWH",'ENG_OPS'!$D$63*'IN_COST'!$F$45*IF('IN_COST'!$G$45="FX",'ENG_SCEN'!$D$36,IF('IN_COST'!$G$45="PPI",'ENG_SCEN'!$D$35,IF('IN_COST'!$G$45="ENERGY",'ENG_SCEN'!$D$34,IF('IN_COST'!$G$45="WAGE",'ENG_SCEN'!$D$33,IF('IN_COST'!$G$45="CPI",'ENG_SCEN'!$D$32,1))))),IF('IN_COST'!$E$45="PER_M3",'ENG_OPS'!$D$64*'IN_COST'!$F$45*IF('IN_COST'!$G$45="FX",'ENG_SCEN'!$D$36,IF('IN_COST'!$G$45="PPI",'ENG_SCEN'!$D$35,IF('IN_COST'!$G$45="ENERGY",'ENG_SCEN'!$D$34,IF('IN_COST'!$G$45="WAGE",'ENG_SCEN'!$D$33,IF('IN_COST'!$G$45="CPI",'ENG_SCEN'!$D$32,1))))),IF('IN_COST'!$E$45="ANNUAL",'IN_COST'!$F$45*IF('IN_COST'!$G$45="FX",'ENG_SCEN'!$D$36,IF('IN_COST'!$G$45="PPI",'ENG_SCEN'!$D$35,IF('IN_COST'!$G$45="ENERGY",'ENG_SCEN'!$D$34,IF('IN_COST'!$G$45="WAGE",'ENG_SCEN'!$D$33,IF('IN_COST'!$G$45="CPI",'ENG_SCEN'!$D$32,1))))),IF('IN_COST'!$E$45="PCT_REV",'ENG_OPS'!$D$81*'IN_COST'!$F$45,IF('IN_COST'!$E$45="PCT_ASSET",'ENG_CAPEX'!$D$84*'IN_COST'!$F$45,IF('IN_COST'!$E$45="DEP",'ENG_CAPEX'!$D$81,IF('IN_COST'!$E$45="PAY",INDEX('IN_COST'!$D$15:$D$19,IFERROR(VALUE(MID('IN_COST'!$F$45,FIND(":",'IN_COST'!$F$45)+1,2)),1))*INDEX('IN_COST'!$E$15:$E$19,IFERROR(VALUE(MID('IN_COST'!$F$45,FIND(":",'IN_COST'!$F$45)+1,2)),1))*'IN_COST'!$D$10*'IN_COST'!$D$11*'ENG_SCEN'!$D$33,IF('IN_COST'!$E$45="SRV",SUM(INDEX('ENG_ALLOC'!$D$29:$P$58,(IFERROR(VALUE(MID('IN_COST'!$F$45,FIND(":",'IN_COST'!$F$45)+1,2)),1)-1)*6+1,1):INDEX('ENG_ALLOC'!$D$29:$P$58,IFERROR(VALUE(MID('IN_COST'!$F$45,FIND(":",'IN_COST'!$F$45)+1,2)),1)*6,1)),0)))))))))))*IF('IN_COST'!$E$45="DEP",'ENG_SCEN'!$G$16,IF('IN_COST'!$I$45="V",IF('IN_COST'!$E$45="SCRAP_LME",'ENG_SCEN'!$G$13,'ENG_SCEN'!$G$14),'ENG_SCEN'!$G$15))</f>
        <v/>
      </c>
      <c r="E59" s="33">
        <f>'IN_MACRO'!$E$34*IF('IN_COST'!$E$45="SCRAP_LME",'ENG_OPS'!$E$20*'IN_COST'!$F$45*'ENG_SCEN'!$E$37,IF('IN_COST'!$E$45="PER_TON_BATT",'ENG_OPS'!$E$20*'IN_COST'!$F$45*IF('IN_COST'!$G$45="FX",'ENG_SCEN'!$E$36,IF('IN_COST'!$G$45="PPI",'ENG_SCEN'!$E$35,IF('IN_COST'!$G$45="ENERGY",'ENG_SCEN'!$E$34,IF('IN_COST'!$G$45="WAGE",'ENG_SCEN'!$E$33,IF('IN_COST'!$G$45="CPI",'ENG_SCEN'!$E$32,1))))),IF('IN_COST'!$E$45="PER_TON_PROD",'ENG_OPS'!$E$43*'IN_COST'!$F$45*IF('IN_COST'!$G$45="FX",'ENG_SCEN'!$E$36,IF('IN_COST'!$G$45="PPI",'ENG_SCEN'!$E$35,IF('IN_COST'!$G$45="ENERGY",'ENG_SCEN'!$E$34,IF('IN_COST'!$G$45="WAGE",'ENG_SCEN'!$E$33,IF('IN_COST'!$G$45="CPI",'ENG_SCEN'!$E$32,1))))),IF('IN_COST'!$E$45="PER_KWH",'ENG_OPS'!$E$63*'IN_COST'!$F$45*IF('IN_COST'!$G$45="FX",'ENG_SCEN'!$E$36,IF('IN_COST'!$G$45="PPI",'ENG_SCEN'!$E$35,IF('IN_COST'!$G$45="ENERGY",'ENG_SCEN'!$E$34,IF('IN_COST'!$G$45="WAGE",'ENG_SCEN'!$E$33,IF('IN_COST'!$G$45="CPI",'ENG_SCEN'!$E$32,1))))),IF('IN_COST'!$E$45="PER_M3",'ENG_OPS'!$E$64*'IN_COST'!$F$45*IF('IN_COST'!$G$45="FX",'ENG_SCEN'!$E$36,IF('IN_COST'!$G$45="PPI",'ENG_SCEN'!$E$35,IF('IN_COST'!$G$45="ENERGY",'ENG_SCEN'!$E$34,IF('IN_COST'!$G$45="WAGE",'ENG_SCEN'!$E$33,IF('IN_COST'!$G$45="CPI",'ENG_SCEN'!$E$32,1))))),IF('IN_COST'!$E$45="ANNUAL",'IN_COST'!$F$45*IF('IN_COST'!$G$45="FX",'ENG_SCEN'!$E$36,IF('IN_COST'!$G$45="PPI",'ENG_SCEN'!$E$35,IF('IN_COST'!$G$45="ENERGY",'ENG_SCEN'!$E$34,IF('IN_COST'!$G$45="WAGE",'ENG_SCEN'!$E$33,IF('IN_COST'!$G$45="CPI",'ENG_SCEN'!$E$32,1))))),IF('IN_COST'!$E$45="PCT_REV",'ENG_OPS'!$E$81*'IN_COST'!$F$45,IF('IN_COST'!$E$45="PCT_ASSET",'ENG_CAPEX'!$E$84*'IN_COST'!$F$45,IF('IN_COST'!$E$45="DEP",'ENG_CAPEX'!$E$81,IF('IN_COST'!$E$45="PAY",INDEX('IN_COST'!$D$15:$D$19,IFERROR(VALUE(MID('IN_COST'!$F$45,FIND(":",'IN_COST'!$F$45)+1,2)),1))*INDEX('IN_COST'!$E$15:$E$19,IFERROR(VALUE(MID('IN_COST'!$F$45,FIND(":",'IN_COST'!$F$45)+1,2)),1))*'IN_COST'!$D$10*'IN_COST'!$D$11*'ENG_SCEN'!$E$33,IF('IN_COST'!$E$45="SRV",SUM(INDEX('ENG_ALLOC'!$D$29:$P$58,(IFERROR(VALUE(MID('IN_COST'!$F$45,FIND(":",'IN_COST'!$F$45)+1,2)),1)-1)*6+1,2):INDEX('ENG_ALLOC'!$D$29:$P$58,IFERROR(VALUE(MID('IN_COST'!$F$45,FIND(":",'IN_COST'!$F$45)+1,2)),1)*6,2)),0)))))))))))*IF('IN_COST'!$E$45="DEP",'ENG_SCEN'!$G$16,IF('IN_COST'!$I$45="V",IF('IN_COST'!$E$45="SCRAP_LME",'ENG_SCEN'!$G$13,'ENG_SCEN'!$G$14),'ENG_SCEN'!$G$15))</f>
        <v/>
      </c>
      <c r="F59" s="33">
        <f>'IN_MACRO'!$F$34*IF('IN_COST'!$E$45="SCRAP_LME",'ENG_OPS'!$F$20*'IN_COST'!$F$45*'ENG_SCEN'!$F$37,IF('IN_COST'!$E$45="PER_TON_BATT",'ENG_OPS'!$F$20*'IN_COST'!$F$45*IF('IN_COST'!$G$45="FX",'ENG_SCEN'!$F$36,IF('IN_COST'!$G$45="PPI",'ENG_SCEN'!$F$35,IF('IN_COST'!$G$45="ENERGY",'ENG_SCEN'!$F$34,IF('IN_COST'!$G$45="WAGE",'ENG_SCEN'!$F$33,IF('IN_COST'!$G$45="CPI",'ENG_SCEN'!$F$32,1))))),IF('IN_COST'!$E$45="PER_TON_PROD",'ENG_OPS'!$F$43*'IN_COST'!$F$45*IF('IN_COST'!$G$45="FX",'ENG_SCEN'!$F$36,IF('IN_COST'!$G$45="PPI",'ENG_SCEN'!$F$35,IF('IN_COST'!$G$45="ENERGY",'ENG_SCEN'!$F$34,IF('IN_COST'!$G$45="WAGE",'ENG_SCEN'!$F$33,IF('IN_COST'!$G$45="CPI",'ENG_SCEN'!$F$32,1))))),IF('IN_COST'!$E$45="PER_KWH",'ENG_OPS'!$F$63*'IN_COST'!$F$45*IF('IN_COST'!$G$45="FX",'ENG_SCEN'!$F$36,IF('IN_COST'!$G$45="PPI",'ENG_SCEN'!$F$35,IF('IN_COST'!$G$45="ENERGY",'ENG_SCEN'!$F$34,IF('IN_COST'!$G$45="WAGE",'ENG_SCEN'!$F$33,IF('IN_COST'!$G$45="CPI",'ENG_SCEN'!$F$32,1))))),IF('IN_COST'!$E$45="PER_M3",'ENG_OPS'!$F$64*'IN_COST'!$F$45*IF('IN_COST'!$G$45="FX",'ENG_SCEN'!$F$36,IF('IN_COST'!$G$45="PPI",'ENG_SCEN'!$F$35,IF('IN_COST'!$G$45="ENERGY",'ENG_SCEN'!$F$34,IF('IN_COST'!$G$45="WAGE",'ENG_SCEN'!$F$33,IF('IN_COST'!$G$45="CPI",'ENG_SCEN'!$F$32,1))))),IF('IN_COST'!$E$45="ANNUAL",'IN_COST'!$F$45*IF('IN_COST'!$G$45="FX",'ENG_SCEN'!$F$36,IF('IN_COST'!$G$45="PPI",'ENG_SCEN'!$F$35,IF('IN_COST'!$G$45="ENERGY",'ENG_SCEN'!$F$34,IF('IN_COST'!$G$45="WAGE",'ENG_SCEN'!$F$33,IF('IN_COST'!$G$45="CPI",'ENG_SCEN'!$F$32,1))))),IF('IN_COST'!$E$45="PCT_REV",'ENG_OPS'!$F$81*'IN_COST'!$F$45,IF('IN_COST'!$E$45="PCT_ASSET",'ENG_CAPEX'!$F$84*'IN_COST'!$F$45,IF('IN_COST'!$E$45="DEP",'ENG_CAPEX'!$F$81,IF('IN_COST'!$E$45="PAY",INDEX('IN_COST'!$D$15:$D$19,IFERROR(VALUE(MID('IN_COST'!$F$45,FIND(":",'IN_COST'!$F$45)+1,2)),1))*INDEX('IN_COST'!$E$15:$E$19,IFERROR(VALUE(MID('IN_COST'!$F$45,FIND(":",'IN_COST'!$F$45)+1,2)),1))*'IN_COST'!$D$10*'IN_COST'!$D$11*'ENG_SCEN'!$F$33,IF('IN_COST'!$E$45="SRV",SUM(INDEX('ENG_ALLOC'!$D$29:$P$58,(IFERROR(VALUE(MID('IN_COST'!$F$45,FIND(":",'IN_COST'!$F$45)+1,2)),1)-1)*6+1,3):INDEX('ENG_ALLOC'!$D$29:$P$58,IFERROR(VALUE(MID('IN_COST'!$F$45,FIND(":",'IN_COST'!$F$45)+1,2)),1)*6,3)),0)))))))))))*IF('IN_COST'!$E$45="DEP",'ENG_SCEN'!$G$16,IF('IN_COST'!$I$45="V",IF('IN_COST'!$E$45="SCRAP_LME",'ENG_SCEN'!$G$13,'ENG_SCEN'!$G$14),'ENG_SCEN'!$G$15))</f>
        <v/>
      </c>
      <c r="G59" s="33">
        <f>'IN_MACRO'!$G$34*IF('IN_COST'!$E$45="SCRAP_LME",'ENG_OPS'!$G$20*'IN_COST'!$F$45*'ENG_SCEN'!$G$37,IF('IN_COST'!$E$45="PER_TON_BATT",'ENG_OPS'!$G$20*'IN_COST'!$F$45*IF('IN_COST'!$G$45="FX",'ENG_SCEN'!$G$36,IF('IN_COST'!$G$45="PPI",'ENG_SCEN'!$G$35,IF('IN_COST'!$G$45="ENERGY",'ENG_SCEN'!$G$34,IF('IN_COST'!$G$45="WAGE",'ENG_SCEN'!$G$33,IF('IN_COST'!$G$45="CPI",'ENG_SCEN'!$G$32,1))))),IF('IN_COST'!$E$45="PER_TON_PROD",'ENG_OPS'!$G$43*'IN_COST'!$F$45*IF('IN_COST'!$G$45="FX",'ENG_SCEN'!$G$36,IF('IN_COST'!$G$45="PPI",'ENG_SCEN'!$G$35,IF('IN_COST'!$G$45="ENERGY",'ENG_SCEN'!$G$34,IF('IN_COST'!$G$45="WAGE",'ENG_SCEN'!$G$33,IF('IN_COST'!$G$45="CPI",'ENG_SCEN'!$G$32,1))))),IF('IN_COST'!$E$45="PER_KWH",'ENG_OPS'!$G$63*'IN_COST'!$F$45*IF('IN_COST'!$G$45="FX",'ENG_SCEN'!$G$36,IF('IN_COST'!$G$45="PPI",'ENG_SCEN'!$G$35,IF('IN_COST'!$G$45="ENERGY",'ENG_SCEN'!$G$34,IF('IN_COST'!$G$45="WAGE",'ENG_SCEN'!$G$33,IF('IN_COST'!$G$45="CPI",'ENG_SCEN'!$G$32,1))))),IF('IN_COST'!$E$45="PER_M3",'ENG_OPS'!$G$64*'IN_COST'!$F$45*IF('IN_COST'!$G$45="FX",'ENG_SCEN'!$G$36,IF('IN_COST'!$G$45="PPI",'ENG_SCEN'!$G$35,IF('IN_COST'!$G$45="ENERGY",'ENG_SCEN'!$G$34,IF('IN_COST'!$G$45="WAGE",'ENG_SCEN'!$G$33,IF('IN_COST'!$G$45="CPI",'ENG_SCEN'!$G$32,1))))),IF('IN_COST'!$E$45="ANNUAL",'IN_COST'!$F$45*IF('IN_COST'!$G$45="FX",'ENG_SCEN'!$G$36,IF('IN_COST'!$G$45="PPI",'ENG_SCEN'!$G$35,IF('IN_COST'!$G$45="ENERGY",'ENG_SCEN'!$G$34,IF('IN_COST'!$G$45="WAGE",'ENG_SCEN'!$G$33,IF('IN_COST'!$G$45="CPI",'ENG_SCEN'!$G$32,1))))),IF('IN_COST'!$E$45="PCT_REV",'ENG_OPS'!$G$81*'IN_COST'!$F$45,IF('IN_COST'!$E$45="PCT_ASSET",'ENG_CAPEX'!$G$84*'IN_COST'!$F$45,IF('IN_COST'!$E$45="DEP",'ENG_CAPEX'!$G$81,IF('IN_COST'!$E$45="PAY",INDEX('IN_COST'!$D$15:$D$19,IFERROR(VALUE(MID('IN_COST'!$F$45,FIND(":",'IN_COST'!$F$45)+1,2)),1))*INDEX('IN_COST'!$E$15:$E$19,IFERROR(VALUE(MID('IN_COST'!$F$45,FIND(":",'IN_COST'!$F$45)+1,2)),1))*'IN_COST'!$D$10*'IN_COST'!$D$11*'ENG_SCEN'!$G$33,IF('IN_COST'!$E$45="SRV",SUM(INDEX('ENG_ALLOC'!$D$29:$P$58,(IFERROR(VALUE(MID('IN_COST'!$F$45,FIND(":",'IN_COST'!$F$45)+1,2)),1)-1)*6+1,4):INDEX('ENG_ALLOC'!$D$29:$P$58,IFERROR(VALUE(MID('IN_COST'!$F$45,FIND(":",'IN_COST'!$F$45)+1,2)),1)*6,4)),0)))))))))))*IF('IN_COST'!$E$45="DEP",'ENG_SCEN'!$G$16,IF('IN_COST'!$I$45="V",IF('IN_COST'!$E$45="SCRAP_LME",'ENG_SCEN'!$G$13,'ENG_SCEN'!$G$14),'ENG_SCEN'!$G$15))</f>
        <v/>
      </c>
      <c r="H59" s="33">
        <f>'IN_MACRO'!$H$34*IF('IN_COST'!$E$45="SCRAP_LME",'ENG_OPS'!$H$20*'IN_COST'!$F$45*'ENG_SCEN'!$H$37,IF('IN_COST'!$E$45="PER_TON_BATT",'ENG_OPS'!$H$20*'IN_COST'!$F$45*IF('IN_COST'!$G$45="FX",'ENG_SCEN'!$H$36,IF('IN_COST'!$G$45="PPI",'ENG_SCEN'!$H$35,IF('IN_COST'!$G$45="ENERGY",'ENG_SCEN'!$H$34,IF('IN_COST'!$G$45="WAGE",'ENG_SCEN'!$H$33,IF('IN_COST'!$G$45="CPI",'ENG_SCEN'!$H$32,1))))),IF('IN_COST'!$E$45="PER_TON_PROD",'ENG_OPS'!$H$43*'IN_COST'!$F$45*IF('IN_COST'!$G$45="FX",'ENG_SCEN'!$H$36,IF('IN_COST'!$G$45="PPI",'ENG_SCEN'!$H$35,IF('IN_COST'!$G$45="ENERGY",'ENG_SCEN'!$H$34,IF('IN_COST'!$G$45="WAGE",'ENG_SCEN'!$H$33,IF('IN_COST'!$G$45="CPI",'ENG_SCEN'!$H$32,1))))),IF('IN_COST'!$E$45="PER_KWH",'ENG_OPS'!$H$63*'IN_COST'!$F$45*IF('IN_COST'!$G$45="FX",'ENG_SCEN'!$H$36,IF('IN_COST'!$G$45="PPI",'ENG_SCEN'!$H$35,IF('IN_COST'!$G$45="ENERGY",'ENG_SCEN'!$H$34,IF('IN_COST'!$G$45="WAGE",'ENG_SCEN'!$H$33,IF('IN_COST'!$G$45="CPI",'ENG_SCEN'!$H$32,1))))),IF('IN_COST'!$E$45="PER_M3",'ENG_OPS'!$H$64*'IN_COST'!$F$45*IF('IN_COST'!$G$45="FX",'ENG_SCEN'!$H$36,IF('IN_COST'!$G$45="PPI",'ENG_SCEN'!$H$35,IF('IN_COST'!$G$45="ENERGY",'ENG_SCEN'!$H$34,IF('IN_COST'!$G$45="WAGE",'ENG_SCEN'!$H$33,IF('IN_COST'!$G$45="CPI",'ENG_SCEN'!$H$32,1))))),IF('IN_COST'!$E$45="ANNUAL",'IN_COST'!$F$45*IF('IN_COST'!$G$45="FX",'ENG_SCEN'!$H$36,IF('IN_COST'!$G$45="PPI",'ENG_SCEN'!$H$35,IF('IN_COST'!$G$45="ENERGY",'ENG_SCEN'!$H$34,IF('IN_COST'!$G$45="WAGE",'ENG_SCEN'!$H$33,IF('IN_COST'!$G$45="CPI",'ENG_SCEN'!$H$32,1))))),IF('IN_COST'!$E$45="PCT_REV",'ENG_OPS'!$H$81*'IN_COST'!$F$45,IF('IN_COST'!$E$45="PCT_ASSET",'ENG_CAPEX'!$H$84*'IN_COST'!$F$45,IF('IN_COST'!$E$45="DEP",'ENG_CAPEX'!$H$81,IF('IN_COST'!$E$45="PAY",INDEX('IN_COST'!$D$15:$D$19,IFERROR(VALUE(MID('IN_COST'!$F$45,FIND(":",'IN_COST'!$F$45)+1,2)),1))*INDEX('IN_COST'!$E$15:$E$19,IFERROR(VALUE(MID('IN_COST'!$F$45,FIND(":",'IN_COST'!$F$45)+1,2)),1))*'IN_COST'!$D$10*'IN_COST'!$D$11*'ENG_SCEN'!$H$33,IF('IN_COST'!$E$45="SRV",SUM(INDEX('ENG_ALLOC'!$D$29:$P$58,(IFERROR(VALUE(MID('IN_COST'!$F$45,FIND(":",'IN_COST'!$F$45)+1,2)),1)-1)*6+1,5):INDEX('ENG_ALLOC'!$D$29:$P$58,IFERROR(VALUE(MID('IN_COST'!$F$45,FIND(":",'IN_COST'!$F$45)+1,2)),1)*6,5)),0)))))))))))*IF('IN_COST'!$E$45="DEP",'ENG_SCEN'!$G$16,IF('IN_COST'!$I$45="V",IF('IN_COST'!$E$45="SCRAP_LME",'ENG_SCEN'!$G$13,'ENG_SCEN'!$G$14),'ENG_SCEN'!$G$15))</f>
        <v/>
      </c>
      <c r="I59" s="33">
        <f>'IN_MACRO'!$I$34*IF('IN_COST'!$E$45="SCRAP_LME",'ENG_OPS'!$I$20*'IN_COST'!$F$45*'ENG_SCEN'!$I$37,IF('IN_COST'!$E$45="PER_TON_BATT",'ENG_OPS'!$I$20*'IN_COST'!$F$45*IF('IN_COST'!$G$45="FX",'ENG_SCEN'!$I$36,IF('IN_COST'!$G$45="PPI",'ENG_SCEN'!$I$35,IF('IN_COST'!$G$45="ENERGY",'ENG_SCEN'!$I$34,IF('IN_COST'!$G$45="WAGE",'ENG_SCEN'!$I$33,IF('IN_COST'!$G$45="CPI",'ENG_SCEN'!$I$32,1))))),IF('IN_COST'!$E$45="PER_TON_PROD",'ENG_OPS'!$I$43*'IN_COST'!$F$45*IF('IN_COST'!$G$45="FX",'ENG_SCEN'!$I$36,IF('IN_COST'!$G$45="PPI",'ENG_SCEN'!$I$35,IF('IN_COST'!$G$45="ENERGY",'ENG_SCEN'!$I$34,IF('IN_COST'!$G$45="WAGE",'ENG_SCEN'!$I$33,IF('IN_COST'!$G$45="CPI",'ENG_SCEN'!$I$32,1))))),IF('IN_COST'!$E$45="PER_KWH",'ENG_OPS'!$I$63*'IN_COST'!$F$45*IF('IN_COST'!$G$45="FX",'ENG_SCEN'!$I$36,IF('IN_COST'!$G$45="PPI",'ENG_SCEN'!$I$35,IF('IN_COST'!$G$45="ENERGY",'ENG_SCEN'!$I$34,IF('IN_COST'!$G$45="WAGE",'ENG_SCEN'!$I$33,IF('IN_COST'!$G$45="CPI",'ENG_SCEN'!$I$32,1))))),IF('IN_COST'!$E$45="PER_M3",'ENG_OPS'!$I$64*'IN_COST'!$F$45*IF('IN_COST'!$G$45="FX",'ENG_SCEN'!$I$36,IF('IN_COST'!$G$45="PPI",'ENG_SCEN'!$I$35,IF('IN_COST'!$G$45="ENERGY",'ENG_SCEN'!$I$34,IF('IN_COST'!$G$45="WAGE",'ENG_SCEN'!$I$33,IF('IN_COST'!$G$45="CPI",'ENG_SCEN'!$I$32,1))))),IF('IN_COST'!$E$45="ANNUAL",'IN_COST'!$F$45*IF('IN_COST'!$G$45="FX",'ENG_SCEN'!$I$36,IF('IN_COST'!$G$45="PPI",'ENG_SCEN'!$I$35,IF('IN_COST'!$G$45="ENERGY",'ENG_SCEN'!$I$34,IF('IN_COST'!$G$45="WAGE",'ENG_SCEN'!$I$33,IF('IN_COST'!$G$45="CPI",'ENG_SCEN'!$I$32,1))))),IF('IN_COST'!$E$45="PCT_REV",'ENG_OPS'!$I$81*'IN_COST'!$F$45,IF('IN_COST'!$E$45="PCT_ASSET",'ENG_CAPEX'!$I$84*'IN_COST'!$F$45,IF('IN_COST'!$E$45="DEP",'ENG_CAPEX'!$I$81,IF('IN_COST'!$E$45="PAY",INDEX('IN_COST'!$D$15:$D$19,IFERROR(VALUE(MID('IN_COST'!$F$45,FIND(":",'IN_COST'!$F$45)+1,2)),1))*INDEX('IN_COST'!$E$15:$E$19,IFERROR(VALUE(MID('IN_COST'!$F$45,FIND(":",'IN_COST'!$F$45)+1,2)),1))*'IN_COST'!$D$10*'IN_COST'!$D$11*'ENG_SCEN'!$I$33,IF('IN_COST'!$E$45="SRV",SUM(INDEX('ENG_ALLOC'!$D$29:$P$58,(IFERROR(VALUE(MID('IN_COST'!$F$45,FIND(":",'IN_COST'!$F$45)+1,2)),1)-1)*6+1,6):INDEX('ENG_ALLOC'!$D$29:$P$58,IFERROR(VALUE(MID('IN_COST'!$F$45,FIND(":",'IN_COST'!$F$45)+1,2)),1)*6,6)),0)))))))))))*IF('IN_COST'!$E$45="DEP",'ENG_SCEN'!$G$16,IF('IN_COST'!$I$45="V",IF('IN_COST'!$E$45="SCRAP_LME",'ENG_SCEN'!$G$13,'ENG_SCEN'!$G$14),'ENG_SCEN'!$G$15))</f>
        <v/>
      </c>
      <c r="J59" s="33">
        <f>'IN_MACRO'!$J$34*IF('IN_COST'!$E$45="SCRAP_LME",'ENG_OPS'!$J$20*'IN_COST'!$F$45*'ENG_SCEN'!$J$37,IF('IN_COST'!$E$45="PER_TON_BATT",'ENG_OPS'!$J$20*'IN_COST'!$F$45*IF('IN_COST'!$G$45="FX",'ENG_SCEN'!$J$36,IF('IN_COST'!$G$45="PPI",'ENG_SCEN'!$J$35,IF('IN_COST'!$G$45="ENERGY",'ENG_SCEN'!$J$34,IF('IN_COST'!$G$45="WAGE",'ENG_SCEN'!$J$33,IF('IN_COST'!$G$45="CPI",'ENG_SCEN'!$J$32,1))))),IF('IN_COST'!$E$45="PER_TON_PROD",'ENG_OPS'!$J$43*'IN_COST'!$F$45*IF('IN_COST'!$G$45="FX",'ENG_SCEN'!$J$36,IF('IN_COST'!$G$45="PPI",'ENG_SCEN'!$J$35,IF('IN_COST'!$G$45="ENERGY",'ENG_SCEN'!$J$34,IF('IN_COST'!$G$45="WAGE",'ENG_SCEN'!$J$33,IF('IN_COST'!$G$45="CPI",'ENG_SCEN'!$J$32,1))))),IF('IN_COST'!$E$45="PER_KWH",'ENG_OPS'!$J$63*'IN_COST'!$F$45*IF('IN_COST'!$G$45="FX",'ENG_SCEN'!$J$36,IF('IN_COST'!$G$45="PPI",'ENG_SCEN'!$J$35,IF('IN_COST'!$G$45="ENERGY",'ENG_SCEN'!$J$34,IF('IN_COST'!$G$45="WAGE",'ENG_SCEN'!$J$33,IF('IN_COST'!$G$45="CPI",'ENG_SCEN'!$J$32,1))))),IF('IN_COST'!$E$45="PER_M3",'ENG_OPS'!$J$64*'IN_COST'!$F$45*IF('IN_COST'!$G$45="FX",'ENG_SCEN'!$J$36,IF('IN_COST'!$G$45="PPI",'ENG_SCEN'!$J$35,IF('IN_COST'!$G$45="ENERGY",'ENG_SCEN'!$J$34,IF('IN_COST'!$G$45="WAGE",'ENG_SCEN'!$J$33,IF('IN_COST'!$G$45="CPI",'ENG_SCEN'!$J$32,1))))),IF('IN_COST'!$E$45="ANNUAL",'IN_COST'!$F$45*IF('IN_COST'!$G$45="FX",'ENG_SCEN'!$J$36,IF('IN_COST'!$G$45="PPI",'ENG_SCEN'!$J$35,IF('IN_COST'!$G$45="ENERGY",'ENG_SCEN'!$J$34,IF('IN_COST'!$G$45="WAGE",'ENG_SCEN'!$J$33,IF('IN_COST'!$G$45="CPI",'ENG_SCEN'!$J$32,1))))),IF('IN_COST'!$E$45="PCT_REV",'ENG_OPS'!$J$81*'IN_COST'!$F$45,IF('IN_COST'!$E$45="PCT_ASSET",'ENG_CAPEX'!$J$84*'IN_COST'!$F$45,IF('IN_COST'!$E$45="DEP",'ENG_CAPEX'!$J$81,IF('IN_COST'!$E$45="PAY",INDEX('IN_COST'!$D$15:$D$19,IFERROR(VALUE(MID('IN_COST'!$F$45,FIND(":",'IN_COST'!$F$45)+1,2)),1))*INDEX('IN_COST'!$E$15:$E$19,IFERROR(VALUE(MID('IN_COST'!$F$45,FIND(":",'IN_COST'!$F$45)+1,2)),1))*'IN_COST'!$D$10*'IN_COST'!$D$11*'ENG_SCEN'!$J$33,IF('IN_COST'!$E$45="SRV",SUM(INDEX('ENG_ALLOC'!$D$29:$P$58,(IFERROR(VALUE(MID('IN_COST'!$F$45,FIND(":",'IN_COST'!$F$45)+1,2)),1)-1)*6+1,7):INDEX('ENG_ALLOC'!$D$29:$P$58,IFERROR(VALUE(MID('IN_COST'!$F$45,FIND(":",'IN_COST'!$F$45)+1,2)),1)*6,7)),0)))))))))))*IF('IN_COST'!$E$45="DEP",'ENG_SCEN'!$G$16,IF('IN_COST'!$I$45="V",IF('IN_COST'!$E$45="SCRAP_LME",'ENG_SCEN'!$G$13,'ENG_SCEN'!$G$14),'ENG_SCEN'!$G$15))</f>
        <v/>
      </c>
      <c r="K59" s="33">
        <f>'IN_MACRO'!$K$34*IF('IN_COST'!$E$45="SCRAP_LME",'ENG_OPS'!$K$20*'IN_COST'!$F$45*'ENG_SCEN'!$K$37,IF('IN_COST'!$E$45="PER_TON_BATT",'ENG_OPS'!$K$20*'IN_COST'!$F$45*IF('IN_COST'!$G$45="FX",'ENG_SCEN'!$K$36,IF('IN_COST'!$G$45="PPI",'ENG_SCEN'!$K$35,IF('IN_COST'!$G$45="ENERGY",'ENG_SCEN'!$K$34,IF('IN_COST'!$G$45="WAGE",'ENG_SCEN'!$K$33,IF('IN_COST'!$G$45="CPI",'ENG_SCEN'!$K$32,1))))),IF('IN_COST'!$E$45="PER_TON_PROD",'ENG_OPS'!$K$43*'IN_COST'!$F$45*IF('IN_COST'!$G$45="FX",'ENG_SCEN'!$K$36,IF('IN_COST'!$G$45="PPI",'ENG_SCEN'!$K$35,IF('IN_COST'!$G$45="ENERGY",'ENG_SCEN'!$K$34,IF('IN_COST'!$G$45="WAGE",'ENG_SCEN'!$K$33,IF('IN_COST'!$G$45="CPI",'ENG_SCEN'!$K$32,1))))),IF('IN_COST'!$E$45="PER_KWH",'ENG_OPS'!$K$63*'IN_COST'!$F$45*IF('IN_COST'!$G$45="FX",'ENG_SCEN'!$K$36,IF('IN_COST'!$G$45="PPI",'ENG_SCEN'!$K$35,IF('IN_COST'!$G$45="ENERGY",'ENG_SCEN'!$K$34,IF('IN_COST'!$G$45="WAGE",'ENG_SCEN'!$K$33,IF('IN_COST'!$G$45="CPI",'ENG_SCEN'!$K$32,1))))),IF('IN_COST'!$E$45="PER_M3",'ENG_OPS'!$K$64*'IN_COST'!$F$45*IF('IN_COST'!$G$45="FX",'ENG_SCEN'!$K$36,IF('IN_COST'!$G$45="PPI",'ENG_SCEN'!$K$35,IF('IN_COST'!$G$45="ENERGY",'ENG_SCEN'!$K$34,IF('IN_COST'!$G$45="WAGE",'ENG_SCEN'!$K$33,IF('IN_COST'!$G$45="CPI",'ENG_SCEN'!$K$32,1))))),IF('IN_COST'!$E$45="ANNUAL",'IN_COST'!$F$45*IF('IN_COST'!$G$45="FX",'ENG_SCEN'!$K$36,IF('IN_COST'!$G$45="PPI",'ENG_SCEN'!$K$35,IF('IN_COST'!$G$45="ENERGY",'ENG_SCEN'!$K$34,IF('IN_COST'!$G$45="WAGE",'ENG_SCEN'!$K$33,IF('IN_COST'!$G$45="CPI",'ENG_SCEN'!$K$32,1))))),IF('IN_COST'!$E$45="PCT_REV",'ENG_OPS'!$K$81*'IN_COST'!$F$45,IF('IN_COST'!$E$45="PCT_ASSET",'ENG_CAPEX'!$K$84*'IN_COST'!$F$45,IF('IN_COST'!$E$45="DEP",'ENG_CAPEX'!$K$81,IF('IN_COST'!$E$45="PAY",INDEX('IN_COST'!$D$15:$D$19,IFERROR(VALUE(MID('IN_COST'!$F$45,FIND(":",'IN_COST'!$F$45)+1,2)),1))*INDEX('IN_COST'!$E$15:$E$19,IFERROR(VALUE(MID('IN_COST'!$F$45,FIND(":",'IN_COST'!$F$45)+1,2)),1))*'IN_COST'!$D$10*'IN_COST'!$D$11*'ENG_SCEN'!$K$33,IF('IN_COST'!$E$45="SRV",SUM(INDEX('ENG_ALLOC'!$D$29:$P$58,(IFERROR(VALUE(MID('IN_COST'!$F$45,FIND(":",'IN_COST'!$F$45)+1,2)),1)-1)*6+1,8):INDEX('ENG_ALLOC'!$D$29:$P$58,IFERROR(VALUE(MID('IN_COST'!$F$45,FIND(":",'IN_COST'!$F$45)+1,2)),1)*6,8)),0)))))))))))*IF('IN_COST'!$E$45="DEP",'ENG_SCEN'!$G$16,IF('IN_COST'!$I$45="V",IF('IN_COST'!$E$45="SCRAP_LME",'ENG_SCEN'!$G$13,'ENG_SCEN'!$G$14),'ENG_SCEN'!$G$15))</f>
        <v/>
      </c>
      <c r="L59" s="33">
        <f>'IN_MACRO'!$L$34*IF('IN_COST'!$E$45="SCRAP_LME",'ENG_OPS'!$L$20*'IN_COST'!$F$45*'ENG_SCEN'!$L$37,IF('IN_COST'!$E$45="PER_TON_BATT",'ENG_OPS'!$L$20*'IN_COST'!$F$45*IF('IN_COST'!$G$45="FX",'ENG_SCEN'!$L$36,IF('IN_COST'!$G$45="PPI",'ENG_SCEN'!$L$35,IF('IN_COST'!$G$45="ENERGY",'ENG_SCEN'!$L$34,IF('IN_COST'!$G$45="WAGE",'ENG_SCEN'!$L$33,IF('IN_COST'!$G$45="CPI",'ENG_SCEN'!$L$32,1))))),IF('IN_COST'!$E$45="PER_TON_PROD",'ENG_OPS'!$L$43*'IN_COST'!$F$45*IF('IN_COST'!$G$45="FX",'ENG_SCEN'!$L$36,IF('IN_COST'!$G$45="PPI",'ENG_SCEN'!$L$35,IF('IN_COST'!$G$45="ENERGY",'ENG_SCEN'!$L$34,IF('IN_COST'!$G$45="WAGE",'ENG_SCEN'!$L$33,IF('IN_COST'!$G$45="CPI",'ENG_SCEN'!$L$32,1))))),IF('IN_COST'!$E$45="PER_KWH",'ENG_OPS'!$L$63*'IN_COST'!$F$45*IF('IN_COST'!$G$45="FX",'ENG_SCEN'!$L$36,IF('IN_COST'!$G$45="PPI",'ENG_SCEN'!$L$35,IF('IN_COST'!$G$45="ENERGY",'ENG_SCEN'!$L$34,IF('IN_COST'!$G$45="WAGE",'ENG_SCEN'!$L$33,IF('IN_COST'!$G$45="CPI",'ENG_SCEN'!$L$32,1))))),IF('IN_COST'!$E$45="PER_M3",'ENG_OPS'!$L$64*'IN_COST'!$F$45*IF('IN_COST'!$G$45="FX",'ENG_SCEN'!$L$36,IF('IN_COST'!$G$45="PPI",'ENG_SCEN'!$L$35,IF('IN_COST'!$G$45="ENERGY",'ENG_SCEN'!$L$34,IF('IN_COST'!$G$45="WAGE",'ENG_SCEN'!$L$33,IF('IN_COST'!$G$45="CPI",'ENG_SCEN'!$L$32,1))))),IF('IN_COST'!$E$45="ANNUAL",'IN_COST'!$F$45*IF('IN_COST'!$G$45="FX",'ENG_SCEN'!$L$36,IF('IN_COST'!$G$45="PPI",'ENG_SCEN'!$L$35,IF('IN_COST'!$G$45="ENERGY",'ENG_SCEN'!$L$34,IF('IN_COST'!$G$45="WAGE",'ENG_SCEN'!$L$33,IF('IN_COST'!$G$45="CPI",'ENG_SCEN'!$L$32,1))))),IF('IN_COST'!$E$45="PCT_REV",'ENG_OPS'!$L$81*'IN_COST'!$F$45,IF('IN_COST'!$E$45="PCT_ASSET",'ENG_CAPEX'!$L$84*'IN_COST'!$F$45,IF('IN_COST'!$E$45="DEP",'ENG_CAPEX'!$L$81,IF('IN_COST'!$E$45="PAY",INDEX('IN_COST'!$D$15:$D$19,IFERROR(VALUE(MID('IN_COST'!$F$45,FIND(":",'IN_COST'!$F$45)+1,2)),1))*INDEX('IN_COST'!$E$15:$E$19,IFERROR(VALUE(MID('IN_COST'!$F$45,FIND(":",'IN_COST'!$F$45)+1,2)),1))*'IN_COST'!$D$10*'IN_COST'!$D$11*'ENG_SCEN'!$L$33,IF('IN_COST'!$E$45="SRV",SUM(INDEX('ENG_ALLOC'!$D$29:$P$58,(IFERROR(VALUE(MID('IN_COST'!$F$45,FIND(":",'IN_COST'!$F$45)+1,2)),1)-1)*6+1,9):INDEX('ENG_ALLOC'!$D$29:$P$58,IFERROR(VALUE(MID('IN_COST'!$F$45,FIND(":",'IN_COST'!$F$45)+1,2)),1)*6,9)),0)))))))))))*IF('IN_COST'!$E$45="DEP",'ENG_SCEN'!$G$16,IF('IN_COST'!$I$45="V",IF('IN_COST'!$E$45="SCRAP_LME",'ENG_SCEN'!$G$13,'ENG_SCEN'!$G$14),'ENG_SCEN'!$G$15))</f>
        <v/>
      </c>
      <c r="M59" s="33">
        <f>'IN_MACRO'!$M$34*IF('IN_COST'!$E$45="SCRAP_LME",'ENG_OPS'!$M$20*'IN_COST'!$F$45*'ENG_SCEN'!$M$37,IF('IN_COST'!$E$45="PER_TON_BATT",'ENG_OPS'!$M$20*'IN_COST'!$F$45*IF('IN_COST'!$G$45="FX",'ENG_SCEN'!$M$36,IF('IN_COST'!$G$45="PPI",'ENG_SCEN'!$M$35,IF('IN_COST'!$G$45="ENERGY",'ENG_SCEN'!$M$34,IF('IN_COST'!$G$45="WAGE",'ENG_SCEN'!$M$33,IF('IN_COST'!$G$45="CPI",'ENG_SCEN'!$M$32,1))))),IF('IN_COST'!$E$45="PER_TON_PROD",'ENG_OPS'!$M$43*'IN_COST'!$F$45*IF('IN_COST'!$G$45="FX",'ENG_SCEN'!$M$36,IF('IN_COST'!$G$45="PPI",'ENG_SCEN'!$M$35,IF('IN_COST'!$G$45="ENERGY",'ENG_SCEN'!$M$34,IF('IN_COST'!$G$45="WAGE",'ENG_SCEN'!$M$33,IF('IN_COST'!$G$45="CPI",'ENG_SCEN'!$M$32,1))))),IF('IN_COST'!$E$45="PER_KWH",'ENG_OPS'!$M$63*'IN_COST'!$F$45*IF('IN_COST'!$G$45="FX",'ENG_SCEN'!$M$36,IF('IN_COST'!$G$45="PPI",'ENG_SCEN'!$M$35,IF('IN_COST'!$G$45="ENERGY",'ENG_SCEN'!$M$34,IF('IN_COST'!$G$45="WAGE",'ENG_SCEN'!$M$33,IF('IN_COST'!$G$45="CPI",'ENG_SCEN'!$M$32,1))))),IF('IN_COST'!$E$45="PER_M3",'ENG_OPS'!$M$64*'IN_COST'!$F$45*IF('IN_COST'!$G$45="FX",'ENG_SCEN'!$M$36,IF('IN_COST'!$G$45="PPI",'ENG_SCEN'!$M$35,IF('IN_COST'!$G$45="ENERGY",'ENG_SCEN'!$M$34,IF('IN_COST'!$G$45="WAGE",'ENG_SCEN'!$M$33,IF('IN_COST'!$G$45="CPI",'ENG_SCEN'!$M$32,1))))),IF('IN_COST'!$E$45="ANNUAL",'IN_COST'!$F$45*IF('IN_COST'!$G$45="FX",'ENG_SCEN'!$M$36,IF('IN_COST'!$G$45="PPI",'ENG_SCEN'!$M$35,IF('IN_COST'!$G$45="ENERGY",'ENG_SCEN'!$M$34,IF('IN_COST'!$G$45="WAGE",'ENG_SCEN'!$M$33,IF('IN_COST'!$G$45="CPI",'ENG_SCEN'!$M$32,1))))),IF('IN_COST'!$E$45="PCT_REV",'ENG_OPS'!$M$81*'IN_COST'!$F$45,IF('IN_COST'!$E$45="PCT_ASSET",'ENG_CAPEX'!$M$84*'IN_COST'!$F$45,IF('IN_COST'!$E$45="DEP",'ENG_CAPEX'!$M$81,IF('IN_COST'!$E$45="PAY",INDEX('IN_COST'!$D$15:$D$19,IFERROR(VALUE(MID('IN_COST'!$F$45,FIND(":",'IN_COST'!$F$45)+1,2)),1))*INDEX('IN_COST'!$E$15:$E$19,IFERROR(VALUE(MID('IN_COST'!$F$45,FIND(":",'IN_COST'!$F$45)+1,2)),1))*'IN_COST'!$D$10*'IN_COST'!$D$11*'ENG_SCEN'!$M$33,IF('IN_COST'!$E$45="SRV",SUM(INDEX('ENG_ALLOC'!$D$29:$P$58,(IFERROR(VALUE(MID('IN_COST'!$F$45,FIND(":",'IN_COST'!$F$45)+1,2)),1)-1)*6+1,10):INDEX('ENG_ALLOC'!$D$29:$P$58,IFERROR(VALUE(MID('IN_COST'!$F$45,FIND(":",'IN_COST'!$F$45)+1,2)),1)*6,10)),0)))))))))))*IF('IN_COST'!$E$45="DEP",'ENG_SCEN'!$G$16,IF('IN_COST'!$I$45="V",IF('IN_COST'!$E$45="SCRAP_LME",'ENG_SCEN'!$G$13,'ENG_SCEN'!$G$14),'ENG_SCEN'!$G$15))</f>
        <v/>
      </c>
      <c r="N59" s="33">
        <f>'IN_MACRO'!$N$34*IF('IN_COST'!$E$45="SCRAP_LME",'ENG_OPS'!$N$20*'IN_COST'!$F$45*'ENG_SCEN'!$N$37,IF('IN_COST'!$E$45="PER_TON_BATT",'ENG_OPS'!$N$20*'IN_COST'!$F$45*IF('IN_COST'!$G$45="FX",'ENG_SCEN'!$N$36,IF('IN_COST'!$G$45="PPI",'ENG_SCEN'!$N$35,IF('IN_COST'!$G$45="ENERGY",'ENG_SCEN'!$N$34,IF('IN_COST'!$G$45="WAGE",'ENG_SCEN'!$N$33,IF('IN_COST'!$G$45="CPI",'ENG_SCEN'!$N$32,1))))),IF('IN_COST'!$E$45="PER_TON_PROD",'ENG_OPS'!$N$43*'IN_COST'!$F$45*IF('IN_COST'!$G$45="FX",'ENG_SCEN'!$N$36,IF('IN_COST'!$G$45="PPI",'ENG_SCEN'!$N$35,IF('IN_COST'!$G$45="ENERGY",'ENG_SCEN'!$N$34,IF('IN_COST'!$G$45="WAGE",'ENG_SCEN'!$N$33,IF('IN_COST'!$G$45="CPI",'ENG_SCEN'!$N$32,1))))),IF('IN_COST'!$E$45="PER_KWH",'ENG_OPS'!$N$63*'IN_COST'!$F$45*IF('IN_COST'!$G$45="FX",'ENG_SCEN'!$N$36,IF('IN_COST'!$G$45="PPI",'ENG_SCEN'!$N$35,IF('IN_COST'!$G$45="ENERGY",'ENG_SCEN'!$N$34,IF('IN_COST'!$G$45="WAGE",'ENG_SCEN'!$N$33,IF('IN_COST'!$G$45="CPI",'ENG_SCEN'!$N$32,1))))),IF('IN_COST'!$E$45="PER_M3",'ENG_OPS'!$N$64*'IN_COST'!$F$45*IF('IN_COST'!$G$45="FX",'ENG_SCEN'!$N$36,IF('IN_COST'!$G$45="PPI",'ENG_SCEN'!$N$35,IF('IN_COST'!$G$45="ENERGY",'ENG_SCEN'!$N$34,IF('IN_COST'!$G$45="WAGE",'ENG_SCEN'!$N$33,IF('IN_COST'!$G$45="CPI",'ENG_SCEN'!$N$32,1))))),IF('IN_COST'!$E$45="ANNUAL",'IN_COST'!$F$45*IF('IN_COST'!$G$45="FX",'ENG_SCEN'!$N$36,IF('IN_COST'!$G$45="PPI",'ENG_SCEN'!$N$35,IF('IN_COST'!$G$45="ENERGY",'ENG_SCEN'!$N$34,IF('IN_COST'!$G$45="WAGE",'ENG_SCEN'!$N$33,IF('IN_COST'!$G$45="CPI",'ENG_SCEN'!$N$32,1))))),IF('IN_COST'!$E$45="PCT_REV",'ENG_OPS'!$N$81*'IN_COST'!$F$45,IF('IN_COST'!$E$45="PCT_ASSET",'ENG_CAPEX'!$N$84*'IN_COST'!$F$45,IF('IN_COST'!$E$45="DEP",'ENG_CAPEX'!$N$81,IF('IN_COST'!$E$45="PAY",INDEX('IN_COST'!$D$15:$D$19,IFERROR(VALUE(MID('IN_COST'!$F$45,FIND(":",'IN_COST'!$F$45)+1,2)),1))*INDEX('IN_COST'!$E$15:$E$19,IFERROR(VALUE(MID('IN_COST'!$F$45,FIND(":",'IN_COST'!$F$45)+1,2)),1))*'IN_COST'!$D$10*'IN_COST'!$D$11*'ENG_SCEN'!$N$33,IF('IN_COST'!$E$45="SRV",SUM(INDEX('ENG_ALLOC'!$D$29:$P$58,(IFERROR(VALUE(MID('IN_COST'!$F$45,FIND(":",'IN_COST'!$F$45)+1,2)),1)-1)*6+1,11):INDEX('ENG_ALLOC'!$D$29:$P$58,IFERROR(VALUE(MID('IN_COST'!$F$45,FIND(":",'IN_COST'!$F$45)+1,2)),1)*6,11)),0)))))))))))*IF('IN_COST'!$E$45="DEP",'ENG_SCEN'!$G$16,IF('IN_COST'!$I$45="V",IF('IN_COST'!$E$45="SCRAP_LME",'ENG_SCEN'!$G$13,'ENG_SCEN'!$G$14),'ENG_SCEN'!$G$15))</f>
        <v/>
      </c>
      <c r="O59" s="33">
        <f>'IN_MACRO'!$O$34*IF('IN_COST'!$E$45="SCRAP_LME",'ENG_OPS'!$O$20*'IN_COST'!$F$45*'ENG_SCEN'!$O$37,IF('IN_COST'!$E$45="PER_TON_BATT",'ENG_OPS'!$O$20*'IN_COST'!$F$45*IF('IN_COST'!$G$45="FX",'ENG_SCEN'!$O$36,IF('IN_COST'!$G$45="PPI",'ENG_SCEN'!$O$35,IF('IN_COST'!$G$45="ENERGY",'ENG_SCEN'!$O$34,IF('IN_COST'!$G$45="WAGE",'ENG_SCEN'!$O$33,IF('IN_COST'!$G$45="CPI",'ENG_SCEN'!$O$32,1))))),IF('IN_COST'!$E$45="PER_TON_PROD",'ENG_OPS'!$O$43*'IN_COST'!$F$45*IF('IN_COST'!$G$45="FX",'ENG_SCEN'!$O$36,IF('IN_COST'!$G$45="PPI",'ENG_SCEN'!$O$35,IF('IN_COST'!$G$45="ENERGY",'ENG_SCEN'!$O$34,IF('IN_COST'!$G$45="WAGE",'ENG_SCEN'!$O$33,IF('IN_COST'!$G$45="CPI",'ENG_SCEN'!$O$32,1))))),IF('IN_COST'!$E$45="PER_KWH",'ENG_OPS'!$O$63*'IN_COST'!$F$45*IF('IN_COST'!$G$45="FX",'ENG_SCEN'!$O$36,IF('IN_COST'!$G$45="PPI",'ENG_SCEN'!$O$35,IF('IN_COST'!$G$45="ENERGY",'ENG_SCEN'!$O$34,IF('IN_COST'!$G$45="WAGE",'ENG_SCEN'!$O$33,IF('IN_COST'!$G$45="CPI",'ENG_SCEN'!$O$32,1))))),IF('IN_COST'!$E$45="PER_M3",'ENG_OPS'!$O$64*'IN_COST'!$F$45*IF('IN_COST'!$G$45="FX",'ENG_SCEN'!$O$36,IF('IN_COST'!$G$45="PPI",'ENG_SCEN'!$O$35,IF('IN_COST'!$G$45="ENERGY",'ENG_SCEN'!$O$34,IF('IN_COST'!$G$45="WAGE",'ENG_SCEN'!$O$33,IF('IN_COST'!$G$45="CPI",'ENG_SCEN'!$O$32,1))))),IF('IN_COST'!$E$45="ANNUAL",'IN_COST'!$F$45*IF('IN_COST'!$G$45="FX",'ENG_SCEN'!$O$36,IF('IN_COST'!$G$45="PPI",'ENG_SCEN'!$O$35,IF('IN_COST'!$G$45="ENERGY",'ENG_SCEN'!$O$34,IF('IN_COST'!$G$45="WAGE",'ENG_SCEN'!$O$33,IF('IN_COST'!$G$45="CPI",'ENG_SCEN'!$O$32,1))))),IF('IN_COST'!$E$45="PCT_REV",'ENG_OPS'!$O$81*'IN_COST'!$F$45,IF('IN_COST'!$E$45="PCT_ASSET",'ENG_CAPEX'!$O$84*'IN_COST'!$F$45,IF('IN_COST'!$E$45="DEP",'ENG_CAPEX'!$O$81,IF('IN_COST'!$E$45="PAY",INDEX('IN_COST'!$D$15:$D$19,IFERROR(VALUE(MID('IN_COST'!$F$45,FIND(":",'IN_COST'!$F$45)+1,2)),1))*INDEX('IN_COST'!$E$15:$E$19,IFERROR(VALUE(MID('IN_COST'!$F$45,FIND(":",'IN_COST'!$F$45)+1,2)),1))*'IN_COST'!$D$10*'IN_COST'!$D$11*'ENG_SCEN'!$O$33,IF('IN_COST'!$E$45="SRV",SUM(INDEX('ENG_ALLOC'!$D$29:$P$58,(IFERROR(VALUE(MID('IN_COST'!$F$45,FIND(":",'IN_COST'!$F$45)+1,2)),1)-1)*6+1,12):INDEX('ENG_ALLOC'!$D$29:$P$58,IFERROR(VALUE(MID('IN_COST'!$F$45,FIND(":",'IN_COST'!$F$45)+1,2)),1)*6,12)),0)))))))))))*IF('IN_COST'!$E$45="DEP",'ENG_SCEN'!$G$16,IF('IN_COST'!$I$45="V",IF('IN_COST'!$E$45="SCRAP_LME",'ENG_SCEN'!$G$13,'ENG_SCEN'!$G$14),'ENG_SCEN'!$G$15))</f>
        <v/>
      </c>
      <c r="P59" s="33">
        <f>'IN_MACRO'!$P$34*IF('IN_COST'!$E$45="SCRAP_LME",'ENG_OPS'!$P$20*'IN_COST'!$F$45*'ENG_SCEN'!$P$37,IF('IN_COST'!$E$45="PER_TON_BATT",'ENG_OPS'!$P$20*'IN_COST'!$F$45*IF('IN_COST'!$G$45="FX",'ENG_SCEN'!$P$36,IF('IN_COST'!$G$45="PPI",'ENG_SCEN'!$P$35,IF('IN_COST'!$G$45="ENERGY",'ENG_SCEN'!$P$34,IF('IN_COST'!$G$45="WAGE",'ENG_SCEN'!$P$33,IF('IN_COST'!$G$45="CPI",'ENG_SCEN'!$P$32,1))))),IF('IN_COST'!$E$45="PER_TON_PROD",'ENG_OPS'!$P$43*'IN_COST'!$F$45*IF('IN_COST'!$G$45="FX",'ENG_SCEN'!$P$36,IF('IN_COST'!$G$45="PPI",'ENG_SCEN'!$P$35,IF('IN_COST'!$G$45="ENERGY",'ENG_SCEN'!$P$34,IF('IN_COST'!$G$45="WAGE",'ENG_SCEN'!$P$33,IF('IN_COST'!$G$45="CPI",'ENG_SCEN'!$P$32,1))))),IF('IN_COST'!$E$45="PER_KWH",'ENG_OPS'!$P$63*'IN_COST'!$F$45*IF('IN_COST'!$G$45="FX",'ENG_SCEN'!$P$36,IF('IN_COST'!$G$45="PPI",'ENG_SCEN'!$P$35,IF('IN_COST'!$G$45="ENERGY",'ENG_SCEN'!$P$34,IF('IN_COST'!$G$45="WAGE",'ENG_SCEN'!$P$33,IF('IN_COST'!$G$45="CPI",'ENG_SCEN'!$P$32,1))))),IF('IN_COST'!$E$45="PER_M3",'ENG_OPS'!$P$64*'IN_COST'!$F$45*IF('IN_COST'!$G$45="FX",'ENG_SCEN'!$P$36,IF('IN_COST'!$G$45="PPI",'ENG_SCEN'!$P$35,IF('IN_COST'!$G$45="ENERGY",'ENG_SCEN'!$P$34,IF('IN_COST'!$G$45="WAGE",'ENG_SCEN'!$P$33,IF('IN_COST'!$G$45="CPI",'ENG_SCEN'!$P$32,1))))),IF('IN_COST'!$E$45="ANNUAL",'IN_COST'!$F$45*IF('IN_COST'!$G$45="FX",'ENG_SCEN'!$P$36,IF('IN_COST'!$G$45="PPI",'ENG_SCEN'!$P$35,IF('IN_COST'!$G$45="ENERGY",'ENG_SCEN'!$P$34,IF('IN_COST'!$G$45="WAGE",'ENG_SCEN'!$P$33,IF('IN_COST'!$G$45="CPI",'ENG_SCEN'!$P$32,1))))),IF('IN_COST'!$E$45="PCT_REV",'ENG_OPS'!$P$81*'IN_COST'!$F$45,IF('IN_COST'!$E$45="PCT_ASSET",'ENG_CAPEX'!$P$84*'IN_COST'!$F$45,IF('IN_COST'!$E$45="DEP",'ENG_CAPEX'!$P$81,IF('IN_COST'!$E$45="PAY",INDEX('IN_COST'!$D$15:$D$19,IFERROR(VALUE(MID('IN_COST'!$F$45,FIND(":",'IN_COST'!$F$45)+1,2)),1))*INDEX('IN_COST'!$E$15:$E$19,IFERROR(VALUE(MID('IN_COST'!$F$45,FIND(":",'IN_COST'!$F$45)+1,2)),1))*'IN_COST'!$D$10*'IN_COST'!$D$11*'ENG_SCEN'!$P$33,IF('IN_COST'!$E$45="SRV",SUM(INDEX('ENG_ALLOC'!$D$29:$P$58,(IFERROR(VALUE(MID('IN_COST'!$F$45,FIND(":",'IN_COST'!$F$45)+1,2)),1)-1)*6+1,13):INDEX('ENG_ALLOC'!$D$29:$P$58,IFERROR(VALUE(MID('IN_COST'!$F$45,FIND(":",'IN_COST'!$F$45)+1,2)),1)*6,13)),0)))))))))))*IF('IN_COST'!$E$45="DEP",'ENG_SCEN'!$G$16,IF('IN_COST'!$I$45="V",IF('IN_COST'!$E$45="SCRAP_LME",'ENG_SCEN'!$G$13,'ENG_SCEN'!$G$14),'ENG_SCEN'!$G$15))</f>
        <v/>
      </c>
    </row>
    <row r="60">
      <c r="A60" s="15" t="inlineStr">
        <is>
          <t>OPC-08 | مرکز خدماتی: آزمایشگاه و QC</t>
        </is>
      </c>
      <c r="B60" s="16" t="inlineStr">
        <is>
          <t>EC.tot.13</t>
        </is>
      </c>
      <c r="C60" s="17" t="inlineStr">
        <is>
          <t>میلیون ریال</t>
        </is>
      </c>
      <c r="D60" s="33">
        <f>'IN_MACRO'!$D$34*IF('IN_COST'!$E$46="SCRAP_LME",'ENG_OPS'!$D$20*'IN_COST'!$F$46*'ENG_SCEN'!$D$37,IF('IN_COST'!$E$46="PER_TON_BATT",'ENG_OPS'!$D$20*'IN_COST'!$F$46*IF('IN_COST'!$G$46="FX",'ENG_SCEN'!$D$36,IF('IN_COST'!$G$46="PPI",'ENG_SCEN'!$D$35,IF('IN_COST'!$G$46="ENERGY",'ENG_SCEN'!$D$34,IF('IN_COST'!$G$46="WAGE",'ENG_SCEN'!$D$33,IF('IN_COST'!$G$46="CPI",'ENG_SCEN'!$D$32,1))))),IF('IN_COST'!$E$46="PER_TON_PROD",'ENG_OPS'!$D$43*'IN_COST'!$F$46*IF('IN_COST'!$G$46="FX",'ENG_SCEN'!$D$36,IF('IN_COST'!$G$46="PPI",'ENG_SCEN'!$D$35,IF('IN_COST'!$G$46="ENERGY",'ENG_SCEN'!$D$34,IF('IN_COST'!$G$46="WAGE",'ENG_SCEN'!$D$33,IF('IN_COST'!$G$46="CPI",'ENG_SCEN'!$D$32,1))))),IF('IN_COST'!$E$46="PER_KWH",'ENG_OPS'!$D$63*'IN_COST'!$F$46*IF('IN_COST'!$G$46="FX",'ENG_SCEN'!$D$36,IF('IN_COST'!$G$46="PPI",'ENG_SCEN'!$D$35,IF('IN_COST'!$G$46="ENERGY",'ENG_SCEN'!$D$34,IF('IN_COST'!$G$46="WAGE",'ENG_SCEN'!$D$33,IF('IN_COST'!$G$46="CPI",'ENG_SCEN'!$D$32,1))))),IF('IN_COST'!$E$46="PER_M3",'ENG_OPS'!$D$64*'IN_COST'!$F$46*IF('IN_COST'!$G$46="FX",'ENG_SCEN'!$D$36,IF('IN_COST'!$G$46="PPI",'ENG_SCEN'!$D$35,IF('IN_COST'!$G$46="ENERGY",'ENG_SCEN'!$D$34,IF('IN_COST'!$G$46="WAGE",'ENG_SCEN'!$D$33,IF('IN_COST'!$G$46="CPI",'ENG_SCEN'!$D$32,1))))),IF('IN_COST'!$E$46="ANNUAL",'IN_COST'!$F$46*IF('IN_COST'!$G$46="FX",'ENG_SCEN'!$D$36,IF('IN_COST'!$G$46="PPI",'ENG_SCEN'!$D$35,IF('IN_COST'!$G$46="ENERGY",'ENG_SCEN'!$D$34,IF('IN_COST'!$G$46="WAGE",'ENG_SCEN'!$D$33,IF('IN_COST'!$G$46="CPI",'ENG_SCEN'!$D$32,1))))),IF('IN_COST'!$E$46="PCT_REV",'ENG_OPS'!$D$81*'IN_COST'!$F$46,IF('IN_COST'!$E$46="PCT_ASSET",'ENG_CAPEX'!$D$84*'IN_COST'!$F$46,IF('IN_COST'!$E$46="DEP",'ENG_CAPEX'!$D$81,IF('IN_COST'!$E$46="PAY",INDEX('IN_COST'!$D$15:$D$19,IFERROR(VALUE(MID('IN_COST'!$F$46,FIND(":",'IN_COST'!$F$46)+1,2)),1))*INDEX('IN_COST'!$E$15:$E$19,IFERROR(VALUE(MID('IN_COST'!$F$46,FIND(":",'IN_COST'!$F$46)+1,2)),1))*'IN_COST'!$D$10*'IN_COST'!$D$11*'ENG_SCEN'!$D$33,IF('IN_COST'!$E$46="SRV",SUM(INDEX('ENG_ALLOC'!$D$29:$P$58,(IFERROR(VALUE(MID('IN_COST'!$F$46,FIND(":",'IN_COST'!$F$46)+1,2)),1)-1)*6+1,1):INDEX('ENG_ALLOC'!$D$29:$P$58,IFERROR(VALUE(MID('IN_COST'!$F$46,FIND(":",'IN_COST'!$F$46)+1,2)),1)*6,1)),0)))))))))))*IF('IN_COST'!$E$46="DEP",'ENG_SCEN'!$G$16,IF('IN_COST'!$I$46="V",IF('IN_COST'!$E$46="SCRAP_LME",'ENG_SCEN'!$G$13,'ENG_SCEN'!$G$14),'ENG_SCEN'!$G$15))</f>
        <v/>
      </c>
      <c r="E60" s="33">
        <f>'IN_MACRO'!$E$34*IF('IN_COST'!$E$46="SCRAP_LME",'ENG_OPS'!$E$20*'IN_COST'!$F$46*'ENG_SCEN'!$E$37,IF('IN_COST'!$E$46="PER_TON_BATT",'ENG_OPS'!$E$20*'IN_COST'!$F$46*IF('IN_COST'!$G$46="FX",'ENG_SCEN'!$E$36,IF('IN_COST'!$G$46="PPI",'ENG_SCEN'!$E$35,IF('IN_COST'!$G$46="ENERGY",'ENG_SCEN'!$E$34,IF('IN_COST'!$G$46="WAGE",'ENG_SCEN'!$E$33,IF('IN_COST'!$G$46="CPI",'ENG_SCEN'!$E$32,1))))),IF('IN_COST'!$E$46="PER_TON_PROD",'ENG_OPS'!$E$43*'IN_COST'!$F$46*IF('IN_COST'!$G$46="FX",'ENG_SCEN'!$E$36,IF('IN_COST'!$G$46="PPI",'ENG_SCEN'!$E$35,IF('IN_COST'!$G$46="ENERGY",'ENG_SCEN'!$E$34,IF('IN_COST'!$G$46="WAGE",'ENG_SCEN'!$E$33,IF('IN_COST'!$G$46="CPI",'ENG_SCEN'!$E$32,1))))),IF('IN_COST'!$E$46="PER_KWH",'ENG_OPS'!$E$63*'IN_COST'!$F$46*IF('IN_COST'!$G$46="FX",'ENG_SCEN'!$E$36,IF('IN_COST'!$G$46="PPI",'ENG_SCEN'!$E$35,IF('IN_COST'!$G$46="ENERGY",'ENG_SCEN'!$E$34,IF('IN_COST'!$G$46="WAGE",'ENG_SCEN'!$E$33,IF('IN_COST'!$G$46="CPI",'ENG_SCEN'!$E$32,1))))),IF('IN_COST'!$E$46="PER_M3",'ENG_OPS'!$E$64*'IN_COST'!$F$46*IF('IN_COST'!$G$46="FX",'ENG_SCEN'!$E$36,IF('IN_COST'!$G$46="PPI",'ENG_SCEN'!$E$35,IF('IN_COST'!$G$46="ENERGY",'ENG_SCEN'!$E$34,IF('IN_COST'!$G$46="WAGE",'ENG_SCEN'!$E$33,IF('IN_COST'!$G$46="CPI",'ENG_SCEN'!$E$32,1))))),IF('IN_COST'!$E$46="ANNUAL",'IN_COST'!$F$46*IF('IN_COST'!$G$46="FX",'ENG_SCEN'!$E$36,IF('IN_COST'!$G$46="PPI",'ENG_SCEN'!$E$35,IF('IN_COST'!$G$46="ENERGY",'ENG_SCEN'!$E$34,IF('IN_COST'!$G$46="WAGE",'ENG_SCEN'!$E$33,IF('IN_COST'!$G$46="CPI",'ENG_SCEN'!$E$32,1))))),IF('IN_COST'!$E$46="PCT_REV",'ENG_OPS'!$E$81*'IN_COST'!$F$46,IF('IN_COST'!$E$46="PCT_ASSET",'ENG_CAPEX'!$E$84*'IN_COST'!$F$46,IF('IN_COST'!$E$46="DEP",'ENG_CAPEX'!$E$81,IF('IN_COST'!$E$46="PAY",INDEX('IN_COST'!$D$15:$D$19,IFERROR(VALUE(MID('IN_COST'!$F$46,FIND(":",'IN_COST'!$F$46)+1,2)),1))*INDEX('IN_COST'!$E$15:$E$19,IFERROR(VALUE(MID('IN_COST'!$F$46,FIND(":",'IN_COST'!$F$46)+1,2)),1))*'IN_COST'!$D$10*'IN_COST'!$D$11*'ENG_SCEN'!$E$33,IF('IN_COST'!$E$46="SRV",SUM(INDEX('ENG_ALLOC'!$D$29:$P$58,(IFERROR(VALUE(MID('IN_COST'!$F$46,FIND(":",'IN_COST'!$F$46)+1,2)),1)-1)*6+1,2):INDEX('ENG_ALLOC'!$D$29:$P$58,IFERROR(VALUE(MID('IN_COST'!$F$46,FIND(":",'IN_COST'!$F$46)+1,2)),1)*6,2)),0)))))))))))*IF('IN_COST'!$E$46="DEP",'ENG_SCEN'!$G$16,IF('IN_COST'!$I$46="V",IF('IN_COST'!$E$46="SCRAP_LME",'ENG_SCEN'!$G$13,'ENG_SCEN'!$G$14),'ENG_SCEN'!$G$15))</f>
        <v/>
      </c>
      <c r="F60" s="33">
        <f>'IN_MACRO'!$F$34*IF('IN_COST'!$E$46="SCRAP_LME",'ENG_OPS'!$F$20*'IN_COST'!$F$46*'ENG_SCEN'!$F$37,IF('IN_COST'!$E$46="PER_TON_BATT",'ENG_OPS'!$F$20*'IN_COST'!$F$46*IF('IN_COST'!$G$46="FX",'ENG_SCEN'!$F$36,IF('IN_COST'!$G$46="PPI",'ENG_SCEN'!$F$35,IF('IN_COST'!$G$46="ENERGY",'ENG_SCEN'!$F$34,IF('IN_COST'!$G$46="WAGE",'ENG_SCEN'!$F$33,IF('IN_COST'!$G$46="CPI",'ENG_SCEN'!$F$32,1))))),IF('IN_COST'!$E$46="PER_TON_PROD",'ENG_OPS'!$F$43*'IN_COST'!$F$46*IF('IN_COST'!$G$46="FX",'ENG_SCEN'!$F$36,IF('IN_COST'!$G$46="PPI",'ENG_SCEN'!$F$35,IF('IN_COST'!$G$46="ENERGY",'ENG_SCEN'!$F$34,IF('IN_COST'!$G$46="WAGE",'ENG_SCEN'!$F$33,IF('IN_COST'!$G$46="CPI",'ENG_SCEN'!$F$32,1))))),IF('IN_COST'!$E$46="PER_KWH",'ENG_OPS'!$F$63*'IN_COST'!$F$46*IF('IN_COST'!$G$46="FX",'ENG_SCEN'!$F$36,IF('IN_COST'!$G$46="PPI",'ENG_SCEN'!$F$35,IF('IN_COST'!$G$46="ENERGY",'ENG_SCEN'!$F$34,IF('IN_COST'!$G$46="WAGE",'ENG_SCEN'!$F$33,IF('IN_COST'!$G$46="CPI",'ENG_SCEN'!$F$32,1))))),IF('IN_COST'!$E$46="PER_M3",'ENG_OPS'!$F$64*'IN_COST'!$F$46*IF('IN_COST'!$G$46="FX",'ENG_SCEN'!$F$36,IF('IN_COST'!$G$46="PPI",'ENG_SCEN'!$F$35,IF('IN_COST'!$G$46="ENERGY",'ENG_SCEN'!$F$34,IF('IN_COST'!$G$46="WAGE",'ENG_SCEN'!$F$33,IF('IN_COST'!$G$46="CPI",'ENG_SCEN'!$F$32,1))))),IF('IN_COST'!$E$46="ANNUAL",'IN_COST'!$F$46*IF('IN_COST'!$G$46="FX",'ENG_SCEN'!$F$36,IF('IN_COST'!$G$46="PPI",'ENG_SCEN'!$F$35,IF('IN_COST'!$G$46="ENERGY",'ENG_SCEN'!$F$34,IF('IN_COST'!$G$46="WAGE",'ENG_SCEN'!$F$33,IF('IN_COST'!$G$46="CPI",'ENG_SCEN'!$F$32,1))))),IF('IN_COST'!$E$46="PCT_REV",'ENG_OPS'!$F$81*'IN_COST'!$F$46,IF('IN_COST'!$E$46="PCT_ASSET",'ENG_CAPEX'!$F$84*'IN_COST'!$F$46,IF('IN_COST'!$E$46="DEP",'ENG_CAPEX'!$F$81,IF('IN_COST'!$E$46="PAY",INDEX('IN_COST'!$D$15:$D$19,IFERROR(VALUE(MID('IN_COST'!$F$46,FIND(":",'IN_COST'!$F$46)+1,2)),1))*INDEX('IN_COST'!$E$15:$E$19,IFERROR(VALUE(MID('IN_COST'!$F$46,FIND(":",'IN_COST'!$F$46)+1,2)),1))*'IN_COST'!$D$10*'IN_COST'!$D$11*'ENG_SCEN'!$F$33,IF('IN_COST'!$E$46="SRV",SUM(INDEX('ENG_ALLOC'!$D$29:$P$58,(IFERROR(VALUE(MID('IN_COST'!$F$46,FIND(":",'IN_COST'!$F$46)+1,2)),1)-1)*6+1,3):INDEX('ENG_ALLOC'!$D$29:$P$58,IFERROR(VALUE(MID('IN_COST'!$F$46,FIND(":",'IN_COST'!$F$46)+1,2)),1)*6,3)),0)))))))))))*IF('IN_COST'!$E$46="DEP",'ENG_SCEN'!$G$16,IF('IN_COST'!$I$46="V",IF('IN_COST'!$E$46="SCRAP_LME",'ENG_SCEN'!$G$13,'ENG_SCEN'!$G$14),'ENG_SCEN'!$G$15))</f>
        <v/>
      </c>
      <c r="G60" s="33">
        <f>'IN_MACRO'!$G$34*IF('IN_COST'!$E$46="SCRAP_LME",'ENG_OPS'!$G$20*'IN_COST'!$F$46*'ENG_SCEN'!$G$37,IF('IN_COST'!$E$46="PER_TON_BATT",'ENG_OPS'!$G$20*'IN_COST'!$F$46*IF('IN_COST'!$G$46="FX",'ENG_SCEN'!$G$36,IF('IN_COST'!$G$46="PPI",'ENG_SCEN'!$G$35,IF('IN_COST'!$G$46="ENERGY",'ENG_SCEN'!$G$34,IF('IN_COST'!$G$46="WAGE",'ENG_SCEN'!$G$33,IF('IN_COST'!$G$46="CPI",'ENG_SCEN'!$G$32,1))))),IF('IN_COST'!$E$46="PER_TON_PROD",'ENG_OPS'!$G$43*'IN_COST'!$F$46*IF('IN_COST'!$G$46="FX",'ENG_SCEN'!$G$36,IF('IN_COST'!$G$46="PPI",'ENG_SCEN'!$G$35,IF('IN_COST'!$G$46="ENERGY",'ENG_SCEN'!$G$34,IF('IN_COST'!$G$46="WAGE",'ENG_SCEN'!$G$33,IF('IN_COST'!$G$46="CPI",'ENG_SCEN'!$G$32,1))))),IF('IN_COST'!$E$46="PER_KWH",'ENG_OPS'!$G$63*'IN_COST'!$F$46*IF('IN_COST'!$G$46="FX",'ENG_SCEN'!$G$36,IF('IN_COST'!$G$46="PPI",'ENG_SCEN'!$G$35,IF('IN_COST'!$G$46="ENERGY",'ENG_SCEN'!$G$34,IF('IN_COST'!$G$46="WAGE",'ENG_SCEN'!$G$33,IF('IN_COST'!$G$46="CPI",'ENG_SCEN'!$G$32,1))))),IF('IN_COST'!$E$46="PER_M3",'ENG_OPS'!$G$64*'IN_COST'!$F$46*IF('IN_COST'!$G$46="FX",'ENG_SCEN'!$G$36,IF('IN_COST'!$G$46="PPI",'ENG_SCEN'!$G$35,IF('IN_COST'!$G$46="ENERGY",'ENG_SCEN'!$G$34,IF('IN_COST'!$G$46="WAGE",'ENG_SCEN'!$G$33,IF('IN_COST'!$G$46="CPI",'ENG_SCEN'!$G$32,1))))),IF('IN_COST'!$E$46="ANNUAL",'IN_COST'!$F$46*IF('IN_COST'!$G$46="FX",'ENG_SCEN'!$G$36,IF('IN_COST'!$G$46="PPI",'ENG_SCEN'!$G$35,IF('IN_COST'!$G$46="ENERGY",'ENG_SCEN'!$G$34,IF('IN_COST'!$G$46="WAGE",'ENG_SCEN'!$G$33,IF('IN_COST'!$G$46="CPI",'ENG_SCEN'!$G$32,1))))),IF('IN_COST'!$E$46="PCT_REV",'ENG_OPS'!$G$81*'IN_COST'!$F$46,IF('IN_COST'!$E$46="PCT_ASSET",'ENG_CAPEX'!$G$84*'IN_COST'!$F$46,IF('IN_COST'!$E$46="DEP",'ENG_CAPEX'!$G$81,IF('IN_COST'!$E$46="PAY",INDEX('IN_COST'!$D$15:$D$19,IFERROR(VALUE(MID('IN_COST'!$F$46,FIND(":",'IN_COST'!$F$46)+1,2)),1))*INDEX('IN_COST'!$E$15:$E$19,IFERROR(VALUE(MID('IN_COST'!$F$46,FIND(":",'IN_COST'!$F$46)+1,2)),1))*'IN_COST'!$D$10*'IN_COST'!$D$11*'ENG_SCEN'!$G$33,IF('IN_COST'!$E$46="SRV",SUM(INDEX('ENG_ALLOC'!$D$29:$P$58,(IFERROR(VALUE(MID('IN_COST'!$F$46,FIND(":",'IN_COST'!$F$46)+1,2)),1)-1)*6+1,4):INDEX('ENG_ALLOC'!$D$29:$P$58,IFERROR(VALUE(MID('IN_COST'!$F$46,FIND(":",'IN_COST'!$F$46)+1,2)),1)*6,4)),0)))))))))))*IF('IN_COST'!$E$46="DEP",'ENG_SCEN'!$G$16,IF('IN_COST'!$I$46="V",IF('IN_COST'!$E$46="SCRAP_LME",'ENG_SCEN'!$G$13,'ENG_SCEN'!$G$14),'ENG_SCEN'!$G$15))</f>
        <v/>
      </c>
      <c r="H60" s="33">
        <f>'IN_MACRO'!$H$34*IF('IN_COST'!$E$46="SCRAP_LME",'ENG_OPS'!$H$20*'IN_COST'!$F$46*'ENG_SCEN'!$H$37,IF('IN_COST'!$E$46="PER_TON_BATT",'ENG_OPS'!$H$20*'IN_COST'!$F$46*IF('IN_COST'!$G$46="FX",'ENG_SCEN'!$H$36,IF('IN_COST'!$G$46="PPI",'ENG_SCEN'!$H$35,IF('IN_COST'!$G$46="ENERGY",'ENG_SCEN'!$H$34,IF('IN_COST'!$G$46="WAGE",'ENG_SCEN'!$H$33,IF('IN_COST'!$G$46="CPI",'ENG_SCEN'!$H$32,1))))),IF('IN_COST'!$E$46="PER_TON_PROD",'ENG_OPS'!$H$43*'IN_COST'!$F$46*IF('IN_COST'!$G$46="FX",'ENG_SCEN'!$H$36,IF('IN_COST'!$G$46="PPI",'ENG_SCEN'!$H$35,IF('IN_COST'!$G$46="ENERGY",'ENG_SCEN'!$H$34,IF('IN_COST'!$G$46="WAGE",'ENG_SCEN'!$H$33,IF('IN_COST'!$G$46="CPI",'ENG_SCEN'!$H$32,1))))),IF('IN_COST'!$E$46="PER_KWH",'ENG_OPS'!$H$63*'IN_COST'!$F$46*IF('IN_COST'!$G$46="FX",'ENG_SCEN'!$H$36,IF('IN_COST'!$G$46="PPI",'ENG_SCEN'!$H$35,IF('IN_COST'!$G$46="ENERGY",'ENG_SCEN'!$H$34,IF('IN_COST'!$G$46="WAGE",'ENG_SCEN'!$H$33,IF('IN_COST'!$G$46="CPI",'ENG_SCEN'!$H$32,1))))),IF('IN_COST'!$E$46="PER_M3",'ENG_OPS'!$H$64*'IN_COST'!$F$46*IF('IN_COST'!$G$46="FX",'ENG_SCEN'!$H$36,IF('IN_COST'!$G$46="PPI",'ENG_SCEN'!$H$35,IF('IN_COST'!$G$46="ENERGY",'ENG_SCEN'!$H$34,IF('IN_COST'!$G$46="WAGE",'ENG_SCEN'!$H$33,IF('IN_COST'!$G$46="CPI",'ENG_SCEN'!$H$32,1))))),IF('IN_COST'!$E$46="ANNUAL",'IN_COST'!$F$46*IF('IN_COST'!$G$46="FX",'ENG_SCEN'!$H$36,IF('IN_COST'!$G$46="PPI",'ENG_SCEN'!$H$35,IF('IN_COST'!$G$46="ENERGY",'ENG_SCEN'!$H$34,IF('IN_COST'!$G$46="WAGE",'ENG_SCEN'!$H$33,IF('IN_COST'!$G$46="CPI",'ENG_SCEN'!$H$32,1))))),IF('IN_COST'!$E$46="PCT_REV",'ENG_OPS'!$H$81*'IN_COST'!$F$46,IF('IN_COST'!$E$46="PCT_ASSET",'ENG_CAPEX'!$H$84*'IN_COST'!$F$46,IF('IN_COST'!$E$46="DEP",'ENG_CAPEX'!$H$81,IF('IN_COST'!$E$46="PAY",INDEX('IN_COST'!$D$15:$D$19,IFERROR(VALUE(MID('IN_COST'!$F$46,FIND(":",'IN_COST'!$F$46)+1,2)),1))*INDEX('IN_COST'!$E$15:$E$19,IFERROR(VALUE(MID('IN_COST'!$F$46,FIND(":",'IN_COST'!$F$46)+1,2)),1))*'IN_COST'!$D$10*'IN_COST'!$D$11*'ENG_SCEN'!$H$33,IF('IN_COST'!$E$46="SRV",SUM(INDEX('ENG_ALLOC'!$D$29:$P$58,(IFERROR(VALUE(MID('IN_COST'!$F$46,FIND(":",'IN_COST'!$F$46)+1,2)),1)-1)*6+1,5):INDEX('ENG_ALLOC'!$D$29:$P$58,IFERROR(VALUE(MID('IN_COST'!$F$46,FIND(":",'IN_COST'!$F$46)+1,2)),1)*6,5)),0)))))))))))*IF('IN_COST'!$E$46="DEP",'ENG_SCEN'!$G$16,IF('IN_COST'!$I$46="V",IF('IN_COST'!$E$46="SCRAP_LME",'ENG_SCEN'!$G$13,'ENG_SCEN'!$G$14),'ENG_SCEN'!$G$15))</f>
        <v/>
      </c>
      <c r="I60" s="33">
        <f>'IN_MACRO'!$I$34*IF('IN_COST'!$E$46="SCRAP_LME",'ENG_OPS'!$I$20*'IN_COST'!$F$46*'ENG_SCEN'!$I$37,IF('IN_COST'!$E$46="PER_TON_BATT",'ENG_OPS'!$I$20*'IN_COST'!$F$46*IF('IN_COST'!$G$46="FX",'ENG_SCEN'!$I$36,IF('IN_COST'!$G$46="PPI",'ENG_SCEN'!$I$35,IF('IN_COST'!$G$46="ENERGY",'ENG_SCEN'!$I$34,IF('IN_COST'!$G$46="WAGE",'ENG_SCEN'!$I$33,IF('IN_COST'!$G$46="CPI",'ENG_SCEN'!$I$32,1))))),IF('IN_COST'!$E$46="PER_TON_PROD",'ENG_OPS'!$I$43*'IN_COST'!$F$46*IF('IN_COST'!$G$46="FX",'ENG_SCEN'!$I$36,IF('IN_COST'!$G$46="PPI",'ENG_SCEN'!$I$35,IF('IN_COST'!$G$46="ENERGY",'ENG_SCEN'!$I$34,IF('IN_COST'!$G$46="WAGE",'ENG_SCEN'!$I$33,IF('IN_COST'!$G$46="CPI",'ENG_SCEN'!$I$32,1))))),IF('IN_COST'!$E$46="PER_KWH",'ENG_OPS'!$I$63*'IN_COST'!$F$46*IF('IN_COST'!$G$46="FX",'ENG_SCEN'!$I$36,IF('IN_COST'!$G$46="PPI",'ENG_SCEN'!$I$35,IF('IN_COST'!$G$46="ENERGY",'ENG_SCEN'!$I$34,IF('IN_COST'!$G$46="WAGE",'ENG_SCEN'!$I$33,IF('IN_COST'!$G$46="CPI",'ENG_SCEN'!$I$32,1))))),IF('IN_COST'!$E$46="PER_M3",'ENG_OPS'!$I$64*'IN_COST'!$F$46*IF('IN_COST'!$G$46="FX",'ENG_SCEN'!$I$36,IF('IN_COST'!$G$46="PPI",'ENG_SCEN'!$I$35,IF('IN_COST'!$G$46="ENERGY",'ENG_SCEN'!$I$34,IF('IN_COST'!$G$46="WAGE",'ENG_SCEN'!$I$33,IF('IN_COST'!$G$46="CPI",'ENG_SCEN'!$I$32,1))))),IF('IN_COST'!$E$46="ANNUAL",'IN_COST'!$F$46*IF('IN_COST'!$G$46="FX",'ENG_SCEN'!$I$36,IF('IN_COST'!$G$46="PPI",'ENG_SCEN'!$I$35,IF('IN_COST'!$G$46="ENERGY",'ENG_SCEN'!$I$34,IF('IN_COST'!$G$46="WAGE",'ENG_SCEN'!$I$33,IF('IN_COST'!$G$46="CPI",'ENG_SCEN'!$I$32,1))))),IF('IN_COST'!$E$46="PCT_REV",'ENG_OPS'!$I$81*'IN_COST'!$F$46,IF('IN_COST'!$E$46="PCT_ASSET",'ENG_CAPEX'!$I$84*'IN_COST'!$F$46,IF('IN_COST'!$E$46="DEP",'ENG_CAPEX'!$I$81,IF('IN_COST'!$E$46="PAY",INDEX('IN_COST'!$D$15:$D$19,IFERROR(VALUE(MID('IN_COST'!$F$46,FIND(":",'IN_COST'!$F$46)+1,2)),1))*INDEX('IN_COST'!$E$15:$E$19,IFERROR(VALUE(MID('IN_COST'!$F$46,FIND(":",'IN_COST'!$F$46)+1,2)),1))*'IN_COST'!$D$10*'IN_COST'!$D$11*'ENG_SCEN'!$I$33,IF('IN_COST'!$E$46="SRV",SUM(INDEX('ENG_ALLOC'!$D$29:$P$58,(IFERROR(VALUE(MID('IN_COST'!$F$46,FIND(":",'IN_COST'!$F$46)+1,2)),1)-1)*6+1,6):INDEX('ENG_ALLOC'!$D$29:$P$58,IFERROR(VALUE(MID('IN_COST'!$F$46,FIND(":",'IN_COST'!$F$46)+1,2)),1)*6,6)),0)))))))))))*IF('IN_COST'!$E$46="DEP",'ENG_SCEN'!$G$16,IF('IN_COST'!$I$46="V",IF('IN_COST'!$E$46="SCRAP_LME",'ENG_SCEN'!$G$13,'ENG_SCEN'!$G$14),'ENG_SCEN'!$G$15))</f>
        <v/>
      </c>
      <c r="J60" s="33">
        <f>'IN_MACRO'!$J$34*IF('IN_COST'!$E$46="SCRAP_LME",'ENG_OPS'!$J$20*'IN_COST'!$F$46*'ENG_SCEN'!$J$37,IF('IN_COST'!$E$46="PER_TON_BATT",'ENG_OPS'!$J$20*'IN_COST'!$F$46*IF('IN_COST'!$G$46="FX",'ENG_SCEN'!$J$36,IF('IN_COST'!$G$46="PPI",'ENG_SCEN'!$J$35,IF('IN_COST'!$G$46="ENERGY",'ENG_SCEN'!$J$34,IF('IN_COST'!$G$46="WAGE",'ENG_SCEN'!$J$33,IF('IN_COST'!$G$46="CPI",'ENG_SCEN'!$J$32,1))))),IF('IN_COST'!$E$46="PER_TON_PROD",'ENG_OPS'!$J$43*'IN_COST'!$F$46*IF('IN_COST'!$G$46="FX",'ENG_SCEN'!$J$36,IF('IN_COST'!$G$46="PPI",'ENG_SCEN'!$J$35,IF('IN_COST'!$G$46="ENERGY",'ENG_SCEN'!$J$34,IF('IN_COST'!$G$46="WAGE",'ENG_SCEN'!$J$33,IF('IN_COST'!$G$46="CPI",'ENG_SCEN'!$J$32,1))))),IF('IN_COST'!$E$46="PER_KWH",'ENG_OPS'!$J$63*'IN_COST'!$F$46*IF('IN_COST'!$G$46="FX",'ENG_SCEN'!$J$36,IF('IN_COST'!$G$46="PPI",'ENG_SCEN'!$J$35,IF('IN_COST'!$G$46="ENERGY",'ENG_SCEN'!$J$34,IF('IN_COST'!$G$46="WAGE",'ENG_SCEN'!$J$33,IF('IN_COST'!$G$46="CPI",'ENG_SCEN'!$J$32,1))))),IF('IN_COST'!$E$46="PER_M3",'ENG_OPS'!$J$64*'IN_COST'!$F$46*IF('IN_COST'!$G$46="FX",'ENG_SCEN'!$J$36,IF('IN_COST'!$G$46="PPI",'ENG_SCEN'!$J$35,IF('IN_COST'!$G$46="ENERGY",'ENG_SCEN'!$J$34,IF('IN_COST'!$G$46="WAGE",'ENG_SCEN'!$J$33,IF('IN_COST'!$G$46="CPI",'ENG_SCEN'!$J$32,1))))),IF('IN_COST'!$E$46="ANNUAL",'IN_COST'!$F$46*IF('IN_COST'!$G$46="FX",'ENG_SCEN'!$J$36,IF('IN_COST'!$G$46="PPI",'ENG_SCEN'!$J$35,IF('IN_COST'!$G$46="ENERGY",'ENG_SCEN'!$J$34,IF('IN_COST'!$G$46="WAGE",'ENG_SCEN'!$J$33,IF('IN_COST'!$G$46="CPI",'ENG_SCEN'!$J$32,1))))),IF('IN_COST'!$E$46="PCT_REV",'ENG_OPS'!$J$81*'IN_COST'!$F$46,IF('IN_COST'!$E$46="PCT_ASSET",'ENG_CAPEX'!$J$84*'IN_COST'!$F$46,IF('IN_COST'!$E$46="DEP",'ENG_CAPEX'!$J$81,IF('IN_COST'!$E$46="PAY",INDEX('IN_COST'!$D$15:$D$19,IFERROR(VALUE(MID('IN_COST'!$F$46,FIND(":",'IN_COST'!$F$46)+1,2)),1))*INDEX('IN_COST'!$E$15:$E$19,IFERROR(VALUE(MID('IN_COST'!$F$46,FIND(":",'IN_COST'!$F$46)+1,2)),1))*'IN_COST'!$D$10*'IN_COST'!$D$11*'ENG_SCEN'!$J$33,IF('IN_COST'!$E$46="SRV",SUM(INDEX('ENG_ALLOC'!$D$29:$P$58,(IFERROR(VALUE(MID('IN_COST'!$F$46,FIND(":",'IN_COST'!$F$46)+1,2)),1)-1)*6+1,7):INDEX('ENG_ALLOC'!$D$29:$P$58,IFERROR(VALUE(MID('IN_COST'!$F$46,FIND(":",'IN_COST'!$F$46)+1,2)),1)*6,7)),0)))))))))))*IF('IN_COST'!$E$46="DEP",'ENG_SCEN'!$G$16,IF('IN_COST'!$I$46="V",IF('IN_COST'!$E$46="SCRAP_LME",'ENG_SCEN'!$G$13,'ENG_SCEN'!$G$14),'ENG_SCEN'!$G$15))</f>
        <v/>
      </c>
      <c r="K60" s="33">
        <f>'IN_MACRO'!$K$34*IF('IN_COST'!$E$46="SCRAP_LME",'ENG_OPS'!$K$20*'IN_COST'!$F$46*'ENG_SCEN'!$K$37,IF('IN_COST'!$E$46="PER_TON_BATT",'ENG_OPS'!$K$20*'IN_COST'!$F$46*IF('IN_COST'!$G$46="FX",'ENG_SCEN'!$K$36,IF('IN_COST'!$G$46="PPI",'ENG_SCEN'!$K$35,IF('IN_COST'!$G$46="ENERGY",'ENG_SCEN'!$K$34,IF('IN_COST'!$G$46="WAGE",'ENG_SCEN'!$K$33,IF('IN_COST'!$G$46="CPI",'ENG_SCEN'!$K$32,1))))),IF('IN_COST'!$E$46="PER_TON_PROD",'ENG_OPS'!$K$43*'IN_COST'!$F$46*IF('IN_COST'!$G$46="FX",'ENG_SCEN'!$K$36,IF('IN_COST'!$G$46="PPI",'ENG_SCEN'!$K$35,IF('IN_COST'!$G$46="ENERGY",'ENG_SCEN'!$K$34,IF('IN_COST'!$G$46="WAGE",'ENG_SCEN'!$K$33,IF('IN_COST'!$G$46="CPI",'ENG_SCEN'!$K$32,1))))),IF('IN_COST'!$E$46="PER_KWH",'ENG_OPS'!$K$63*'IN_COST'!$F$46*IF('IN_COST'!$G$46="FX",'ENG_SCEN'!$K$36,IF('IN_COST'!$G$46="PPI",'ENG_SCEN'!$K$35,IF('IN_COST'!$G$46="ENERGY",'ENG_SCEN'!$K$34,IF('IN_COST'!$G$46="WAGE",'ENG_SCEN'!$K$33,IF('IN_COST'!$G$46="CPI",'ENG_SCEN'!$K$32,1))))),IF('IN_COST'!$E$46="PER_M3",'ENG_OPS'!$K$64*'IN_COST'!$F$46*IF('IN_COST'!$G$46="FX",'ENG_SCEN'!$K$36,IF('IN_COST'!$G$46="PPI",'ENG_SCEN'!$K$35,IF('IN_COST'!$G$46="ENERGY",'ENG_SCEN'!$K$34,IF('IN_COST'!$G$46="WAGE",'ENG_SCEN'!$K$33,IF('IN_COST'!$G$46="CPI",'ENG_SCEN'!$K$32,1))))),IF('IN_COST'!$E$46="ANNUAL",'IN_COST'!$F$46*IF('IN_COST'!$G$46="FX",'ENG_SCEN'!$K$36,IF('IN_COST'!$G$46="PPI",'ENG_SCEN'!$K$35,IF('IN_COST'!$G$46="ENERGY",'ENG_SCEN'!$K$34,IF('IN_COST'!$G$46="WAGE",'ENG_SCEN'!$K$33,IF('IN_COST'!$G$46="CPI",'ENG_SCEN'!$K$32,1))))),IF('IN_COST'!$E$46="PCT_REV",'ENG_OPS'!$K$81*'IN_COST'!$F$46,IF('IN_COST'!$E$46="PCT_ASSET",'ENG_CAPEX'!$K$84*'IN_COST'!$F$46,IF('IN_COST'!$E$46="DEP",'ENG_CAPEX'!$K$81,IF('IN_COST'!$E$46="PAY",INDEX('IN_COST'!$D$15:$D$19,IFERROR(VALUE(MID('IN_COST'!$F$46,FIND(":",'IN_COST'!$F$46)+1,2)),1))*INDEX('IN_COST'!$E$15:$E$19,IFERROR(VALUE(MID('IN_COST'!$F$46,FIND(":",'IN_COST'!$F$46)+1,2)),1))*'IN_COST'!$D$10*'IN_COST'!$D$11*'ENG_SCEN'!$K$33,IF('IN_COST'!$E$46="SRV",SUM(INDEX('ENG_ALLOC'!$D$29:$P$58,(IFERROR(VALUE(MID('IN_COST'!$F$46,FIND(":",'IN_COST'!$F$46)+1,2)),1)-1)*6+1,8):INDEX('ENG_ALLOC'!$D$29:$P$58,IFERROR(VALUE(MID('IN_COST'!$F$46,FIND(":",'IN_COST'!$F$46)+1,2)),1)*6,8)),0)))))))))))*IF('IN_COST'!$E$46="DEP",'ENG_SCEN'!$G$16,IF('IN_COST'!$I$46="V",IF('IN_COST'!$E$46="SCRAP_LME",'ENG_SCEN'!$G$13,'ENG_SCEN'!$G$14),'ENG_SCEN'!$G$15))</f>
        <v/>
      </c>
      <c r="L60" s="33">
        <f>'IN_MACRO'!$L$34*IF('IN_COST'!$E$46="SCRAP_LME",'ENG_OPS'!$L$20*'IN_COST'!$F$46*'ENG_SCEN'!$L$37,IF('IN_COST'!$E$46="PER_TON_BATT",'ENG_OPS'!$L$20*'IN_COST'!$F$46*IF('IN_COST'!$G$46="FX",'ENG_SCEN'!$L$36,IF('IN_COST'!$G$46="PPI",'ENG_SCEN'!$L$35,IF('IN_COST'!$G$46="ENERGY",'ENG_SCEN'!$L$34,IF('IN_COST'!$G$46="WAGE",'ENG_SCEN'!$L$33,IF('IN_COST'!$G$46="CPI",'ENG_SCEN'!$L$32,1))))),IF('IN_COST'!$E$46="PER_TON_PROD",'ENG_OPS'!$L$43*'IN_COST'!$F$46*IF('IN_COST'!$G$46="FX",'ENG_SCEN'!$L$36,IF('IN_COST'!$G$46="PPI",'ENG_SCEN'!$L$35,IF('IN_COST'!$G$46="ENERGY",'ENG_SCEN'!$L$34,IF('IN_COST'!$G$46="WAGE",'ENG_SCEN'!$L$33,IF('IN_COST'!$G$46="CPI",'ENG_SCEN'!$L$32,1))))),IF('IN_COST'!$E$46="PER_KWH",'ENG_OPS'!$L$63*'IN_COST'!$F$46*IF('IN_COST'!$G$46="FX",'ENG_SCEN'!$L$36,IF('IN_COST'!$G$46="PPI",'ENG_SCEN'!$L$35,IF('IN_COST'!$G$46="ENERGY",'ENG_SCEN'!$L$34,IF('IN_COST'!$G$46="WAGE",'ENG_SCEN'!$L$33,IF('IN_COST'!$G$46="CPI",'ENG_SCEN'!$L$32,1))))),IF('IN_COST'!$E$46="PER_M3",'ENG_OPS'!$L$64*'IN_COST'!$F$46*IF('IN_COST'!$G$46="FX",'ENG_SCEN'!$L$36,IF('IN_COST'!$G$46="PPI",'ENG_SCEN'!$L$35,IF('IN_COST'!$G$46="ENERGY",'ENG_SCEN'!$L$34,IF('IN_COST'!$G$46="WAGE",'ENG_SCEN'!$L$33,IF('IN_COST'!$G$46="CPI",'ENG_SCEN'!$L$32,1))))),IF('IN_COST'!$E$46="ANNUAL",'IN_COST'!$F$46*IF('IN_COST'!$G$46="FX",'ENG_SCEN'!$L$36,IF('IN_COST'!$G$46="PPI",'ENG_SCEN'!$L$35,IF('IN_COST'!$G$46="ENERGY",'ENG_SCEN'!$L$34,IF('IN_COST'!$G$46="WAGE",'ENG_SCEN'!$L$33,IF('IN_COST'!$G$46="CPI",'ENG_SCEN'!$L$32,1))))),IF('IN_COST'!$E$46="PCT_REV",'ENG_OPS'!$L$81*'IN_COST'!$F$46,IF('IN_COST'!$E$46="PCT_ASSET",'ENG_CAPEX'!$L$84*'IN_COST'!$F$46,IF('IN_COST'!$E$46="DEP",'ENG_CAPEX'!$L$81,IF('IN_COST'!$E$46="PAY",INDEX('IN_COST'!$D$15:$D$19,IFERROR(VALUE(MID('IN_COST'!$F$46,FIND(":",'IN_COST'!$F$46)+1,2)),1))*INDEX('IN_COST'!$E$15:$E$19,IFERROR(VALUE(MID('IN_COST'!$F$46,FIND(":",'IN_COST'!$F$46)+1,2)),1))*'IN_COST'!$D$10*'IN_COST'!$D$11*'ENG_SCEN'!$L$33,IF('IN_COST'!$E$46="SRV",SUM(INDEX('ENG_ALLOC'!$D$29:$P$58,(IFERROR(VALUE(MID('IN_COST'!$F$46,FIND(":",'IN_COST'!$F$46)+1,2)),1)-1)*6+1,9):INDEX('ENG_ALLOC'!$D$29:$P$58,IFERROR(VALUE(MID('IN_COST'!$F$46,FIND(":",'IN_COST'!$F$46)+1,2)),1)*6,9)),0)))))))))))*IF('IN_COST'!$E$46="DEP",'ENG_SCEN'!$G$16,IF('IN_COST'!$I$46="V",IF('IN_COST'!$E$46="SCRAP_LME",'ENG_SCEN'!$G$13,'ENG_SCEN'!$G$14),'ENG_SCEN'!$G$15))</f>
        <v/>
      </c>
      <c r="M60" s="33">
        <f>'IN_MACRO'!$M$34*IF('IN_COST'!$E$46="SCRAP_LME",'ENG_OPS'!$M$20*'IN_COST'!$F$46*'ENG_SCEN'!$M$37,IF('IN_COST'!$E$46="PER_TON_BATT",'ENG_OPS'!$M$20*'IN_COST'!$F$46*IF('IN_COST'!$G$46="FX",'ENG_SCEN'!$M$36,IF('IN_COST'!$G$46="PPI",'ENG_SCEN'!$M$35,IF('IN_COST'!$G$46="ENERGY",'ENG_SCEN'!$M$34,IF('IN_COST'!$G$46="WAGE",'ENG_SCEN'!$M$33,IF('IN_COST'!$G$46="CPI",'ENG_SCEN'!$M$32,1))))),IF('IN_COST'!$E$46="PER_TON_PROD",'ENG_OPS'!$M$43*'IN_COST'!$F$46*IF('IN_COST'!$G$46="FX",'ENG_SCEN'!$M$36,IF('IN_COST'!$G$46="PPI",'ENG_SCEN'!$M$35,IF('IN_COST'!$G$46="ENERGY",'ENG_SCEN'!$M$34,IF('IN_COST'!$G$46="WAGE",'ENG_SCEN'!$M$33,IF('IN_COST'!$G$46="CPI",'ENG_SCEN'!$M$32,1))))),IF('IN_COST'!$E$46="PER_KWH",'ENG_OPS'!$M$63*'IN_COST'!$F$46*IF('IN_COST'!$G$46="FX",'ENG_SCEN'!$M$36,IF('IN_COST'!$G$46="PPI",'ENG_SCEN'!$M$35,IF('IN_COST'!$G$46="ENERGY",'ENG_SCEN'!$M$34,IF('IN_COST'!$G$46="WAGE",'ENG_SCEN'!$M$33,IF('IN_COST'!$G$46="CPI",'ENG_SCEN'!$M$32,1))))),IF('IN_COST'!$E$46="PER_M3",'ENG_OPS'!$M$64*'IN_COST'!$F$46*IF('IN_COST'!$G$46="FX",'ENG_SCEN'!$M$36,IF('IN_COST'!$G$46="PPI",'ENG_SCEN'!$M$35,IF('IN_COST'!$G$46="ENERGY",'ENG_SCEN'!$M$34,IF('IN_COST'!$G$46="WAGE",'ENG_SCEN'!$M$33,IF('IN_COST'!$G$46="CPI",'ENG_SCEN'!$M$32,1))))),IF('IN_COST'!$E$46="ANNUAL",'IN_COST'!$F$46*IF('IN_COST'!$G$46="FX",'ENG_SCEN'!$M$36,IF('IN_COST'!$G$46="PPI",'ENG_SCEN'!$M$35,IF('IN_COST'!$G$46="ENERGY",'ENG_SCEN'!$M$34,IF('IN_COST'!$G$46="WAGE",'ENG_SCEN'!$M$33,IF('IN_COST'!$G$46="CPI",'ENG_SCEN'!$M$32,1))))),IF('IN_COST'!$E$46="PCT_REV",'ENG_OPS'!$M$81*'IN_COST'!$F$46,IF('IN_COST'!$E$46="PCT_ASSET",'ENG_CAPEX'!$M$84*'IN_COST'!$F$46,IF('IN_COST'!$E$46="DEP",'ENG_CAPEX'!$M$81,IF('IN_COST'!$E$46="PAY",INDEX('IN_COST'!$D$15:$D$19,IFERROR(VALUE(MID('IN_COST'!$F$46,FIND(":",'IN_COST'!$F$46)+1,2)),1))*INDEX('IN_COST'!$E$15:$E$19,IFERROR(VALUE(MID('IN_COST'!$F$46,FIND(":",'IN_COST'!$F$46)+1,2)),1))*'IN_COST'!$D$10*'IN_COST'!$D$11*'ENG_SCEN'!$M$33,IF('IN_COST'!$E$46="SRV",SUM(INDEX('ENG_ALLOC'!$D$29:$P$58,(IFERROR(VALUE(MID('IN_COST'!$F$46,FIND(":",'IN_COST'!$F$46)+1,2)),1)-1)*6+1,10):INDEX('ENG_ALLOC'!$D$29:$P$58,IFERROR(VALUE(MID('IN_COST'!$F$46,FIND(":",'IN_COST'!$F$46)+1,2)),1)*6,10)),0)))))))))))*IF('IN_COST'!$E$46="DEP",'ENG_SCEN'!$G$16,IF('IN_COST'!$I$46="V",IF('IN_COST'!$E$46="SCRAP_LME",'ENG_SCEN'!$G$13,'ENG_SCEN'!$G$14),'ENG_SCEN'!$G$15))</f>
        <v/>
      </c>
      <c r="N60" s="33">
        <f>'IN_MACRO'!$N$34*IF('IN_COST'!$E$46="SCRAP_LME",'ENG_OPS'!$N$20*'IN_COST'!$F$46*'ENG_SCEN'!$N$37,IF('IN_COST'!$E$46="PER_TON_BATT",'ENG_OPS'!$N$20*'IN_COST'!$F$46*IF('IN_COST'!$G$46="FX",'ENG_SCEN'!$N$36,IF('IN_COST'!$G$46="PPI",'ENG_SCEN'!$N$35,IF('IN_COST'!$G$46="ENERGY",'ENG_SCEN'!$N$34,IF('IN_COST'!$G$46="WAGE",'ENG_SCEN'!$N$33,IF('IN_COST'!$G$46="CPI",'ENG_SCEN'!$N$32,1))))),IF('IN_COST'!$E$46="PER_TON_PROD",'ENG_OPS'!$N$43*'IN_COST'!$F$46*IF('IN_COST'!$G$46="FX",'ENG_SCEN'!$N$36,IF('IN_COST'!$G$46="PPI",'ENG_SCEN'!$N$35,IF('IN_COST'!$G$46="ENERGY",'ENG_SCEN'!$N$34,IF('IN_COST'!$G$46="WAGE",'ENG_SCEN'!$N$33,IF('IN_COST'!$G$46="CPI",'ENG_SCEN'!$N$32,1))))),IF('IN_COST'!$E$46="PER_KWH",'ENG_OPS'!$N$63*'IN_COST'!$F$46*IF('IN_COST'!$G$46="FX",'ENG_SCEN'!$N$36,IF('IN_COST'!$G$46="PPI",'ENG_SCEN'!$N$35,IF('IN_COST'!$G$46="ENERGY",'ENG_SCEN'!$N$34,IF('IN_COST'!$G$46="WAGE",'ENG_SCEN'!$N$33,IF('IN_COST'!$G$46="CPI",'ENG_SCEN'!$N$32,1))))),IF('IN_COST'!$E$46="PER_M3",'ENG_OPS'!$N$64*'IN_COST'!$F$46*IF('IN_COST'!$G$46="FX",'ENG_SCEN'!$N$36,IF('IN_COST'!$G$46="PPI",'ENG_SCEN'!$N$35,IF('IN_COST'!$G$46="ENERGY",'ENG_SCEN'!$N$34,IF('IN_COST'!$G$46="WAGE",'ENG_SCEN'!$N$33,IF('IN_COST'!$G$46="CPI",'ENG_SCEN'!$N$32,1))))),IF('IN_COST'!$E$46="ANNUAL",'IN_COST'!$F$46*IF('IN_COST'!$G$46="FX",'ENG_SCEN'!$N$36,IF('IN_COST'!$G$46="PPI",'ENG_SCEN'!$N$35,IF('IN_COST'!$G$46="ENERGY",'ENG_SCEN'!$N$34,IF('IN_COST'!$G$46="WAGE",'ENG_SCEN'!$N$33,IF('IN_COST'!$G$46="CPI",'ENG_SCEN'!$N$32,1))))),IF('IN_COST'!$E$46="PCT_REV",'ENG_OPS'!$N$81*'IN_COST'!$F$46,IF('IN_COST'!$E$46="PCT_ASSET",'ENG_CAPEX'!$N$84*'IN_COST'!$F$46,IF('IN_COST'!$E$46="DEP",'ENG_CAPEX'!$N$81,IF('IN_COST'!$E$46="PAY",INDEX('IN_COST'!$D$15:$D$19,IFERROR(VALUE(MID('IN_COST'!$F$46,FIND(":",'IN_COST'!$F$46)+1,2)),1))*INDEX('IN_COST'!$E$15:$E$19,IFERROR(VALUE(MID('IN_COST'!$F$46,FIND(":",'IN_COST'!$F$46)+1,2)),1))*'IN_COST'!$D$10*'IN_COST'!$D$11*'ENG_SCEN'!$N$33,IF('IN_COST'!$E$46="SRV",SUM(INDEX('ENG_ALLOC'!$D$29:$P$58,(IFERROR(VALUE(MID('IN_COST'!$F$46,FIND(":",'IN_COST'!$F$46)+1,2)),1)-1)*6+1,11):INDEX('ENG_ALLOC'!$D$29:$P$58,IFERROR(VALUE(MID('IN_COST'!$F$46,FIND(":",'IN_COST'!$F$46)+1,2)),1)*6,11)),0)))))))))))*IF('IN_COST'!$E$46="DEP",'ENG_SCEN'!$G$16,IF('IN_COST'!$I$46="V",IF('IN_COST'!$E$46="SCRAP_LME",'ENG_SCEN'!$G$13,'ENG_SCEN'!$G$14),'ENG_SCEN'!$G$15))</f>
        <v/>
      </c>
      <c r="O60" s="33">
        <f>'IN_MACRO'!$O$34*IF('IN_COST'!$E$46="SCRAP_LME",'ENG_OPS'!$O$20*'IN_COST'!$F$46*'ENG_SCEN'!$O$37,IF('IN_COST'!$E$46="PER_TON_BATT",'ENG_OPS'!$O$20*'IN_COST'!$F$46*IF('IN_COST'!$G$46="FX",'ENG_SCEN'!$O$36,IF('IN_COST'!$G$46="PPI",'ENG_SCEN'!$O$35,IF('IN_COST'!$G$46="ENERGY",'ENG_SCEN'!$O$34,IF('IN_COST'!$G$46="WAGE",'ENG_SCEN'!$O$33,IF('IN_COST'!$G$46="CPI",'ENG_SCEN'!$O$32,1))))),IF('IN_COST'!$E$46="PER_TON_PROD",'ENG_OPS'!$O$43*'IN_COST'!$F$46*IF('IN_COST'!$G$46="FX",'ENG_SCEN'!$O$36,IF('IN_COST'!$G$46="PPI",'ENG_SCEN'!$O$35,IF('IN_COST'!$G$46="ENERGY",'ENG_SCEN'!$O$34,IF('IN_COST'!$G$46="WAGE",'ENG_SCEN'!$O$33,IF('IN_COST'!$G$46="CPI",'ENG_SCEN'!$O$32,1))))),IF('IN_COST'!$E$46="PER_KWH",'ENG_OPS'!$O$63*'IN_COST'!$F$46*IF('IN_COST'!$G$46="FX",'ENG_SCEN'!$O$36,IF('IN_COST'!$G$46="PPI",'ENG_SCEN'!$O$35,IF('IN_COST'!$G$46="ENERGY",'ENG_SCEN'!$O$34,IF('IN_COST'!$G$46="WAGE",'ENG_SCEN'!$O$33,IF('IN_COST'!$G$46="CPI",'ENG_SCEN'!$O$32,1))))),IF('IN_COST'!$E$46="PER_M3",'ENG_OPS'!$O$64*'IN_COST'!$F$46*IF('IN_COST'!$G$46="FX",'ENG_SCEN'!$O$36,IF('IN_COST'!$G$46="PPI",'ENG_SCEN'!$O$35,IF('IN_COST'!$G$46="ENERGY",'ENG_SCEN'!$O$34,IF('IN_COST'!$G$46="WAGE",'ENG_SCEN'!$O$33,IF('IN_COST'!$G$46="CPI",'ENG_SCEN'!$O$32,1))))),IF('IN_COST'!$E$46="ANNUAL",'IN_COST'!$F$46*IF('IN_COST'!$G$46="FX",'ENG_SCEN'!$O$36,IF('IN_COST'!$G$46="PPI",'ENG_SCEN'!$O$35,IF('IN_COST'!$G$46="ENERGY",'ENG_SCEN'!$O$34,IF('IN_COST'!$G$46="WAGE",'ENG_SCEN'!$O$33,IF('IN_COST'!$G$46="CPI",'ENG_SCEN'!$O$32,1))))),IF('IN_COST'!$E$46="PCT_REV",'ENG_OPS'!$O$81*'IN_COST'!$F$46,IF('IN_COST'!$E$46="PCT_ASSET",'ENG_CAPEX'!$O$84*'IN_COST'!$F$46,IF('IN_COST'!$E$46="DEP",'ENG_CAPEX'!$O$81,IF('IN_COST'!$E$46="PAY",INDEX('IN_COST'!$D$15:$D$19,IFERROR(VALUE(MID('IN_COST'!$F$46,FIND(":",'IN_COST'!$F$46)+1,2)),1))*INDEX('IN_COST'!$E$15:$E$19,IFERROR(VALUE(MID('IN_COST'!$F$46,FIND(":",'IN_COST'!$F$46)+1,2)),1))*'IN_COST'!$D$10*'IN_COST'!$D$11*'ENG_SCEN'!$O$33,IF('IN_COST'!$E$46="SRV",SUM(INDEX('ENG_ALLOC'!$D$29:$P$58,(IFERROR(VALUE(MID('IN_COST'!$F$46,FIND(":",'IN_COST'!$F$46)+1,2)),1)-1)*6+1,12):INDEX('ENG_ALLOC'!$D$29:$P$58,IFERROR(VALUE(MID('IN_COST'!$F$46,FIND(":",'IN_COST'!$F$46)+1,2)),1)*6,12)),0)))))))))))*IF('IN_COST'!$E$46="DEP",'ENG_SCEN'!$G$16,IF('IN_COST'!$I$46="V",IF('IN_COST'!$E$46="SCRAP_LME",'ENG_SCEN'!$G$13,'ENG_SCEN'!$G$14),'ENG_SCEN'!$G$15))</f>
        <v/>
      </c>
      <c r="P60" s="33">
        <f>'IN_MACRO'!$P$34*IF('IN_COST'!$E$46="SCRAP_LME",'ENG_OPS'!$P$20*'IN_COST'!$F$46*'ENG_SCEN'!$P$37,IF('IN_COST'!$E$46="PER_TON_BATT",'ENG_OPS'!$P$20*'IN_COST'!$F$46*IF('IN_COST'!$G$46="FX",'ENG_SCEN'!$P$36,IF('IN_COST'!$G$46="PPI",'ENG_SCEN'!$P$35,IF('IN_COST'!$G$46="ENERGY",'ENG_SCEN'!$P$34,IF('IN_COST'!$G$46="WAGE",'ENG_SCEN'!$P$33,IF('IN_COST'!$G$46="CPI",'ENG_SCEN'!$P$32,1))))),IF('IN_COST'!$E$46="PER_TON_PROD",'ENG_OPS'!$P$43*'IN_COST'!$F$46*IF('IN_COST'!$G$46="FX",'ENG_SCEN'!$P$36,IF('IN_COST'!$G$46="PPI",'ENG_SCEN'!$P$35,IF('IN_COST'!$G$46="ENERGY",'ENG_SCEN'!$P$34,IF('IN_COST'!$G$46="WAGE",'ENG_SCEN'!$P$33,IF('IN_COST'!$G$46="CPI",'ENG_SCEN'!$P$32,1))))),IF('IN_COST'!$E$46="PER_KWH",'ENG_OPS'!$P$63*'IN_COST'!$F$46*IF('IN_COST'!$G$46="FX",'ENG_SCEN'!$P$36,IF('IN_COST'!$G$46="PPI",'ENG_SCEN'!$P$35,IF('IN_COST'!$G$46="ENERGY",'ENG_SCEN'!$P$34,IF('IN_COST'!$G$46="WAGE",'ENG_SCEN'!$P$33,IF('IN_COST'!$G$46="CPI",'ENG_SCEN'!$P$32,1))))),IF('IN_COST'!$E$46="PER_M3",'ENG_OPS'!$P$64*'IN_COST'!$F$46*IF('IN_COST'!$G$46="FX",'ENG_SCEN'!$P$36,IF('IN_COST'!$G$46="PPI",'ENG_SCEN'!$P$35,IF('IN_COST'!$G$46="ENERGY",'ENG_SCEN'!$P$34,IF('IN_COST'!$G$46="WAGE",'ENG_SCEN'!$P$33,IF('IN_COST'!$G$46="CPI",'ENG_SCEN'!$P$32,1))))),IF('IN_COST'!$E$46="ANNUAL",'IN_COST'!$F$46*IF('IN_COST'!$G$46="FX",'ENG_SCEN'!$P$36,IF('IN_COST'!$G$46="PPI",'ENG_SCEN'!$P$35,IF('IN_COST'!$G$46="ENERGY",'ENG_SCEN'!$P$34,IF('IN_COST'!$G$46="WAGE",'ENG_SCEN'!$P$33,IF('IN_COST'!$G$46="CPI",'ENG_SCEN'!$P$32,1))))),IF('IN_COST'!$E$46="PCT_REV",'ENG_OPS'!$P$81*'IN_COST'!$F$46,IF('IN_COST'!$E$46="PCT_ASSET",'ENG_CAPEX'!$P$84*'IN_COST'!$F$46,IF('IN_COST'!$E$46="DEP",'ENG_CAPEX'!$P$81,IF('IN_COST'!$E$46="PAY",INDEX('IN_COST'!$D$15:$D$19,IFERROR(VALUE(MID('IN_COST'!$F$46,FIND(":",'IN_COST'!$F$46)+1,2)),1))*INDEX('IN_COST'!$E$15:$E$19,IFERROR(VALUE(MID('IN_COST'!$F$46,FIND(":",'IN_COST'!$F$46)+1,2)),1))*'IN_COST'!$D$10*'IN_COST'!$D$11*'ENG_SCEN'!$P$33,IF('IN_COST'!$E$46="SRV",SUM(INDEX('ENG_ALLOC'!$D$29:$P$58,(IFERROR(VALUE(MID('IN_COST'!$F$46,FIND(":",'IN_COST'!$F$46)+1,2)),1)-1)*6+1,13):INDEX('ENG_ALLOC'!$D$29:$P$58,IFERROR(VALUE(MID('IN_COST'!$F$46,FIND(":",'IN_COST'!$F$46)+1,2)),1)*6,13)),0)))))))))))*IF('IN_COST'!$E$46="DEP",'ENG_SCEN'!$G$16,IF('IN_COST'!$I$46="V",IF('IN_COST'!$E$46="SCRAP_LME",'ENG_SCEN'!$G$13,'ENG_SCEN'!$G$14),'ENG_SCEN'!$G$15))</f>
        <v/>
      </c>
    </row>
    <row r="61">
      <c r="A61" s="15" t="inlineStr">
        <is>
          <t>OPC-09 | هزینه فروش، توزیع و کارمزد فروش</t>
        </is>
      </c>
      <c r="B61" s="16" t="inlineStr">
        <is>
          <t>EC.tot.14</t>
        </is>
      </c>
      <c r="C61" s="17" t="inlineStr">
        <is>
          <t>میلیون ریال</t>
        </is>
      </c>
      <c r="D61" s="33">
        <f>'IN_MACRO'!$D$34*IF('IN_COST'!$E$47="SCRAP_LME",'ENG_OPS'!$D$20*'IN_COST'!$F$47*'ENG_SCEN'!$D$37,IF('IN_COST'!$E$47="PER_TON_BATT",'ENG_OPS'!$D$20*'IN_COST'!$F$47*IF('IN_COST'!$G$47="FX",'ENG_SCEN'!$D$36,IF('IN_COST'!$G$47="PPI",'ENG_SCEN'!$D$35,IF('IN_COST'!$G$47="ENERGY",'ENG_SCEN'!$D$34,IF('IN_COST'!$G$47="WAGE",'ENG_SCEN'!$D$33,IF('IN_COST'!$G$47="CPI",'ENG_SCEN'!$D$32,1))))),IF('IN_COST'!$E$47="PER_TON_PROD",'ENG_OPS'!$D$43*'IN_COST'!$F$47*IF('IN_COST'!$G$47="FX",'ENG_SCEN'!$D$36,IF('IN_COST'!$G$47="PPI",'ENG_SCEN'!$D$35,IF('IN_COST'!$G$47="ENERGY",'ENG_SCEN'!$D$34,IF('IN_COST'!$G$47="WAGE",'ENG_SCEN'!$D$33,IF('IN_COST'!$G$47="CPI",'ENG_SCEN'!$D$32,1))))),IF('IN_COST'!$E$47="PER_KWH",'ENG_OPS'!$D$63*'IN_COST'!$F$47*IF('IN_COST'!$G$47="FX",'ENG_SCEN'!$D$36,IF('IN_COST'!$G$47="PPI",'ENG_SCEN'!$D$35,IF('IN_COST'!$G$47="ENERGY",'ENG_SCEN'!$D$34,IF('IN_COST'!$G$47="WAGE",'ENG_SCEN'!$D$33,IF('IN_COST'!$G$47="CPI",'ENG_SCEN'!$D$32,1))))),IF('IN_COST'!$E$47="PER_M3",'ENG_OPS'!$D$64*'IN_COST'!$F$47*IF('IN_COST'!$G$47="FX",'ENG_SCEN'!$D$36,IF('IN_COST'!$G$47="PPI",'ENG_SCEN'!$D$35,IF('IN_COST'!$G$47="ENERGY",'ENG_SCEN'!$D$34,IF('IN_COST'!$G$47="WAGE",'ENG_SCEN'!$D$33,IF('IN_COST'!$G$47="CPI",'ENG_SCEN'!$D$32,1))))),IF('IN_COST'!$E$47="ANNUAL",'IN_COST'!$F$47*IF('IN_COST'!$G$47="FX",'ENG_SCEN'!$D$36,IF('IN_COST'!$G$47="PPI",'ENG_SCEN'!$D$35,IF('IN_COST'!$G$47="ENERGY",'ENG_SCEN'!$D$34,IF('IN_COST'!$G$47="WAGE",'ENG_SCEN'!$D$33,IF('IN_COST'!$G$47="CPI",'ENG_SCEN'!$D$32,1))))),IF('IN_COST'!$E$47="PCT_REV",'ENG_OPS'!$D$81*'IN_COST'!$F$47,IF('IN_COST'!$E$47="PCT_ASSET",'ENG_CAPEX'!$D$84*'IN_COST'!$F$47,IF('IN_COST'!$E$47="DEP",'ENG_CAPEX'!$D$81,IF('IN_COST'!$E$47="PAY",INDEX('IN_COST'!$D$15:$D$19,IFERROR(VALUE(MID('IN_COST'!$F$47,FIND(":",'IN_COST'!$F$47)+1,2)),1))*INDEX('IN_COST'!$E$15:$E$19,IFERROR(VALUE(MID('IN_COST'!$F$47,FIND(":",'IN_COST'!$F$47)+1,2)),1))*'IN_COST'!$D$10*'IN_COST'!$D$11*'ENG_SCEN'!$D$33,IF('IN_COST'!$E$47="SRV",SUM(INDEX('ENG_ALLOC'!$D$29:$P$58,(IFERROR(VALUE(MID('IN_COST'!$F$47,FIND(":",'IN_COST'!$F$47)+1,2)),1)-1)*6+1,1):INDEX('ENG_ALLOC'!$D$29:$P$58,IFERROR(VALUE(MID('IN_COST'!$F$47,FIND(":",'IN_COST'!$F$47)+1,2)),1)*6,1)),0)))))))))))*IF('IN_COST'!$E$47="DEP",'ENG_SCEN'!$G$16,IF('IN_COST'!$I$47="V",IF('IN_COST'!$E$47="SCRAP_LME",'ENG_SCEN'!$G$13,'ENG_SCEN'!$G$14),'ENG_SCEN'!$G$15))</f>
        <v/>
      </c>
      <c r="E61" s="33">
        <f>'IN_MACRO'!$E$34*IF('IN_COST'!$E$47="SCRAP_LME",'ENG_OPS'!$E$20*'IN_COST'!$F$47*'ENG_SCEN'!$E$37,IF('IN_COST'!$E$47="PER_TON_BATT",'ENG_OPS'!$E$20*'IN_COST'!$F$47*IF('IN_COST'!$G$47="FX",'ENG_SCEN'!$E$36,IF('IN_COST'!$G$47="PPI",'ENG_SCEN'!$E$35,IF('IN_COST'!$G$47="ENERGY",'ENG_SCEN'!$E$34,IF('IN_COST'!$G$47="WAGE",'ENG_SCEN'!$E$33,IF('IN_COST'!$G$47="CPI",'ENG_SCEN'!$E$32,1))))),IF('IN_COST'!$E$47="PER_TON_PROD",'ENG_OPS'!$E$43*'IN_COST'!$F$47*IF('IN_COST'!$G$47="FX",'ENG_SCEN'!$E$36,IF('IN_COST'!$G$47="PPI",'ENG_SCEN'!$E$35,IF('IN_COST'!$G$47="ENERGY",'ENG_SCEN'!$E$34,IF('IN_COST'!$G$47="WAGE",'ENG_SCEN'!$E$33,IF('IN_COST'!$G$47="CPI",'ENG_SCEN'!$E$32,1))))),IF('IN_COST'!$E$47="PER_KWH",'ENG_OPS'!$E$63*'IN_COST'!$F$47*IF('IN_COST'!$G$47="FX",'ENG_SCEN'!$E$36,IF('IN_COST'!$G$47="PPI",'ENG_SCEN'!$E$35,IF('IN_COST'!$G$47="ENERGY",'ENG_SCEN'!$E$34,IF('IN_COST'!$G$47="WAGE",'ENG_SCEN'!$E$33,IF('IN_COST'!$G$47="CPI",'ENG_SCEN'!$E$32,1))))),IF('IN_COST'!$E$47="PER_M3",'ENG_OPS'!$E$64*'IN_COST'!$F$47*IF('IN_COST'!$G$47="FX",'ENG_SCEN'!$E$36,IF('IN_COST'!$G$47="PPI",'ENG_SCEN'!$E$35,IF('IN_COST'!$G$47="ENERGY",'ENG_SCEN'!$E$34,IF('IN_COST'!$G$47="WAGE",'ENG_SCEN'!$E$33,IF('IN_COST'!$G$47="CPI",'ENG_SCEN'!$E$32,1))))),IF('IN_COST'!$E$47="ANNUAL",'IN_COST'!$F$47*IF('IN_COST'!$G$47="FX",'ENG_SCEN'!$E$36,IF('IN_COST'!$G$47="PPI",'ENG_SCEN'!$E$35,IF('IN_COST'!$G$47="ENERGY",'ENG_SCEN'!$E$34,IF('IN_COST'!$G$47="WAGE",'ENG_SCEN'!$E$33,IF('IN_COST'!$G$47="CPI",'ENG_SCEN'!$E$32,1))))),IF('IN_COST'!$E$47="PCT_REV",'ENG_OPS'!$E$81*'IN_COST'!$F$47,IF('IN_COST'!$E$47="PCT_ASSET",'ENG_CAPEX'!$E$84*'IN_COST'!$F$47,IF('IN_COST'!$E$47="DEP",'ENG_CAPEX'!$E$81,IF('IN_COST'!$E$47="PAY",INDEX('IN_COST'!$D$15:$D$19,IFERROR(VALUE(MID('IN_COST'!$F$47,FIND(":",'IN_COST'!$F$47)+1,2)),1))*INDEX('IN_COST'!$E$15:$E$19,IFERROR(VALUE(MID('IN_COST'!$F$47,FIND(":",'IN_COST'!$F$47)+1,2)),1))*'IN_COST'!$D$10*'IN_COST'!$D$11*'ENG_SCEN'!$E$33,IF('IN_COST'!$E$47="SRV",SUM(INDEX('ENG_ALLOC'!$D$29:$P$58,(IFERROR(VALUE(MID('IN_COST'!$F$47,FIND(":",'IN_COST'!$F$47)+1,2)),1)-1)*6+1,2):INDEX('ENG_ALLOC'!$D$29:$P$58,IFERROR(VALUE(MID('IN_COST'!$F$47,FIND(":",'IN_COST'!$F$47)+1,2)),1)*6,2)),0)))))))))))*IF('IN_COST'!$E$47="DEP",'ENG_SCEN'!$G$16,IF('IN_COST'!$I$47="V",IF('IN_COST'!$E$47="SCRAP_LME",'ENG_SCEN'!$G$13,'ENG_SCEN'!$G$14),'ENG_SCEN'!$G$15))</f>
        <v/>
      </c>
      <c r="F61" s="33">
        <f>'IN_MACRO'!$F$34*IF('IN_COST'!$E$47="SCRAP_LME",'ENG_OPS'!$F$20*'IN_COST'!$F$47*'ENG_SCEN'!$F$37,IF('IN_COST'!$E$47="PER_TON_BATT",'ENG_OPS'!$F$20*'IN_COST'!$F$47*IF('IN_COST'!$G$47="FX",'ENG_SCEN'!$F$36,IF('IN_COST'!$G$47="PPI",'ENG_SCEN'!$F$35,IF('IN_COST'!$G$47="ENERGY",'ENG_SCEN'!$F$34,IF('IN_COST'!$G$47="WAGE",'ENG_SCEN'!$F$33,IF('IN_COST'!$G$47="CPI",'ENG_SCEN'!$F$32,1))))),IF('IN_COST'!$E$47="PER_TON_PROD",'ENG_OPS'!$F$43*'IN_COST'!$F$47*IF('IN_COST'!$G$47="FX",'ENG_SCEN'!$F$36,IF('IN_COST'!$G$47="PPI",'ENG_SCEN'!$F$35,IF('IN_COST'!$G$47="ENERGY",'ENG_SCEN'!$F$34,IF('IN_COST'!$G$47="WAGE",'ENG_SCEN'!$F$33,IF('IN_COST'!$G$47="CPI",'ENG_SCEN'!$F$32,1))))),IF('IN_COST'!$E$47="PER_KWH",'ENG_OPS'!$F$63*'IN_COST'!$F$47*IF('IN_COST'!$G$47="FX",'ENG_SCEN'!$F$36,IF('IN_COST'!$G$47="PPI",'ENG_SCEN'!$F$35,IF('IN_COST'!$G$47="ENERGY",'ENG_SCEN'!$F$34,IF('IN_COST'!$G$47="WAGE",'ENG_SCEN'!$F$33,IF('IN_COST'!$G$47="CPI",'ENG_SCEN'!$F$32,1))))),IF('IN_COST'!$E$47="PER_M3",'ENG_OPS'!$F$64*'IN_COST'!$F$47*IF('IN_COST'!$G$47="FX",'ENG_SCEN'!$F$36,IF('IN_COST'!$G$47="PPI",'ENG_SCEN'!$F$35,IF('IN_COST'!$G$47="ENERGY",'ENG_SCEN'!$F$34,IF('IN_COST'!$G$47="WAGE",'ENG_SCEN'!$F$33,IF('IN_COST'!$G$47="CPI",'ENG_SCEN'!$F$32,1))))),IF('IN_COST'!$E$47="ANNUAL",'IN_COST'!$F$47*IF('IN_COST'!$G$47="FX",'ENG_SCEN'!$F$36,IF('IN_COST'!$G$47="PPI",'ENG_SCEN'!$F$35,IF('IN_COST'!$G$47="ENERGY",'ENG_SCEN'!$F$34,IF('IN_COST'!$G$47="WAGE",'ENG_SCEN'!$F$33,IF('IN_COST'!$G$47="CPI",'ENG_SCEN'!$F$32,1))))),IF('IN_COST'!$E$47="PCT_REV",'ENG_OPS'!$F$81*'IN_COST'!$F$47,IF('IN_COST'!$E$47="PCT_ASSET",'ENG_CAPEX'!$F$84*'IN_COST'!$F$47,IF('IN_COST'!$E$47="DEP",'ENG_CAPEX'!$F$81,IF('IN_COST'!$E$47="PAY",INDEX('IN_COST'!$D$15:$D$19,IFERROR(VALUE(MID('IN_COST'!$F$47,FIND(":",'IN_COST'!$F$47)+1,2)),1))*INDEX('IN_COST'!$E$15:$E$19,IFERROR(VALUE(MID('IN_COST'!$F$47,FIND(":",'IN_COST'!$F$47)+1,2)),1))*'IN_COST'!$D$10*'IN_COST'!$D$11*'ENG_SCEN'!$F$33,IF('IN_COST'!$E$47="SRV",SUM(INDEX('ENG_ALLOC'!$D$29:$P$58,(IFERROR(VALUE(MID('IN_COST'!$F$47,FIND(":",'IN_COST'!$F$47)+1,2)),1)-1)*6+1,3):INDEX('ENG_ALLOC'!$D$29:$P$58,IFERROR(VALUE(MID('IN_COST'!$F$47,FIND(":",'IN_COST'!$F$47)+1,2)),1)*6,3)),0)))))))))))*IF('IN_COST'!$E$47="DEP",'ENG_SCEN'!$G$16,IF('IN_COST'!$I$47="V",IF('IN_COST'!$E$47="SCRAP_LME",'ENG_SCEN'!$G$13,'ENG_SCEN'!$G$14),'ENG_SCEN'!$G$15))</f>
        <v/>
      </c>
      <c r="G61" s="33">
        <f>'IN_MACRO'!$G$34*IF('IN_COST'!$E$47="SCRAP_LME",'ENG_OPS'!$G$20*'IN_COST'!$F$47*'ENG_SCEN'!$G$37,IF('IN_COST'!$E$47="PER_TON_BATT",'ENG_OPS'!$G$20*'IN_COST'!$F$47*IF('IN_COST'!$G$47="FX",'ENG_SCEN'!$G$36,IF('IN_COST'!$G$47="PPI",'ENG_SCEN'!$G$35,IF('IN_COST'!$G$47="ENERGY",'ENG_SCEN'!$G$34,IF('IN_COST'!$G$47="WAGE",'ENG_SCEN'!$G$33,IF('IN_COST'!$G$47="CPI",'ENG_SCEN'!$G$32,1))))),IF('IN_COST'!$E$47="PER_TON_PROD",'ENG_OPS'!$G$43*'IN_COST'!$F$47*IF('IN_COST'!$G$47="FX",'ENG_SCEN'!$G$36,IF('IN_COST'!$G$47="PPI",'ENG_SCEN'!$G$35,IF('IN_COST'!$G$47="ENERGY",'ENG_SCEN'!$G$34,IF('IN_COST'!$G$47="WAGE",'ENG_SCEN'!$G$33,IF('IN_COST'!$G$47="CPI",'ENG_SCEN'!$G$32,1))))),IF('IN_COST'!$E$47="PER_KWH",'ENG_OPS'!$G$63*'IN_COST'!$F$47*IF('IN_COST'!$G$47="FX",'ENG_SCEN'!$G$36,IF('IN_COST'!$G$47="PPI",'ENG_SCEN'!$G$35,IF('IN_COST'!$G$47="ENERGY",'ENG_SCEN'!$G$34,IF('IN_COST'!$G$47="WAGE",'ENG_SCEN'!$G$33,IF('IN_COST'!$G$47="CPI",'ENG_SCEN'!$G$32,1))))),IF('IN_COST'!$E$47="PER_M3",'ENG_OPS'!$G$64*'IN_COST'!$F$47*IF('IN_COST'!$G$47="FX",'ENG_SCEN'!$G$36,IF('IN_COST'!$G$47="PPI",'ENG_SCEN'!$G$35,IF('IN_COST'!$G$47="ENERGY",'ENG_SCEN'!$G$34,IF('IN_COST'!$G$47="WAGE",'ENG_SCEN'!$G$33,IF('IN_COST'!$G$47="CPI",'ENG_SCEN'!$G$32,1))))),IF('IN_COST'!$E$47="ANNUAL",'IN_COST'!$F$47*IF('IN_COST'!$G$47="FX",'ENG_SCEN'!$G$36,IF('IN_COST'!$G$47="PPI",'ENG_SCEN'!$G$35,IF('IN_COST'!$G$47="ENERGY",'ENG_SCEN'!$G$34,IF('IN_COST'!$G$47="WAGE",'ENG_SCEN'!$G$33,IF('IN_COST'!$G$47="CPI",'ENG_SCEN'!$G$32,1))))),IF('IN_COST'!$E$47="PCT_REV",'ENG_OPS'!$G$81*'IN_COST'!$F$47,IF('IN_COST'!$E$47="PCT_ASSET",'ENG_CAPEX'!$G$84*'IN_COST'!$F$47,IF('IN_COST'!$E$47="DEP",'ENG_CAPEX'!$G$81,IF('IN_COST'!$E$47="PAY",INDEX('IN_COST'!$D$15:$D$19,IFERROR(VALUE(MID('IN_COST'!$F$47,FIND(":",'IN_COST'!$F$47)+1,2)),1))*INDEX('IN_COST'!$E$15:$E$19,IFERROR(VALUE(MID('IN_COST'!$F$47,FIND(":",'IN_COST'!$F$47)+1,2)),1))*'IN_COST'!$D$10*'IN_COST'!$D$11*'ENG_SCEN'!$G$33,IF('IN_COST'!$E$47="SRV",SUM(INDEX('ENG_ALLOC'!$D$29:$P$58,(IFERROR(VALUE(MID('IN_COST'!$F$47,FIND(":",'IN_COST'!$F$47)+1,2)),1)-1)*6+1,4):INDEX('ENG_ALLOC'!$D$29:$P$58,IFERROR(VALUE(MID('IN_COST'!$F$47,FIND(":",'IN_COST'!$F$47)+1,2)),1)*6,4)),0)))))))))))*IF('IN_COST'!$E$47="DEP",'ENG_SCEN'!$G$16,IF('IN_COST'!$I$47="V",IF('IN_COST'!$E$47="SCRAP_LME",'ENG_SCEN'!$G$13,'ENG_SCEN'!$G$14),'ENG_SCEN'!$G$15))</f>
        <v/>
      </c>
      <c r="H61" s="33">
        <f>'IN_MACRO'!$H$34*IF('IN_COST'!$E$47="SCRAP_LME",'ENG_OPS'!$H$20*'IN_COST'!$F$47*'ENG_SCEN'!$H$37,IF('IN_COST'!$E$47="PER_TON_BATT",'ENG_OPS'!$H$20*'IN_COST'!$F$47*IF('IN_COST'!$G$47="FX",'ENG_SCEN'!$H$36,IF('IN_COST'!$G$47="PPI",'ENG_SCEN'!$H$35,IF('IN_COST'!$G$47="ENERGY",'ENG_SCEN'!$H$34,IF('IN_COST'!$G$47="WAGE",'ENG_SCEN'!$H$33,IF('IN_COST'!$G$47="CPI",'ENG_SCEN'!$H$32,1))))),IF('IN_COST'!$E$47="PER_TON_PROD",'ENG_OPS'!$H$43*'IN_COST'!$F$47*IF('IN_COST'!$G$47="FX",'ENG_SCEN'!$H$36,IF('IN_COST'!$G$47="PPI",'ENG_SCEN'!$H$35,IF('IN_COST'!$G$47="ENERGY",'ENG_SCEN'!$H$34,IF('IN_COST'!$G$47="WAGE",'ENG_SCEN'!$H$33,IF('IN_COST'!$G$47="CPI",'ENG_SCEN'!$H$32,1))))),IF('IN_COST'!$E$47="PER_KWH",'ENG_OPS'!$H$63*'IN_COST'!$F$47*IF('IN_COST'!$G$47="FX",'ENG_SCEN'!$H$36,IF('IN_COST'!$G$47="PPI",'ENG_SCEN'!$H$35,IF('IN_COST'!$G$47="ENERGY",'ENG_SCEN'!$H$34,IF('IN_COST'!$G$47="WAGE",'ENG_SCEN'!$H$33,IF('IN_COST'!$G$47="CPI",'ENG_SCEN'!$H$32,1))))),IF('IN_COST'!$E$47="PER_M3",'ENG_OPS'!$H$64*'IN_COST'!$F$47*IF('IN_COST'!$G$47="FX",'ENG_SCEN'!$H$36,IF('IN_COST'!$G$47="PPI",'ENG_SCEN'!$H$35,IF('IN_COST'!$G$47="ENERGY",'ENG_SCEN'!$H$34,IF('IN_COST'!$G$47="WAGE",'ENG_SCEN'!$H$33,IF('IN_COST'!$G$47="CPI",'ENG_SCEN'!$H$32,1))))),IF('IN_COST'!$E$47="ANNUAL",'IN_COST'!$F$47*IF('IN_COST'!$G$47="FX",'ENG_SCEN'!$H$36,IF('IN_COST'!$G$47="PPI",'ENG_SCEN'!$H$35,IF('IN_COST'!$G$47="ENERGY",'ENG_SCEN'!$H$34,IF('IN_COST'!$G$47="WAGE",'ENG_SCEN'!$H$33,IF('IN_COST'!$G$47="CPI",'ENG_SCEN'!$H$32,1))))),IF('IN_COST'!$E$47="PCT_REV",'ENG_OPS'!$H$81*'IN_COST'!$F$47,IF('IN_COST'!$E$47="PCT_ASSET",'ENG_CAPEX'!$H$84*'IN_COST'!$F$47,IF('IN_COST'!$E$47="DEP",'ENG_CAPEX'!$H$81,IF('IN_COST'!$E$47="PAY",INDEX('IN_COST'!$D$15:$D$19,IFERROR(VALUE(MID('IN_COST'!$F$47,FIND(":",'IN_COST'!$F$47)+1,2)),1))*INDEX('IN_COST'!$E$15:$E$19,IFERROR(VALUE(MID('IN_COST'!$F$47,FIND(":",'IN_COST'!$F$47)+1,2)),1))*'IN_COST'!$D$10*'IN_COST'!$D$11*'ENG_SCEN'!$H$33,IF('IN_COST'!$E$47="SRV",SUM(INDEX('ENG_ALLOC'!$D$29:$P$58,(IFERROR(VALUE(MID('IN_COST'!$F$47,FIND(":",'IN_COST'!$F$47)+1,2)),1)-1)*6+1,5):INDEX('ENG_ALLOC'!$D$29:$P$58,IFERROR(VALUE(MID('IN_COST'!$F$47,FIND(":",'IN_COST'!$F$47)+1,2)),1)*6,5)),0)))))))))))*IF('IN_COST'!$E$47="DEP",'ENG_SCEN'!$G$16,IF('IN_COST'!$I$47="V",IF('IN_COST'!$E$47="SCRAP_LME",'ENG_SCEN'!$G$13,'ENG_SCEN'!$G$14),'ENG_SCEN'!$G$15))</f>
        <v/>
      </c>
      <c r="I61" s="33">
        <f>'IN_MACRO'!$I$34*IF('IN_COST'!$E$47="SCRAP_LME",'ENG_OPS'!$I$20*'IN_COST'!$F$47*'ENG_SCEN'!$I$37,IF('IN_COST'!$E$47="PER_TON_BATT",'ENG_OPS'!$I$20*'IN_COST'!$F$47*IF('IN_COST'!$G$47="FX",'ENG_SCEN'!$I$36,IF('IN_COST'!$G$47="PPI",'ENG_SCEN'!$I$35,IF('IN_COST'!$G$47="ENERGY",'ENG_SCEN'!$I$34,IF('IN_COST'!$G$47="WAGE",'ENG_SCEN'!$I$33,IF('IN_COST'!$G$47="CPI",'ENG_SCEN'!$I$32,1))))),IF('IN_COST'!$E$47="PER_TON_PROD",'ENG_OPS'!$I$43*'IN_COST'!$F$47*IF('IN_COST'!$G$47="FX",'ENG_SCEN'!$I$36,IF('IN_COST'!$G$47="PPI",'ENG_SCEN'!$I$35,IF('IN_COST'!$G$47="ENERGY",'ENG_SCEN'!$I$34,IF('IN_COST'!$G$47="WAGE",'ENG_SCEN'!$I$33,IF('IN_COST'!$G$47="CPI",'ENG_SCEN'!$I$32,1))))),IF('IN_COST'!$E$47="PER_KWH",'ENG_OPS'!$I$63*'IN_COST'!$F$47*IF('IN_COST'!$G$47="FX",'ENG_SCEN'!$I$36,IF('IN_COST'!$G$47="PPI",'ENG_SCEN'!$I$35,IF('IN_COST'!$G$47="ENERGY",'ENG_SCEN'!$I$34,IF('IN_COST'!$G$47="WAGE",'ENG_SCEN'!$I$33,IF('IN_COST'!$G$47="CPI",'ENG_SCEN'!$I$32,1))))),IF('IN_COST'!$E$47="PER_M3",'ENG_OPS'!$I$64*'IN_COST'!$F$47*IF('IN_COST'!$G$47="FX",'ENG_SCEN'!$I$36,IF('IN_COST'!$G$47="PPI",'ENG_SCEN'!$I$35,IF('IN_COST'!$G$47="ENERGY",'ENG_SCEN'!$I$34,IF('IN_COST'!$G$47="WAGE",'ENG_SCEN'!$I$33,IF('IN_COST'!$G$47="CPI",'ENG_SCEN'!$I$32,1))))),IF('IN_COST'!$E$47="ANNUAL",'IN_COST'!$F$47*IF('IN_COST'!$G$47="FX",'ENG_SCEN'!$I$36,IF('IN_COST'!$G$47="PPI",'ENG_SCEN'!$I$35,IF('IN_COST'!$G$47="ENERGY",'ENG_SCEN'!$I$34,IF('IN_COST'!$G$47="WAGE",'ENG_SCEN'!$I$33,IF('IN_COST'!$G$47="CPI",'ENG_SCEN'!$I$32,1))))),IF('IN_COST'!$E$47="PCT_REV",'ENG_OPS'!$I$81*'IN_COST'!$F$47,IF('IN_COST'!$E$47="PCT_ASSET",'ENG_CAPEX'!$I$84*'IN_COST'!$F$47,IF('IN_COST'!$E$47="DEP",'ENG_CAPEX'!$I$81,IF('IN_COST'!$E$47="PAY",INDEX('IN_COST'!$D$15:$D$19,IFERROR(VALUE(MID('IN_COST'!$F$47,FIND(":",'IN_COST'!$F$47)+1,2)),1))*INDEX('IN_COST'!$E$15:$E$19,IFERROR(VALUE(MID('IN_COST'!$F$47,FIND(":",'IN_COST'!$F$47)+1,2)),1))*'IN_COST'!$D$10*'IN_COST'!$D$11*'ENG_SCEN'!$I$33,IF('IN_COST'!$E$47="SRV",SUM(INDEX('ENG_ALLOC'!$D$29:$P$58,(IFERROR(VALUE(MID('IN_COST'!$F$47,FIND(":",'IN_COST'!$F$47)+1,2)),1)-1)*6+1,6):INDEX('ENG_ALLOC'!$D$29:$P$58,IFERROR(VALUE(MID('IN_COST'!$F$47,FIND(":",'IN_COST'!$F$47)+1,2)),1)*6,6)),0)))))))))))*IF('IN_COST'!$E$47="DEP",'ENG_SCEN'!$G$16,IF('IN_COST'!$I$47="V",IF('IN_COST'!$E$47="SCRAP_LME",'ENG_SCEN'!$G$13,'ENG_SCEN'!$G$14),'ENG_SCEN'!$G$15))</f>
        <v/>
      </c>
      <c r="J61" s="33">
        <f>'IN_MACRO'!$J$34*IF('IN_COST'!$E$47="SCRAP_LME",'ENG_OPS'!$J$20*'IN_COST'!$F$47*'ENG_SCEN'!$J$37,IF('IN_COST'!$E$47="PER_TON_BATT",'ENG_OPS'!$J$20*'IN_COST'!$F$47*IF('IN_COST'!$G$47="FX",'ENG_SCEN'!$J$36,IF('IN_COST'!$G$47="PPI",'ENG_SCEN'!$J$35,IF('IN_COST'!$G$47="ENERGY",'ENG_SCEN'!$J$34,IF('IN_COST'!$G$47="WAGE",'ENG_SCEN'!$J$33,IF('IN_COST'!$G$47="CPI",'ENG_SCEN'!$J$32,1))))),IF('IN_COST'!$E$47="PER_TON_PROD",'ENG_OPS'!$J$43*'IN_COST'!$F$47*IF('IN_COST'!$G$47="FX",'ENG_SCEN'!$J$36,IF('IN_COST'!$G$47="PPI",'ENG_SCEN'!$J$35,IF('IN_COST'!$G$47="ENERGY",'ENG_SCEN'!$J$34,IF('IN_COST'!$G$47="WAGE",'ENG_SCEN'!$J$33,IF('IN_COST'!$G$47="CPI",'ENG_SCEN'!$J$32,1))))),IF('IN_COST'!$E$47="PER_KWH",'ENG_OPS'!$J$63*'IN_COST'!$F$47*IF('IN_COST'!$G$47="FX",'ENG_SCEN'!$J$36,IF('IN_COST'!$G$47="PPI",'ENG_SCEN'!$J$35,IF('IN_COST'!$G$47="ENERGY",'ENG_SCEN'!$J$34,IF('IN_COST'!$G$47="WAGE",'ENG_SCEN'!$J$33,IF('IN_COST'!$G$47="CPI",'ENG_SCEN'!$J$32,1))))),IF('IN_COST'!$E$47="PER_M3",'ENG_OPS'!$J$64*'IN_COST'!$F$47*IF('IN_COST'!$G$47="FX",'ENG_SCEN'!$J$36,IF('IN_COST'!$G$47="PPI",'ENG_SCEN'!$J$35,IF('IN_COST'!$G$47="ENERGY",'ENG_SCEN'!$J$34,IF('IN_COST'!$G$47="WAGE",'ENG_SCEN'!$J$33,IF('IN_COST'!$G$47="CPI",'ENG_SCEN'!$J$32,1))))),IF('IN_COST'!$E$47="ANNUAL",'IN_COST'!$F$47*IF('IN_COST'!$G$47="FX",'ENG_SCEN'!$J$36,IF('IN_COST'!$G$47="PPI",'ENG_SCEN'!$J$35,IF('IN_COST'!$G$47="ENERGY",'ENG_SCEN'!$J$34,IF('IN_COST'!$G$47="WAGE",'ENG_SCEN'!$J$33,IF('IN_COST'!$G$47="CPI",'ENG_SCEN'!$J$32,1))))),IF('IN_COST'!$E$47="PCT_REV",'ENG_OPS'!$J$81*'IN_COST'!$F$47,IF('IN_COST'!$E$47="PCT_ASSET",'ENG_CAPEX'!$J$84*'IN_COST'!$F$47,IF('IN_COST'!$E$47="DEP",'ENG_CAPEX'!$J$81,IF('IN_COST'!$E$47="PAY",INDEX('IN_COST'!$D$15:$D$19,IFERROR(VALUE(MID('IN_COST'!$F$47,FIND(":",'IN_COST'!$F$47)+1,2)),1))*INDEX('IN_COST'!$E$15:$E$19,IFERROR(VALUE(MID('IN_COST'!$F$47,FIND(":",'IN_COST'!$F$47)+1,2)),1))*'IN_COST'!$D$10*'IN_COST'!$D$11*'ENG_SCEN'!$J$33,IF('IN_COST'!$E$47="SRV",SUM(INDEX('ENG_ALLOC'!$D$29:$P$58,(IFERROR(VALUE(MID('IN_COST'!$F$47,FIND(":",'IN_COST'!$F$47)+1,2)),1)-1)*6+1,7):INDEX('ENG_ALLOC'!$D$29:$P$58,IFERROR(VALUE(MID('IN_COST'!$F$47,FIND(":",'IN_COST'!$F$47)+1,2)),1)*6,7)),0)))))))))))*IF('IN_COST'!$E$47="DEP",'ENG_SCEN'!$G$16,IF('IN_COST'!$I$47="V",IF('IN_COST'!$E$47="SCRAP_LME",'ENG_SCEN'!$G$13,'ENG_SCEN'!$G$14),'ENG_SCEN'!$G$15))</f>
        <v/>
      </c>
      <c r="K61" s="33">
        <f>'IN_MACRO'!$K$34*IF('IN_COST'!$E$47="SCRAP_LME",'ENG_OPS'!$K$20*'IN_COST'!$F$47*'ENG_SCEN'!$K$37,IF('IN_COST'!$E$47="PER_TON_BATT",'ENG_OPS'!$K$20*'IN_COST'!$F$47*IF('IN_COST'!$G$47="FX",'ENG_SCEN'!$K$36,IF('IN_COST'!$G$47="PPI",'ENG_SCEN'!$K$35,IF('IN_COST'!$G$47="ENERGY",'ENG_SCEN'!$K$34,IF('IN_COST'!$G$47="WAGE",'ENG_SCEN'!$K$33,IF('IN_COST'!$G$47="CPI",'ENG_SCEN'!$K$32,1))))),IF('IN_COST'!$E$47="PER_TON_PROD",'ENG_OPS'!$K$43*'IN_COST'!$F$47*IF('IN_COST'!$G$47="FX",'ENG_SCEN'!$K$36,IF('IN_COST'!$G$47="PPI",'ENG_SCEN'!$K$35,IF('IN_COST'!$G$47="ENERGY",'ENG_SCEN'!$K$34,IF('IN_COST'!$G$47="WAGE",'ENG_SCEN'!$K$33,IF('IN_COST'!$G$47="CPI",'ENG_SCEN'!$K$32,1))))),IF('IN_COST'!$E$47="PER_KWH",'ENG_OPS'!$K$63*'IN_COST'!$F$47*IF('IN_COST'!$G$47="FX",'ENG_SCEN'!$K$36,IF('IN_COST'!$G$47="PPI",'ENG_SCEN'!$K$35,IF('IN_COST'!$G$47="ENERGY",'ENG_SCEN'!$K$34,IF('IN_COST'!$G$47="WAGE",'ENG_SCEN'!$K$33,IF('IN_COST'!$G$47="CPI",'ENG_SCEN'!$K$32,1))))),IF('IN_COST'!$E$47="PER_M3",'ENG_OPS'!$K$64*'IN_COST'!$F$47*IF('IN_COST'!$G$47="FX",'ENG_SCEN'!$K$36,IF('IN_COST'!$G$47="PPI",'ENG_SCEN'!$K$35,IF('IN_COST'!$G$47="ENERGY",'ENG_SCEN'!$K$34,IF('IN_COST'!$G$47="WAGE",'ENG_SCEN'!$K$33,IF('IN_COST'!$G$47="CPI",'ENG_SCEN'!$K$32,1))))),IF('IN_COST'!$E$47="ANNUAL",'IN_COST'!$F$47*IF('IN_COST'!$G$47="FX",'ENG_SCEN'!$K$36,IF('IN_COST'!$G$47="PPI",'ENG_SCEN'!$K$35,IF('IN_COST'!$G$47="ENERGY",'ENG_SCEN'!$K$34,IF('IN_COST'!$G$47="WAGE",'ENG_SCEN'!$K$33,IF('IN_COST'!$G$47="CPI",'ENG_SCEN'!$K$32,1))))),IF('IN_COST'!$E$47="PCT_REV",'ENG_OPS'!$K$81*'IN_COST'!$F$47,IF('IN_COST'!$E$47="PCT_ASSET",'ENG_CAPEX'!$K$84*'IN_COST'!$F$47,IF('IN_COST'!$E$47="DEP",'ENG_CAPEX'!$K$81,IF('IN_COST'!$E$47="PAY",INDEX('IN_COST'!$D$15:$D$19,IFERROR(VALUE(MID('IN_COST'!$F$47,FIND(":",'IN_COST'!$F$47)+1,2)),1))*INDEX('IN_COST'!$E$15:$E$19,IFERROR(VALUE(MID('IN_COST'!$F$47,FIND(":",'IN_COST'!$F$47)+1,2)),1))*'IN_COST'!$D$10*'IN_COST'!$D$11*'ENG_SCEN'!$K$33,IF('IN_COST'!$E$47="SRV",SUM(INDEX('ENG_ALLOC'!$D$29:$P$58,(IFERROR(VALUE(MID('IN_COST'!$F$47,FIND(":",'IN_COST'!$F$47)+1,2)),1)-1)*6+1,8):INDEX('ENG_ALLOC'!$D$29:$P$58,IFERROR(VALUE(MID('IN_COST'!$F$47,FIND(":",'IN_COST'!$F$47)+1,2)),1)*6,8)),0)))))))))))*IF('IN_COST'!$E$47="DEP",'ENG_SCEN'!$G$16,IF('IN_COST'!$I$47="V",IF('IN_COST'!$E$47="SCRAP_LME",'ENG_SCEN'!$G$13,'ENG_SCEN'!$G$14),'ENG_SCEN'!$G$15))</f>
        <v/>
      </c>
      <c r="L61" s="33">
        <f>'IN_MACRO'!$L$34*IF('IN_COST'!$E$47="SCRAP_LME",'ENG_OPS'!$L$20*'IN_COST'!$F$47*'ENG_SCEN'!$L$37,IF('IN_COST'!$E$47="PER_TON_BATT",'ENG_OPS'!$L$20*'IN_COST'!$F$47*IF('IN_COST'!$G$47="FX",'ENG_SCEN'!$L$36,IF('IN_COST'!$G$47="PPI",'ENG_SCEN'!$L$35,IF('IN_COST'!$G$47="ENERGY",'ENG_SCEN'!$L$34,IF('IN_COST'!$G$47="WAGE",'ENG_SCEN'!$L$33,IF('IN_COST'!$G$47="CPI",'ENG_SCEN'!$L$32,1))))),IF('IN_COST'!$E$47="PER_TON_PROD",'ENG_OPS'!$L$43*'IN_COST'!$F$47*IF('IN_COST'!$G$47="FX",'ENG_SCEN'!$L$36,IF('IN_COST'!$G$47="PPI",'ENG_SCEN'!$L$35,IF('IN_COST'!$G$47="ENERGY",'ENG_SCEN'!$L$34,IF('IN_COST'!$G$47="WAGE",'ENG_SCEN'!$L$33,IF('IN_COST'!$G$47="CPI",'ENG_SCEN'!$L$32,1))))),IF('IN_COST'!$E$47="PER_KWH",'ENG_OPS'!$L$63*'IN_COST'!$F$47*IF('IN_COST'!$G$47="FX",'ENG_SCEN'!$L$36,IF('IN_COST'!$G$47="PPI",'ENG_SCEN'!$L$35,IF('IN_COST'!$G$47="ENERGY",'ENG_SCEN'!$L$34,IF('IN_COST'!$G$47="WAGE",'ENG_SCEN'!$L$33,IF('IN_COST'!$G$47="CPI",'ENG_SCEN'!$L$32,1))))),IF('IN_COST'!$E$47="PER_M3",'ENG_OPS'!$L$64*'IN_COST'!$F$47*IF('IN_COST'!$G$47="FX",'ENG_SCEN'!$L$36,IF('IN_COST'!$G$47="PPI",'ENG_SCEN'!$L$35,IF('IN_COST'!$G$47="ENERGY",'ENG_SCEN'!$L$34,IF('IN_COST'!$G$47="WAGE",'ENG_SCEN'!$L$33,IF('IN_COST'!$G$47="CPI",'ENG_SCEN'!$L$32,1))))),IF('IN_COST'!$E$47="ANNUAL",'IN_COST'!$F$47*IF('IN_COST'!$G$47="FX",'ENG_SCEN'!$L$36,IF('IN_COST'!$G$47="PPI",'ENG_SCEN'!$L$35,IF('IN_COST'!$G$47="ENERGY",'ENG_SCEN'!$L$34,IF('IN_COST'!$G$47="WAGE",'ENG_SCEN'!$L$33,IF('IN_COST'!$G$47="CPI",'ENG_SCEN'!$L$32,1))))),IF('IN_COST'!$E$47="PCT_REV",'ENG_OPS'!$L$81*'IN_COST'!$F$47,IF('IN_COST'!$E$47="PCT_ASSET",'ENG_CAPEX'!$L$84*'IN_COST'!$F$47,IF('IN_COST'!$E$47="DEP",'ENG_CAPEX'!$L$81,IF('IN_COST'!$E$47="PAY",INDEX('IN_COST'!$D$15:$D$19,IFERROR(VALUE(MID('IN_COST'!$F$47,FIND(":",'IN_COST'!$F$47)+1,2)),1))*INDEX('IN_COST'!$E$15:$E$19,IFERROR(VALUE(MID('IN_COST'!$F$47,FIND(":",'IN_COST'!$F$47)+1,2)),1))*'IN_COST'!$D$10*'IN_COST'!$D$11*'ENG_SCEN'!$L$33,IF('IN_COST'!$E$47="SRV",SUM(INDEX('ENG_ALLOC'!$D$29:$P$58,(IFERROR(VALUE(MID('IN_COST'!$F$47,FIND(":",'IN_COST'!$F$47)+1,2)),1)-1)*6+1,9):INDEX('ENG_ALLOC'!$D$29:$P$58,IFERROR(VALUE(MID('IN_COST'!$F$47,FIND(":",'IN_COST'!$F$47)+1,2)),1)*6,9)),0)))))))))))*IF('IN_COST'!$E$47="DEP",'ENG_SCEN'!$G$16,IF('IN_COST'!$I$47="V",IF('IN_COST'!$E$47="SCRAP_LME",'ENG_SCEN'!$G$13,'ENG_SCEN'!$G$14),'ENG_SCEN'!$G$15))</f>
        <v/>
      </c>
      <c r="M61" s="33">
        <f>'IN_MACRO'!$M$34*IF('IN_COST'!$E$47="SCRAP_LME",'ENG_OPS'!$M$20*'IN_COST'!$F$47*'ENG_SCEN'!$M$37,IF('IN_COST'!$E$47="PER_TON_BATT",'ENG_OPS'!$M$20*'IN_COST'!$F$47*IF('IN_COST'!$G$47="FX",'ENG_SCEN'!$M$36,IF('IN_COST'!$G$47="PPI",'ENG_SCEN'!$M$35,IF('IN_COST'!$G$47="ENERGY",'ENG_SCEN'!$M$34,IF('IN_COST'!$G$47="WAGE",'ENG_SCEN'!$M$33,IF('IN_COST'!$G$47="CPI",'ENG_SCEN'!$M$32,1))))),IF('IN_COST'!$E$47="PER_TON_PROD",'ENG_OPS'!$M$43*'IN_COST'!$F$47*IF('IN_COST'!$G$47="FX",'ENG_SCEN'!$M$36,IF('IN_COST'!$G$47="PPI",'ENG_SCEN'!$M$35,IF('IN_COST'!$G$47="ENERGY",'ENG_SCEN'!$M$34,IF('IN_COST'!$G$47="WAGE",'ENG_SCEN'!$M$33,IF('IN_COST'!$G$47="CPI",'ENG_SCEN'!$M$32,1))))),IF('IN_COST'!$E$47="PER_KWH",'ENG_OPS'!$M$63*'IN_COST'!$F$47*IF('IN_COST'!$G$47="FX",'ENG_SCEN'!$M$36,IF('IN_COST'!$G$47="PPI",'ENG_SCEN'!$M$35,IF('IN_COST'!$G$47="ENERGY",'ENG_SCEN'!$M$34,IF('IN_COST'!$G$47="WAGE",'ENG_SCEN'!$M$33,IF('IN_COST'!$G$47="CPI",'ENG_SCEN'!$M$32,1))))),IF('IN_COST'!$E$47="PER_M3",'ENG_OPS'!$M$64*'IN_COST'!$F$47*IF('IN_COST'!$G$47="FX",'ENG_SCEN'!$M$36,IF('IN_COST'!$G$47="PPI",'ENG_SCEN'!$M$35,IF('IN_COST'!$G$47="ENERGY",'ENG_SCEN'!$M$34,IF('IN_COST'!$G$47="WAGE",'ENG_SCEN'!$M$33,IF('IN_COST'!$G$47="CPI",'ENG_SCEN'!$M$32,1))))),IF('IN_COST'!$E$47="ANNUAL",'IN_COST'!$F$47*IF('IN_COST'!$G$47="FX",'ENG_SCEN'!$M$36,IF('IN_COST'!$G$47="PPI",'ENG_SCEN'!$M$35,IF('IN_COST'!$G$47="ENERGY",'ENG_SCEN'!$M$34,IF('IN_COST'!$G$47="WAGE",'ENG_SCEN'!$M$33,IF('IN_COST'!$G$47="CPI",'ENG_SCEN'!$M$32,1))))),IF('IN_COST'!$E$47="PCT_REV",'ENG_OPS'!$M$81*'IN_COST'!$F$47,IF('IN_COST'!$E$47="PCT_ASSET",'ENG_CAPEX'!$M$84*'IN_COST'!$F$47,IF('IN_COST'!$E$47="DEP",'ENG_CAPEX'!$M$81,IF('IN_COST'!$E$47="PAY",INDEX('IN_COST'!$D$15:$D$19,IFERROR(VALUE(MID('IN_COST'!$F$47,FIND(":",'IN_COST'!$F$47)+1,2)),1))*INDEX('IN_COST'!$E$15:$E$19,IFERROR(VALUE(MID('IN_COST'!$F$47,FIND(":",'IN_COST'!$F$47)+1,2)),1))*'IN_COST'!$D$10*'IN_COST'!$D$11*'ENG_SCEN'!$M$33,IF('IN_COST'!$E$47="SRV",SUM(INDEX('ENG_ALLOC'!$D$29:$P$58,(IFERROR(VALUE(MID('IN_COST'!$F$47,FIND(":",'IN_COST'!$F$47)+1,2)),1)-1)*6+1,10):INDEX('ENG_ALLOC'!$D$29:$P$58,IFERROR(VALUE(MID('IN_COST'!$F$47,FIND(":",'IN_COST'!$F$47)+1,2)),1)*6,10)),0)))))))))))*IF('IN_COST'!$E$47="DEP",'ENG_SCEN'!$G$16,IF('IN_COST'!$I$47="V",IF('IN_COST'!$E$47="SCRAP_LME",'ENG_SCEN'!$G$13,'ENG_SCEN'!$G$14),'ENG_SCEN'!$G$15))</f>
        <v/>
      </c>
      <c r="N61" s="33">
        <f>'IN_MACRO'!$N$34*IF('IN_COST'!$E$47="SCRAP_LME",'ENG_OPS'!$N$20*'IN_COST'!$F$47*'ENG_SCEN'!$N$37,IF('IN_COST'!$E$47="PER_TON_BATT",'ENG_OPS'!$N$20*'IN_COST'!$F$47*IF('IN_COST'!$G$47="FX",'ENG_SCEN'!$N$36,IF('IN_COST'!$G$47="PPI",'ENG_SCEN'!$N$35,IF('IN_COST'!$G$47="ENERGY",'ENG_SCEN'!$N$34,IF('IN_COST'!$G$47="WAGE",'ENG_SCEN'!$N$33,IF('IN_COST'!$G$47="CPI",'ENG_SCEN'!$N$32,1))))),IF('IN_COST'!$E$47="PER_TON_PROD",'ENG_OPS'!$N$43*'IN_COST'!$F$47*IF('IN_COST'!$G$47="FX",'ENG_SCEN'!$N$36,IF('IN_COST'!$G$47="PPI",'ENG_SCEN'!$N$35,IF('IN_COST'!$G$47="ENERGY",'ENG_SCEN'!$N$34,IF('IN_COST'!$G$47="WAGE",'ENG_SCEN'!$N$33,IF('IN_COST'!$G$47="CPI",'ENG_SCEN'!$N$32,1))))),IF('IN_COST'!$E$47="PER_KWH",'ENG_OPS'!$N$63*'IN_COST'!$F$47*IF('IN_COST'!$G$47="FX",'ENG_SCEN'!$N$36,IF('IN_COST'!$G$47="PPI",'ENG_SCEN'!$N$35,IF('IN_COST'!$G$47="ENERGY",'ENG_SCEN'!$N$34,IF('IN_COST'!$G$47="WAGE",'ENG_SCEN'!$N$33,IF('IN_COST'!$G$47="CPI",'ENG_SCEN'!$N$32,1))))),IF('IN_COST'!$E$47="PER_M3",'ENG_OPS'!$N$64*'IN_COST'!$F$47*IF('IN_COST'!$G$47="FX",'ENG_SCEN'!$N$36,IF('IN_COST'!$G$47="PPI",'ENG_SCEN'!$N$35,IF('IN_COST'!$G$47="ENERGY",'ENG_SCEN'!$N$34,IF('IN_COST'!$G$47="WAGE",'ENG_SCEN'!$N$33,IF('IN_COST'!$G$47="CPI",'ENG_SCEN'!$N$32,1))))),IF('IN_COST'!$E$47="ANNUAL",'IN_COST'!$F$47*IF('IN_COST'!$G$47="FX",'ENG_SCEN'!$N$36,IF('IN_COST'!$G$47="PPI",'ENG_SCEN'!$N$35,IF('IN_COST'!$G$47="ENERGY",'ENG_SCEN'!$N$34,IF('IN_COST'!$G$47="WAGE",'ENG_SCEN'!$N$33,IF('IN_COST'!$G$47="CPI",'ENG_SCEN'!$N$32,1))))),IF('IN_COST'!$E$47="PCT_REV",'ENG_OPS'!$N$81*'IN_COST'!$F$47,IF('IN_COST'!$E$47="PCT_ASSET",'ENG_CAPEX'!$N$84*'IN_COST'!$F$47,IF('IN_COST'!$E$47="DEP",'ENG_CAPEX'!$N$81,IF('IN_COST'!$E$47="PAY",INDEX('IN_COST'!$D$15:$D$19,IFERROR(VALUE(MID('IN_COST'!$F$47,FIND(":",'IN_COST'!$F$47)+1,2)),1))*INDEX('IN_COST'!$E$15:$E$19,IFERROR(VALUE(MID('IN_COST'!$F$47,FIND(":",'IN_COST'!$F$47)+1,2)),1))*'IN_COST'!$D$10*'IN_COST'!$D$11*'ENG_SCEN'!$N$33,IF('IN_COST'!$E$47="SRV",SUM(INDEX('ENG_ALLOC'!$D$29:$P$58,(IFERROR(VALUE(MID('IN_COST'!$F$47,FIND(":",'IN_COST'!$F$47)+1,2)),1)-1)*6+1,11):INDEX('ENG_ALLOC'!$D$29:$P$58,IFERROR(VALUE(MID('IN_COST'!$F$47,FIND(":",'IN_COST'!$F$47)+1,2)),1)*6,11)),0)))))))))))*IF('IN_COST'!$E$47="DEP",'ENG_SCEN'!$G$16,IF('IN_COST'!$I$47="V",IF('IN_COST'!$E$47="SCRAP_LME",'ENG_SCEN'!$G$13,'ENG_SCEN'!$G$14),'ENG_SCEN'!$G$15))</f>
        <v/>
      </c>
      <c r="O61" s="33">
        <f>'IN_MACRO'!$O$34*IF('IN_COST'!$E$47="SCRAP_LME",'ENG_OPS'!$O$20*'IN_COST'!$F$47*'ENG_SCEN'!$O$37,IF('IN_COST'!$E$47="PER_TON_BATT",'ENG_OPS'!$O$20*'IN_COST'!$F$47*IF('IN_COST'!$G$47="FX",'ENG_SCEN'!$O$36,IF('IN_COST'!$G$47="PPI",'ENG_SCEN'!$O$35,IF('IN_COST'!$G$47="ENERGY",'ENG_SCEN'!$O$34,IF('IN_COST'!$G$47="WAGE",'ENG_SCEN'!$O$33,IF('IN_COST'!$G$47="CPI",'ENG_SCEN'!$O$32,1))))),IF('IN_COST'!$E$47="PER_TON_PROD",'ENG_OPS'!$O$43*'IN_COST'!$F$47*IF('IN_COST'!$G$47="FX",'ENG_SCEN'!$O$36,IF('IN_COST'!$G$47="PPI",'ENG_SCEN'!$O$35,IF('IN_COST'!$G$47="ENERGY",'ENG_SCEN'!$O$34,IF('IN_COST'!$G$47="WAGE",'ENG_SCEN'!$O$33,IF('IN_COST'!$G$47="CPI",'ENG_SCEN'!$O$32,1))))),IF('IN_COST'!$E$47="PER_KWH",'ENG_OPS'!$O$63*'IN_COST'!$F$47*IF('IN_COST'!$G$47="FX",'ENG_SCEN'!$O$36,IF('IN_COST'!$G$47="PPI",'ENG_SCEN'!$O$35,IF('IN_COST'!$G$47="ENERGY",'ENG_SCEN'!$O$34,IF('IN_COST'!$G$47="WAGE",'ENG_SCEN'!$O$33,IF('IN_COST'!$G$47="CPI",'ENG_SCEN'!$O$32,1))))),IF('IN_COST'!$E$47="PER_M3",'ENG_OPS'!$O$64*'IN_COST'!$F$47*IF('IN_COST'!$G$47="FX",'ENG_SCEN'!$O$36,IF('IN_COST'!$G$47="PPI",'ENG_SCEN'!$O$35,IF('IN_COST'!$G$47="ENERGY",'ENG_SCEN'!$O$34,IF('IN_COST'!$G$47="WAGE",'ENG_SCEN'!$O$33,IF('IN_COST'!$G$47="CPI",'ENG_SCEN'!$O$32,1))))),IF('IN_COST'!$E$47="ANNUAL",'IN_COST'!$F$47*IF('IN_COST'!$G$47="FX",'ENG_SCEN'!$O$36,IF('IN_COST'!$G$47="PPI",'ENG_SCEN'!$O$35,IF('IN_COST'!$G$47="ENERGY",'ENG_SCEN'!$O$34,IF('IN_COST'!$G$47="WAGE",'ENG_SCEN'!$O$33,IF('IN_COST'!$G$47="CPI",'ENG_SCEN'!$O$32,1))))),IF('IN_COST'!$E$47="PCT_REV",'ENG_OPS'!$O$81*'IN_COST'!$F$47,IF('IN_COST'!$E$47="PCT_ASSET",'ENG_CAPEX'!$O$84*'IN_COST'!$F$47,IF('IN_COST'!$E$47="DEP",'ENG_CAPEX'!$O$81,IF('IN_COST'!$E$47="PAY",INDEX('IN_COST'!$D$15:$D$19,IFERROR(VALUE(MID('IN_COST'!$F$47,FIND(":",'IN_COST'!$F$47)+1,2)),1))*INDEX('IN_COST'!$E$15:$E$19,IFERROR(VALUE(MID('IN_COST'!$F$47,FIND(":",'IN_COST'!$F$47)+1,2)),1))*'IN_COST'!$D$10*'IN_COST'!$D$11*'ENG_SCEN'!$O$33,IF('IN_COST'!$E$47="SRV",SUM(INDEX('ENG_ALLOC'!$D$29:$P$58,(IFERROR(VALUE(MID('IN_COST'!$F$47,FIND(":",'IN_COST'!$F$47)+1,2)),1)-1)*6+1,12):INDEX('ENG_ALLOC'!$D$29:$P$58,IFERROR(VALUE(MID('IN_COST'!$F$47,FIND(":",'IN_COST'!$F$47)+1,2)),1)*6,12)),0)))))))))))*IF('IN_COST'!$E$47="DEP",'ENG_SCEN'!$G$16,IF('IN_COST'!$I$47="V",IF('IN_COST'!$E$47="SCRAP_LME",'ENG_SCEN'!$G$13,'ENG_SCEN'!$G$14),'ENG_SCEN'!$G$15))</f>
        <v/>
      </c>
      <c r="P61" s="33">
        <f>'IN_MACRO'!$P$34*IF('IN_COST'!$E$47="SCRAP_LME",'ENG_OPS'!$P$20*'IN_COST'!$F$47*'ENG_SCEN'!$P$37,IF('IN_COST'!$E$47="PER_TON_BATT",'ENG_OPS'!$P$20*'IN_COST'!$F$47*IF('IN_COST'!$G$47="FX",'ENG_SCEN'!$P$36,IF('IN_COST'!$G$47="PPI",'ENG_SCEN'!$P$35,IF('IN_COST'!$G$47="ENERGY",'ENG_SCEN'!$P$34,IF('IN_COST'!$G$47="WAGE",'ENG_SCEN'!$P$33,IF('IN_COST'!$G$47="CPI",'ENG_SCEN'!$P$32,1))))),IF('IN_COST'!$E$47="PER_TON_PROD",'ENG_OPS'!$P$43*'IN_COST'!$F$47*IF('IN_COST'!$G$47="FX",'ENG_SCEN'!$P$36,IF('IN_COST'!$G$47="PPI",'ENG_SCEN'!$P$35,IF('IN_COST'!$G$47="ENERGY",'ENG_SCEN'!$P$34,IF('IN_COST'!$G$47="WAGE",'ENG_SCEN'!$P$33,IF('IN_COST'!$G$47="CPI",'ENG_SCEN'!$P$32,1))))),IF('IN_COST'!$E$47="PER_KWH",'ENG_OPS'!$P$63*'IN_COST'!$F$47*IF('IN_COST'!$G$47="FX",'ENG_SCEN'!$P$36,IF('IN_COST'!$G$47="PPI",'ENG_SCEN'!$P$35,IF('IN_COST'!$G$47="ENERGY",'ENG_SCEN'!$P$34,IF('IN_COST'!$G$47="WAGE",'ENG_SCEN'!$P$33,IF('IN_COST'!$G$47="CPI",'ENG_SCEN'!$P$32,1))))),IF('IN_COST'!$E$47="PER_M3",'ENG_OPS'!$P$64*'IN_COST'!$F$47*IF('IN_COST'!$G$47="FX",'ENG_SCEN'!$P$36,IF('IN_COST'!$G$47="PPI",'ENG_SCEN'!$P$35,IF('IN_COST'!$G$47="ENERGY",'ENG_SCEN'!$P$34,IF('IN_COST'!$G$47="WAGE",'ENG_SCEN'!$P$33,IF('IN_COST'!$G$47="CPI",'ENG_SCEN'!$P$32,1))))),IF('IN_COST'!$E$47="ANNUAL",'IN_COST'!$F$47*IF('IN_COST'!$G$47="FX",'ENG_SCEN'!$P$36,IF('IN_COST'!$G$47="PPI",'ENG_SCEN'!$P$35,IF('IN_COST'!$G$47="ENERGY",'ENG_SCEN'!$P$34,IF('IN_COST'!$G$47="WAGE",'ENG_SCEN'!$P$33,IF('IN_COST'!$G$47="CPI",'ENG_SCEN'!$P$32,1))))),IF('IN_COST'!$E$47="PCT_REV",'ENG_OPS'!$P$81*'IN_COST'!$F$47,IF('IN_COST'!$E$47="PCT_ASSET",'ENG_CAPEX'!$P$84*'IN_COST'!$F$47,IF('IN_COST'!$E$47="DEP",'ENG_CAPEX'!$P$81,IF('IN_COST'!$E$47="PAY",INDEX('IN_COST'!$D$15:$D$19,IFERROR(VALUE(MID('IN_COST'!$F$47,FIND(":",'IN_COST'!$F$47)+1,2)),1))*INDEX('IN_COST'!$E$15:$E$19,IFERROR(VALUE(MID('IN_COST'!$F$47,FIND(":",'IN_COST'!$F$47)+1,2)),1))*'IN_COST'!$D$10*'IN_COST'!$D$11*'ENG_SCEN'!$P$33,IF('IN_COST'!$E$47="SRV",SUM(INDEX('ENG_ALLOC'!$D$29:$P$58,(IFERROR(VALUE(MID('IN_COST'!$F$47,FIND(":",'IN_COST'!$F$47)+1,2)),1)-1)*6+1,13):INDEX('ENG_ALLOC'!$D$29:$P$58,IFERROR(VALUE(MID('IN_COST'!$F$47,FIND(":",'IN_COST'!$F$47)+1,2)),1)*6,13)),0)))))))))))*IF('IN_COST'!$E$47="DEP",'ENG_SCEN'!$G$16,IF('IN_COST'!$I$47="V",IF('IN_COST'!$E$47="SCRAP_LME",'ENG_SCEN'!$G$13,'ENG_SCEN'!$G$14),'ENG_SCEN'!$G$15))</f>
        <v/>
      </c>
    </row>
    <row r="62">
      <c r="A62" s="15" t="inlineStr">
        <is>
          <t>FPC-01 | استهلاک دارایی‌های ثابت</t>
        </is>
      </c>
      <c r="B62" s="16" t="inlineStr">
        <is>
          <t>EC.tot.15</t>
        </is>
      </c>
      <c r="C62" s="17" t="inlineStr">
        <is>
          <t>میلیون ریال</t>
        </is>
      </c>
      <c r="D62" s="33">
        <f>'IN_MACRO'!$D$34*IF('IN_COST'!$E$48="SCRAP_LME",'ENG_OPS'!$D$20*'IN_COST'!$F$48*'ENG_SCEN'!$D$37,IF('IN_COST'!$E$48="PER_TON_BATT",'ENG_OPS'!$D$20*'IN_COST'!$F$48*IF('IN_COST'!$G$48="FX",'ENG_SCEN'!$D$36,IF('IN_COST'!$G$48="PPI",'ENG_SCEN'!$D$35,IF('IN_COST'!$G$48="ENERGY",'ENG_SCEN'!$D$34,IF('IN_COST'!$G$48="WAGE",'ENG_SCEN'!$D$33,IF('IN_COST'!$G$48="CPI",'ENG_SCEN'!$D$32,1))))),IF('IN_COST'!$E$48="PER_TON_PROD",'ENG_OPS'!$D$43*'IN_COST'!$F$48*IF('IN_COST'!$G$48="FX",'ENG_SCEN'!$D$36,IF('IN_COST'!$G$48="PPI",'ENG_SCEN'!$D$35,IF('IN_COST'!$G$48="ENERGY",'ENG_SCEN'!$D$34,IF('IN_COST'!$G$48="WAGE",'ENG_SCEN'!$D$33,IF('IN_COST'!$G$48="CPI",'ENG_SCEN'!$D$32,1))))),IF('IN_COST'!$E$48="PER_KWH",'ENG_OPS'!$D$63*'IN_COST'!$F$48*IF('IN_COST'!$G$48="FX",'ENG_SCEN'!$D$36,IF('IN_COST'!$G$48="PPI",'ENG_SCEN'!$D$35,IF('IN_COST'!$G$48="ENERGY",'ENG_SCEN'!$D$34,IF('IN_COST'!$G$48="WAGE",'ENG_SCEN'!$D$33,IF('IN_COST'!$G$48="CPI",'ENG_SCEN'!$D$32,1))))),IF('IN_COST'!$E$48="PER_M3",'ENG_OPS'!$D$64*'IN_COST'!$F$48*IF('IN_COST'!$G$48="FX",'ENG_SCEN'!$D$36,IF('IN_COST'!$G$48="PPI",'ENG_SCEN'!$D$35,IF('IN_COST'!$G$48="ENERGY",'ENG_SCEN'!$D$34,IF('IN_COST'!$G$48="WAGE",'ENG_SCEN'!$D$33,IF('IN_COST'!$G$48="CPI",'ENG_SCEN'!$D$32,1))))),IF('IN_COST'!$E$48="ANNUAL",'IN_COST'!$F$48*IF('IN_COST'!$G$48="FX",'ENG_SCEN'!$D$36,IF('IN_COST'!$G$48="PPI",'ENG_SCEN'!$D$35,IF('IN_COST'!$G$48="ENERGY",'ENG_SCEN'!$D$34,IF('IN_COST'!$G$48="WAGE",'ENG_SCEN'!$D$33,IF('IN_COST'!$G$48="CPI",'ENG_SCEN'!$D$32,1))))),IF('IN_COST'!$E$48="PCT_REV",'ENG_OPS'!$D$81*'IN_COST'!$F$48,IF('IN_COST'!$E$48="PCT_ASSET",'ENG_CAPEX'!$D$84*'IN_COST'!$F$48,IF('IN_COST'!$E$48="DEP",'ENG_CAPEX'!$D$81,IF('IN_COST'!$E$48="PAY",INDEX('IN_COST'!$D$15:$D$19,IFERROR(VALUE(MID('IN_COST'!$F$48,FIND(":",'IN_COST'!$F$48)+1,2)),1))*INDEX('IN_COST'!$E$15:$E$19,IFERROR(VALUE(MID('IN_COST'!$F$48,FIND(":",'IN_COST'!$F$48)+1,2)),1))*'IN_COST'!$D$10*'IN_COST'!$D$11*'ENG_SCEN'!$D$33,IF('IN_COST'!$E$48="SRV",SUM(INDEX('ENG_ALLOC'!$D$29:$P$58,(IFERROR(VALUE(MID('IN_COST'!$F$48,FIND(":",'IN_COST'!$F$48)+1,2)),1)-1)*6+1,1):INDEX('ENG_ALLOC'!$D$29:$P$58,IFERROR(VALUE(MID('IN_COST'!$F$48,FIND(":",'IN_COST'!$F$48)+1,2)),1)*6,1)),0)))))))))))*IF('IN_COST'!$E$48="DEP",'ENG_SCEN'!$G$16,IF('IN_COST'!$I$48="V",IF('IN_COST'!$E$48="SCRAP_LME",'ENG_SCEN'!$G$13,'ENG_SCEN'!$G$14),'ENG_SCEN'!$G$15))</f>
        <v/>
      </c>
      <c r="E62" s="33">
        <f>'IN_MACRO'!$E$34*IF('IN_COST'!$E$48="SCRAP_LME",'ENG_OPS'!$E$20*'IN_COST'!$F$48*'ENG_SCEN'!$E$37,IF('IN_COST'!$E$48="PER_TON_BATT",'ENG_OPS'!$E$20*'IN_COST'!$F$48*IF('IN_COST'!$G$48="FX",'ENG_SCEN'!$E$36,IF('IN_COST'!$G$48="PPI",'ENG_SCEN'!$E$35,IF('IN_COST'!$G$48="ENERGY",'ENG_SCEN'!$E$34,IF('IN_COST'!$G$48="WAGE",'ENG_SCEN'!$E$33,IF('IN_COST'!$G$48="CPI",'ENG_SCEN'!$E$32,1))))),IF('IN_COST'!$E$48="PER_TON_PROD",'ENG_OPS'!$E$43*'IN_COST'!$F$48*IF('IN_COST'!$G$48="FX",'ENG_SCEN'!$E$36,IF('IN_COST'!$G$48="PPI",'ENG_SCEN'!$E$35,IF('IN_COST'!$G$48="ENERGY",'ENG_SCEN'!$E$34,IF('IN_COST'!$G$48="WAGE",'ENG_SCEN'!$E$33,IF('IN_COST'!$G$48="CPI",'ENG_SCEN'!$E$32,1))))),IF('IN_COST'!$E$48="PER_KWH",'ENG_OPS'!$E$63*'IN_COST'!$F$48*IF('IN_COST'!$G$48="FX",'ENG_SCEN'!$E$36,IF('IN_COST'!$G$48="PPI",'ENG_SCEN'!$E$35,IF('IN_COST'!$G$48="ENERGY",'ENG_SCEN'!$E$34,IF('IN_COST'!$G$48="WAGE",'ENG_SCEN'!$E$33,IF('IN_COST'!$G$48="CPI",'ENG_SCEN'!$E$32,1))))),IF('IN_COST'!$E$48="PER_M3",'ENG_OPS'!$E$64*'IN_COST'!$F$48*IF('IN_COST'!$G$48="FX",'ENG_SCEN'!$E$36,IF('IN_COST'!$G$48="PPI",'ENG_SCEN'!$E$35,IF('IN_COST'!$G$48="ENERGY",'ENG_SCEN'!$E$34,IF('IN_COST'!$G$48="WAGE",'ENG_SCEN'!$E$33,IF('IN_COST'!$G$48="CPI",'ENG_SCEN'!$E$32,1))))),IF('IN_COST'!$E$48="ANNUAL",'IN_COST'!$F$48*IF('IN_COST'!$G$48="FX",'ENG_SCEN'!$E$36,IF('IN_COST'!$G$48="PPI",'ENG_SCEN'!$E$35,IF('IN_COST'!$G$48="ENERGY",'ENG_SCEN'!$E$34,IF('IN_COST'!$G$48="WAGE",'ENG_SCEN'!$E$33,IF('IN_COST'!$G$48="CPI",'ENG_SCEN'!$E$32,1))))),IF('IN_COST'!$E$48="PCT_REV",'ENG_OPS'!$E$81*'IN_COST'!$F$48,IF('IN_COST'!$E$48="PCT_ASSET",'ENG_CAPEX'!$E$84*'IN_COST'!$F$48,IF('IN_COST'!$E$48="DEP",'ENG_CAPEX'!$E$81,IF('IN_COST'!$E$48="PAY",INDEX('IN_COST'!$D$15:$D$19,IFERROR(VALUE(MID('IN_COST'!$F$48,FIND(":",'IN_COST'!$F$48)+1,2)),1))*INDEX('IN_COST'!$E$15:$E$19,IFERROR(VALUE(MID('IN_COST'!$F$48,FIND(":",'IN_COST'!$F$48)+1,2)),1))*'IN_COST'!$D$10*'IN_COST'!$D$11*'ENG_SCEN'!$E$33,IF('IN_COST'!$E$48="SRV",SUM(INDEX('ENG_ALLOC'!$D$29:$P$58,(IFERROR(VALUE(MID('IN_COST'!$F$48,FIND(":",'IN_COST'!$F$48)+1,2)),1)-1)*6+1,2):INDEX('ENG_ALLOC'!$D$29:$P$58,IFERROR(VALUE(MID('IN_COST'!$F$48,FIND(":",'IN_COST'!$F$48)+1,2)),1)*6,2)),0)))))))))))*IF('IN_COST'!$E$48="DEP",'ENG_SCEN'!$G$16,IF('IN_COST'!$I$48="V",IF('IN_COST'!$E$48="SCRAP_LME",'ENG_SCEN'!$G$13,'ENG_SCEN'!$G$14),'ENG_SCEN'!$G$15))</f>
        <v/>
      </c>
      <c r="F62" s="33">
        <f>'IN_MACRO'!$F$34*IF('IN_COST'!$E$48="SCRAP_LME",'ENG_OPS'!$F$20*'IN_COST'!$F$48*'ENG_SCEN'!$F$37,IF('IN_COST'!$E$48="PER_TON_BATT",'ENG_OPS'!$F$20*'IN_COST'!$F$48*IF('IN_COST'!$G$48="FX",'ENG_SCEN'!$F$36,IF('IN_COST'!$G$48="PPI",'ENG_SCEN'!$F$35,IF('IN_COST'!$G$48="ENERGY",'ENG_SCEN'!$F$34,IF('IN_COST'!$G$48="WAGE",'ENG_SCEN'!$F$33,IF('IN_COST'!$G$48="CPI",'ENG_SCEN'!$F$32,1))))),IF('IN_COST'!$E$48="PER_TON_PROD",'ENG_OPS'!$F$43*'IN_COST'!$F$48*IF('IN_COST'!$G$48="FX",'ENG_SCEN'!$F$36,IF('IN_COST'!$G$48="PPI",'ENG_SCEN'!$F$35,IF('IN_COST'!$G$48="ENERGY",'ENG_SCEN'!$F$34,IF('IN_COST'!$G$48="WAGE",'ENG_SCEN'!$F$33,IF('IN_COST'!$G$48="CPI",'ENG_SCEN'!$F$32,1))))),IF('IN_COST'!$E$48="PER_KWH",'ENG_OPS'!$F$63*'IN_COST'!$F$48*IF('IN_COST'!$G$48="FX",'ENG_SCEN'!$F$36,IF('IN_COST'!$G$48="PPI",'ENG_SCEN'!$F$35,IF('IN_COST'!$G$48="ENERGY",'ENG_SCEN'!$F$34,IF('IN_COST'!$G$48="WAGE",'ENG_SCEN'!$F$33,IF('IN_COST'!$G$48="CPI",'ENG_SCEN'!$F$32,1))))),IF('IN_COST'!$E$48="PER_M3",'ENG_OPS'!$F$64*'IN_COST'!$F$48*IF('IN_COST'!$G$48="FX",'ENG_SCEN'!$F$36,IF('IN_COST'!$G$48="PPI",'ENG_SCEN'!$F$35,IF('IN_COST'!$G$48="ENERGY",'ENG_SCEN'!$F$34,IF('IN_COST'!$G$48="WAGE",'ENG_SCEN'!$F$33,IF('IN_COST'!$G$48="CPI",'ENG_SCEN'!$F$32,1))))),IF('IN_COST'!$E$48="ANNUAL",'IN_COST'!$F$48*IF('IN_COST'!$G$48="FX",'ENG_SCEN'!$F$36,IF('IN_COST'!$G$48="PPI",'ENG_SCEN'!$F$35,IF('IN_COST'!$G$48="ENERGY",'ENG_SCEN'!$F$34,IF('IN_COST'!$G$48="WAGE",'ENG_SCEN'!$F$33,IF('IN_COST'!$G$48="CPI",'ENG_SCEN'!$F$32,1))))),IF('IN_COST'!$E$48="PCT_REV",'ENG_OPS'!$F$81*'IN_COST'!$F$48,IF('IN_COST'!$E$48="PCT_ASSET",'ENG_CAPEX'!$F$84*'IN_COST'!$F$48,IF('IN_COST'!$E$48="DEP",'ENG_CAPEX'!$F$81,IF('IN_COST'!$E$48="PAY",INDEX('IN_COST'!$D$15:$D$19,IFERROR(VALUE(MID('IN_COST'!$F$48,FIND(":",'IN_COST'!$F$48)+1,2)),1))*INDEX('IN_COST'!$E$15:$E$19,IFERROR(VALUE(MID('IN_COST'!$F$48,FIND(":",'IN_COST'!$F$48)+1,2)),1))*'IN_COST'!$D$10*'IN_COST'!$D$11*'ENG_SCEN'!$F$33,IF('IN_COST'!$E$48="SRV",SUM(INDEX('ENG_ALLOC'!$D$29:$P$58,(IFERROR(VALUE(MID('IN_COST'!$F$48,FIND(":",'IN_COST'!$F$48)+1,2)),1)-1)*6+1,3):INDEX('ENG_ALLOC'!$D$29:$P$58,IFERROR(VALUE(MID('IN_COST'!$F$48,FIND(":",'IN_COST'!$F$48)+1,2)),1)*6,3)),0)))))))))))*IF('IN_COST'!$E$48="DEP",'ENG_SCEN'!$G$16,IF('IN_COST'!$I$48="V",IF('IN_COST'!$E$48="SCRAP_LME",'ENG_SCEN'!$G$13,'ENG_SCEN'!$G$14),'ENG_SCEN'!$G$15))</f>
        <v/>
      </c>
      <c r="G62" s="33">
        <f>'IN_MACRO'!$G$34*IF('IN_COST'!$E$48="SCRAP_LME",'ENG_OPS'!$G$20*'IN_COST'!$F$48*'ENG_SCEN'!$G$37,IF('IN_COST'!$E$48="PER_TON_BATT",'ENG_OPS'!$G$20*'IN_COST'!$F$48*IF('IN_COST'!$G$48="FX",'ENG_SCEN'!$G$36,IF('IN_COST'!$G$48="PPI",'ENG_SCEN'!$G$35,IF('IN_COST'!$G$48="ENERGY",'ENG_SCEN'!$G$34,IF('IN_COST'!$G$48="WAGE",'ENG_SCEN'!$G$33,IF('IN_COST'!$G$48="CPI",'ENG_SCEN'!$G$32,1))))),IF('IN_COST'!$E$48="PER_TON_PROD",'ENG_OPS'!$G$43*'IN_COST'!$F$48*IF('IN_COST'!$G$48="FX",'ENG_SCEN'!$G$36,IF('IN_COST'!$G$48="PPI",'ENG_SCEN'!$G$35,IF('IN_COST'!$G$48="ENERGY",'ENG_SCEN'!$G$34,IF('IN_COST'!$G$48="WAGE",'ENG_SCEN'!$G$33,IF('IN_COST'!$G$48="CPI",'ENG_SCEN'!$G$32,1))))),IF('IN_COST'!$E$48="PER_KWH",'ENG_OPS'!$G$63*'IN_COST'!$F$48*IF('IN_COST'!$G$48="FX",'ENG_SCEN'!$G$36,IF('IN_COST'!$G$48="PPI",'ENG_SCEN'!$G$35,IF('IN_COST'!$G$48="ENERGY",'ENG_SCEN'!$G$34,IF('IN_COST'!$G$48="WAGE",'ENG_SCEN'!$G$33,IF('IN_COST'!$G$48="CPI",'ENG_SCEN'!$G$32,1))))),IF('IN_COST'!$E$48="PER_M3",'ENG_OPS'!$G$64*'IN_COST'!$F$48*IF('IN_COST'!$G$48="FX",'ENG_SCEN'!$G$36,IF('IN_COST'!$G$48="PPI",'ENG_SCEN'!$G$35,IF('IN_COST'!$G$48="ENERGY",'ENG_SCEN'!$G$34,IF('IN_COST'!$G$48="WAGE",'ENG_SCEN'!$G$33,IF('IN_COST'!$G$48="CPI",'ENG_SCEN'!$G$32,1))))),IF('IN_COST'!$E$48="ANNUAL",'IN_COST'!$F$48*IF('IN_COST'!$G$48="FX",'ENG_SCEN'!$G$36,IF('IN_COST'!$G$48="PPI",'ENG_SCEN'!$G$35,IF('IN_COST'!$G$48="ENERGY",'ENG_SCEN'!$G$34,IF('IN_COST'!$G$48="WAGE",'ENG_SCEN'!$G$33,IF('IN_COST'!$G$48="CPI",'ENG_SCEN'!$G$32,1))))),IF('IN_COST'!$E$48="PCT_REV",'ENG_OPS'!$G$81*'IN_COST'!$F$48,IF('IN_COST'!$E$48="PCT_ASSET",'ENG_CAPEX'!$G$84*'IN_COST'!$F$48,IF('IN_COST'!$E$48="DEP",'ENG_CAPEX'!$G$81,IF('IN_COST'!$E$48="PAY",INDEX('IN_COST'!$D$15:$D$19,IFERROR(VALUE(MID('IN_COST'!$F$48,FIND(":",'IN_COST'!$F$48)+1,2)),1))*INDEX('IN_COST'!$E$15:$E$19,IFERROR(VALUE(MID('IN_COST'!$F$48,FIND(":",'IN_COST'!$F$48)+1,2)),1))*'IN_COST'!$D$10*'IN_COST'!$D$11*'ENG_SCEN'!$G$33,IF('IN_COST'!$E$48="SRV",SUM(INDEX('ENG_ALLOC'!$D$29:$P$58,(IFERROR(VALUE(MID('IN_COST'!$F$48,FIND(":",'IN_COST'!$F$48)+1,2)),1)-1)*6+1,4):INDEX('ENG_ALLOC'!$D$29:$P$58,IFERROR(VALUE(MID('IN_COST'!$F$48,FIND(":",'IN_COST'!$F$48)+1,2)),1)*6,4)),0)))))))))))*IF('IN_COST'!$E$48="DEP",'ENG_SCEN'!$G$16,IF('IN_COST'!$I$48="V",IF('IN_COST'!$E$48="SCRAP_LME",'ENG_SCEN'!$G$13,'ENG_SCEN'!$G$14),'ENG_SCEN'!$G$15))</f>
        <v/>
      </c>
      <c r="H62" s="33">
        <f>'IN_MACRO'!$H$34*IF('IN_COST'!$E$48="SCRAP_LME",'ENG_OPS'!$H$20*'IN_COST'!$F$48*'ENG_SCEN'!$H$37,IF('IN_COST'!$E$48="PER_TON_BATT",'ENG_OPS'!$H$20*'IN_COST'!$F$48*IF('IN_COST'!$G$48="FX",'ENG_SCEN'!$H$36,IF('IN_COST'!$G$48="PPI",'ENG_SCEN'!$H$35,IF('IN_COST'!$G$48="ENERGY",'ENG_SCEN'!$H$34,IF('IN_COST'!$G$48="WAGE",'ENG_SCEN'!$H$33,IF('IN_COST'!$G$48="CPI",'ENG_SCEN'!$H$32,1))))),IF('IN_COST'!$E$48="PER_TON_PROD",'ENG_OPS'!$H$43*'IN_COST'!$F$48*IF('IN_COST'!$G$48="FX",'ENG_SCEN'!$H$36,IF('IN_COST'!$G$48="PPI",'ENG_SCEN'!$H$35,IF('IN_COST'!$G$48="ENERGY",'ENG_SCEN'!$H$34,IF('IN_COST'!$G$48="WAGE",'ENG_SCEN'!$H$33,IF('IN_COST'!$G$48="CPI",'ENG_SCEN'!$H$32,1))))),IF('IN_COST'!$E$48="PER_KWH",'ENG_OPS'!$H$63*'IN_COST'!$F$48*IF('IN_COST'!$G$48="FX",'ENG_SCEN'!$H$36,IF('IN_COST'!$G$48="PPI",'ENG_SCEN'!$H$35,IF('IN_COST'!$G$48="ENERGY",'ENG_SCEN'!$H$34,IF('IN_COST'!$G$48="WAGE",'ENG_SCEN'!$H$33,IF('IN_COST'!$G$48="CPI",'ENG_SCEN'!$H$32,1))))),IF('IN_COST'!$E$48="PER_M3",'ENG_OPS'!$H$64*'IN_COST'!$F$48*IF('IN_COST'!$G$48="FX",'ENG_SCEN'!$H$36,IF('IN_COST'!$G$48="PPI",'ENG_SCEN'!$H$35,IF('IN_COST'!$G$48="ENERGY",'ENG_SCEN'!$H$34,IF('IN_COST'!$G$48="WAGE",'ENG_SCEN'!$H$33,IF('IN_COST'!$G$48="CPI",'ENG_SCEN'!$H$32,1))))),IF('IN_COST'!$E$48="ANNUAL",'IN_COST'!$F$48*IF('IN_COST'!$G$48="FX",'ENG_SCEN'!$H$36,IF('IN_COST'!$G$48="PPI",'ENG_SCEN'!$H$35,IF('IN_COST'!$G$48="ENERGY",'ENG_SCEN'!$H$34,IF('IN_COST'!$G$48="WAGE",'ENG_SCEN'!$H$33,IF('IN_COST'!$G$48="CPI",'ENG_SCEN'!$H$32,1))))),IF('IN_COST'!$E$48="PCT_REV",'ENG_OPS'!$H$81*'IN_COST'!$F$48,IF('IN_COST'!$E$48="PCT_ASSET",'ENG_CAPEX'!$H$84*'IN_COST'!$F$48,IF('IN_COST'!$E$48="DEP",'ENG_CAPEX'!$H$81,IF('IN_COST'!$E$48="PAY",INDEX('IN_COST'!$D$15:$D$19,IFERROR(VALUE(MID('IN_COST'!$F$48,FIND(":",'IN_COST'!$F$48)+1,2)),1))*INDEX('IN_COST'!$E$15:$E$19,IFERROR(VALUE(MID('IN_COST'!$F$48,FIND(":",'IN_COST'!$F$48)+1,2)),1))*'IN_COST'!$D$10*'IN_COST'!$D$11*'ENG_SCEN'!$H$33,IF('IN_COST'!$E$48="SRV",SUM(INDEX('ENG_ALLOC'!$D$29:$P$58,(IFERROR(VALUE(MID('IN_COST'!$F$48,FIND(":",'IN_COST'!$F$48)+1,2)),1)-1)*6+1,5):INDEX('ENG_ALLOC'!$D$29:$P$58,IFERROR(VALUE(MID('IN_COST'!$F$48,FIND(":",'IN_COST'!$F$48)+1,2)),1)*6,5)),0)))))))))))*IF('IN_COST'!$E$48="DEP",'ENG_SCEN'!$G$16,IF('IN_COST'!$I$48="V",IF('IN_COST'!$E$48="SCRAP_LME",'ENG_SCEN'!$G$13,'ENG_SCEN'!$G$14),'ENG_SCEN'!$G$15))</f>
        <v/>
      </c>
      <c r="I62" s="33">
        <f>'IN_MACRO'!$I$34*IF('IN_COST'!$E$48="SCRAP_LME",'ENG_OPS'!$I$20*'IN_COST'!$F$48*'ENG_SCEN'!$I$37,IF('IN_COST'!$E$48="PER_TON_BATT",'ENG_OPS'!$I$20*'IN_COST'!$F$48*IF('IN_COST'!$G$48="FX",'ENG_SCEN'!$I$36,IF('IN_COST'!$G$48="PPI",'ENG_SCEN'!$I$35,IF('IN_COST'!$G$48="ENERGY",'ENG_SCEN'!$I$34,IF('IN_COST'!$G$48="WAGE",'ENG_SCEN'!$I$33,IF('IN_COST'!$G$48="CPI",'ENG_SCEN'!$I$32,1))))),IF('IN_COST'!$E$48="PER_TON_PROD",'ENG_OPS'!$I$43*'IN_COST'!$F$48*IF('IN_COST'!$G$48="FX",'ENG_SCEN'!$I$36,IF('IN_COST'!$G$48="PPI",'ENG_SCEN'!$I$35,IF('IN_COST'!$G$48="ENERGY",'ENG_SCEN'!$I$34,IF('IN_COST'!$G$48="WAGE",'ENG_SCEN'!$I$33,IF('IN_COST'!$G$48="CPI",'ENG_SCEN'!$I$32,1))))),IF('IN_COST'!$E$48="PER_KWH",'ENG_OPS'!$I$63*'IN_COST'!$F$48*IF('IN_COST'!$G$48="FX",'ENG_SCEN'!$I$36,IF('IN_COST'!$G$48="PPI",'ENG_SCEN'!$I$35,IF('IN_COST'!$G$48="ENERGY",'ENG_SCEN'!$I$34,IF('IN_COST'!$G$48="WAGE",'ENG_SCEN'!$I$33,IF('IN_COST'!$G$48="CPI",'ENG_SCEN'!$I$32,1))))),IF('IN_COST'!$E$48="PER_M3",'ENG_OPS'!$I$64*'IN_COST'!$F$48*IF('IN_COST'!$G$48="FX",'ENG_SCEN'!$I$36,IF('IN_COST'!$G$48="PPI",'ENG_SCEN'!$I$35,IF('IN_COST'!$G$48="ENERGY",'ENG_SCEN'!$I$34,IF('IN_COST'!$G$48="WAGE",'ENG_SCEN'!$I$33,IF('IN_COST'!$G$48="CPI",'ENG_SCEN'!$I$32,1))))),IF('IN_COST'!$E$48="ANNUAL",'IN_COST'!$F$48*IF('IN_COST'!$G$48="FX",'ENG_SCEN'!$I$36,IF('IN_COST'!$G$48="PPI",'ENG_SCEN'!$I$35,IF('IN_COST'!$G$48="ENERGY",'ENG_SCEN'!$I$34,IF('IN_COST'!$G$48="WAGE",'ENG_SCEN'!$I$33,IF('IN_COST'!$G$48="CPI",'ENG_SCEN'!$I$32,1))))),IF('IN_COST'!$E$48="PCT_REV",'ENG_OPS'!$I$81*'IN_COST'!$F$48,IF('IN_COST'!$E$48="PCT_ASSET",'ENG_CAPEX'!$I$84*'IN_COST'!$F$48,IF('IN_COST'!$E$48="DEP",'ENG_CAPEX'!$I$81,IF('IN_COST'!$E$48="PAY",INDEX('IN_COST'!$D$15:$D$19,IFERROR(VALUE(MID('IN_COST'!$F$48,FIND(":",'IN_COST'!$F$48)+1,2)),1))*INDEX('IN_COST'!$E$15:$E$19,IFERROR(VALUE(MID('IN_COST'!$F$48,FIND(":",'IN_COST'!$F$48)+1,2)),1))*'IN_COST'!$D$10*'IN_COST'!$D$11*'ENG_SCEN'!$I$33,IF('IN_COST'!$E$48="SRV",SUM(INDEX('ENG_ALLOC'!$D$29:$P$58,(IFERROR(VALUE(MID('IN_COST'!$F$48,FIND(":",'IN_COST'!$F$48)+1,2)),1)-1)*6+1,6):INDEX('ENG_ALLOC'!$D$29:$P$58,IFERROR(VALUE(MID('IN_COST'!$F$48,FIND(":",'IN_COST'!$F$48)+1,2)),1)*6,6)),0)))))))))))*IF('IN_COST'!$E$48="DEP",'ENG_SCEN'!$G$16,IF('IN_COST'!$I$48="V",IF('IN_COST'!$E$48="SCRAP_LME",'ENG_SCEN'!$G$13,'ENG_SCEN'!$G$14),'ENG_SCEN'!$G$15))</f>
        <v/>
      </c>
      <c r="J62" s="33">
        <f>'IN_MACRO'!$J$34*IF('IN_COST'!$E$48="SCRAP_LME",'ENG_OPS'!$J$20*'IN_COST'!$F$48*'ENG_SCEN'!$J$37,IF('IN_COST'!$E$48="PER_TON_BATT",'ENG_OPS'!$J$20*'IN_COST'!$F$48*IF('IN_COST'!$G$48="FX",'ENG_SCEN'!$J$36,IF('IN_COST'!$G$48="PPI",'ENG_SCEN'!$J$35,IF('IN_COST'!$G$48="ENERGY",'ENG_SCEN'!$J$34,IF('IN_COST'!$G$48="WAGE",'ENG_SCEN'!$J$33,IF('IN_COST'!$G$48="CPI",'ENG_SCEN'!$J$32,1))))),IF('IN_COST'!$E$48="PER_TON_PROD",'ENG_OPS'!$J$43*'IN_COST'!$F$48*IF('IN_COST'!$G$48="FX",'ENG_SCEN'!$J$36,IF('IN_COST'!$G$48="PPI",'ENG_SCEN'!$J$35,IF('IN_COST'!$G$48="ENERGY",'ENG_SCEN'!$J$34,IF('IN_COST'!$G$48="WAGE",'ENG_SCEN'!$J$33,IF('IN_COST'!$G$48="CPI",'ENG_SCEN'!$J$32,1))))),IF('IN_COST'!$E$48="PER_KWH",'ENG_OPS'!$J$63*'IN_COST'!$F$48*IF('IN_COST'!$G$48="FX",'ENG_SCEN'!$J$36,IF('IN_COST'!$G$48="PPI",'ENG_SCEN'!$J$35,IF('IN_COST'!$G$48="ENERGY",'ENG_SCEN'!$J$34,IF('IN_COST'!$G$48="WAGE",'ENG_SCEN'!$J$33,IF('IN_COST'!$G$48="CPI",'ENG_SCEN'!$J$32,1))))),IF('IN_COST'!$E$48="PER_M3",'ENG_OPS'!$J$64*'IN_COST'!$F$48*IF('IN_COST'!$G$48="FX",'ENG_SCEN'!$J$36,IF('IN_COST'!$G$48="PPI",'ENG_SCEN'!$J$35,IF('IN_COST'!$G$48="ENERGY",'ENG_SCEN'!$J$34,IF('IN_COST'!$G$48="WAGE",'ENG_SCEN'!$J$33,IF('IN_COST'!$G$48="CPI",'ENG_SCEN'!$J$32,1))))),IF('IN_COST'!$E$48="ANNUAL",'IN_COST'!$F$48*IF('IN_COST'!$G$48="FX",'ENG_SCEN'!$J$36,IF('IN_COST'!$G$48="PPI",'ENG_SCEN'!$J$35,IF('IN_COST'!$G$48="ENERGY",'ENG_SCEN'!$J$34,IF('IN_COST'!$G$48="WAGE",'ENG_SCEN'!$J$33,IF('IN_COST'!$G$48="CPI",'ENG_SCEN'!$J$32,1))))),IF('IN_COST'!$E$48="PCT_REV",'ENG_OPS'!$J$81*'IN_COST'!$F$48,IF('IN_COST'!$E$48="PCT_ASSET",'ENG_CAPEX'!$J$84*'IN_COST'!$F$48,IF('IN_COST'!$E$48="DEP",'ENG_CAPEX'!$J$81,IF('IN_COST'!$E$48="PAY",INDEX('IN_COST'!$D$15:$D$19,IFERROR(VALUE(MID('IN_COST'!$F$48,FIND(":",'IN_COST'!$F$48)+1,2)),1))*INDEX('IN_COST'!$E$15:$E$19,IFERROR(VALUE(MID('IN_COST'!$F$48,FIND(":",'IN_COST'!$F$48)+1,2)),1))*'IN_COST'!$D$10*'IN_COST'!$D$11*'ENG_SCEN'!$J$33,IF('IN_COST'!$E$48="SRV",SUM(INDEX('ENG_ALLOC'!$D$29:$P$58,(IFERROR(VALUE(MID('IN_COST'!$F$48,FIND(":",'IN_COST'!$F$48)+1,2)),1)-1)*6+1,7):INDEX('ENG_ALLOC'!$D$29:$P$58,IFERROR(VALUE(MID('IN_COST'!$F$48,FIND(":",'IN_COST'!$F$48)+1,2)),1)*6,7)),0)))))))))))*IF('IN_COST'!$E$48="DEP",'ENG_SCEN'!$G$16,IF('IN_COST'!$I$48="V",IF('IN_COST'!$E$48="SCRAP_LME",'ENG_SCEN'!$G$13,'ENG_SCEN'!$G$14),'ENG_SCEN'!$G$15))</f>
        <v/>
      </c>
      <c r="K62" s="33">
        <f>'IN_MACRO'!$K$34*IF('IN_COST'!$E$48="SCRAP_LME",'ENG_OPS'!$K$20*'IN_COST'!$F$48*'ENG_SCEN'!$K$37,IF('IN_COST'!$E$48="PER_TON_BATT",'ENG_OPS'!$K$20*'IN_COST'!$F$48*IF('IN_COST'!$G$48="FX",'ENG_SCEN'!$K$36,IF('IN_COST'!$G$48="PPI",'ENG_SCEN'!$K$35,IF('IN_COST'!$G$48="ENERGY",'ENG_SCEN'!$K$34,IF('IN_COST'!$G$48="WAGE",'ENG_SCEN'!$K$33,IF('IN_COST'!$G$48="CPI",'ENG_SCEN'!$K$32,1))))),IF('IN_COST'!$E$48="PER_TON_PROD",'ENG_OPS'!$K$43*'IN_COST'!$F$48*IF('IN_COST'!$G$48="FX",'ENG_SCEN'!$K$36,IF('IN_COST'!$G$48="PPI",'ENG_SCEN'!$K$35,IF('IN_COST'!$G$48="ENERGY",'ENG_SCEN'!$K$34,IF('IN_COST'!$G$48="WAGE",'ENG_SCEN'!$K$33,IF('IN_COST'!$G$48="CPI",'ENG_SCEN'!$K$32,1))))),IF('IN_COST'!$E$48="PER_KWH",'ENG_OPS'!$K$63*'IN_COST'!$F$48*IF('IN_COST'!$G$48="FX",'ENG_SCEN'!$K$36,IF('IN_COST'!$G$48="PPI",'ENG_SCEN'!$K$35,IF('IN_COST'!$G$48="ENERGY",'ENG_SCEN'!$K$34,IF('IN_COST'!$G$48="WAGE",'ENG_SCEN'!$K$33,IF('IN_COST'!$G$48="CPI",'ENG_SCEN'!$K$32,1))))),IF('IN_COST'!$E$48="PER_M3",'ENG_OPS'!$K$64*'IN_COST'!$F$48*IF('IN_COST'!$G$48="FX",'ENG_SCEN'!$K$36,IF('IN_COST'!$G$48="PPI",'ENG_SCEN'!$K$35,IF('IN_COST'!$G$48="ENERGY",'ENG_SCEN'!$K$34,IF('IN_COST'!$G$48="WAGE",'ENG_SCEN'!$K$33,IF('IN_COST'!$G$48="CPI",'ENG_SCEN'!$K$32,1))))),IF('IN_COST'!$E$48="ANNUAL",'IN_COST'!$F$48*IF('IN_COST'!$G$48="FX",'ENG_SCEN'!$K$36,IF('IN_COST'!$G$48="PPI",'ENG_SCEN'!$K$35,IF('IN_COST'!$G$48="ENERGY",'ENG_SCEN'!$K$34,IF('IN_COST'!$G$48="WAGE",'ENG_SCEN'!$K$33,IF('IN_COST'!$G$48="CPI",'ENG_SCEN'!$K$32,1))))),IF('IN_COST'!$E$48="PCT_REV",'ENG_OPS'!$K$81*'IN_COST'!$F$48,IF('IN_COST'!$E$48="PCT_ASSET",'ENG_CAPEX'!$K$84*'IN_COST'!$F$48,IF('IN_COST'!$E$48="DEP",'ENG_CAPEX'!$K$81,IF('IN_COST'!$E$48="PAY",INDEX('IN_COST'!$D$15:$D$19,IFERROR(VALUE(MID('IN_COST'!$F$48,FIND(":",'IN_COST'!$F$48)+1,2)),1))*INDEX('IN_COST'!$E$15:$E$19,IFERROR(VALUE(MID('IN_COST'!$F$48,FIND(":",'IN_COST'!$F$48)+1,2)),1))*'IN_COST'!$D$10*'IN_COST'!$D$11*'ENG_SCEN'!$K$33,IF('IN_COST'!$E$48="SRV",SUM(INDEX('ENG_ALLOC'!$D$29:$P$58,(IFERROR(VALUE(MID('IN_COST'!$F$48,FIND(":",'IN_COST'!$F$48)+1,2)),1)-1)*6+1,8):INDEX('ENG_ALLOC'!$D$29:$P$58,IFERROR(VALUE(MID('IN_COST'!$F$48,FIND(":",'IN_COST'!$F$48)+1,2)),1)*6,8)),0)))))))))))*IF('IN_COST'!$E$48="DEP",'ENG_SCEN'!$G$16,IF('IN_COST'!$I$48="V",IF('IN_COST'!$E$48="SCRAP_LME",'ENG_SCEN'!$G$13,'ENG_SCEN'!$G$14),'ENG_SCEN'!$G$15))</f>
        <v/>
      </c>
      <c r="L62" s="33">
        <f>'IN_MACRO'!$L$34*IF('IN_COST'!$E$48="SCRAP_LME",'ENG_OPS'!$L$20*'IN_COST'!$F$48*'ENG_SCEN'!$L$37,IF('IN_COST'!$E$48="PER_TON_BATT",'ENG_OPS'!$L$20*'IN_COST'!$F$48*IF('IN_COST'!$G$48="FX",'ENG_SCEN'!$L$36,IF('IN_COST'!$G$48="PPI",'ENG_SCEN'!$L$35,IF('IN_COST'!$G$48="ENERGY",'ENG_SCEN'!$L$34,IF('IN_COST'!$G$48="WAGE",'ENG_SCEN'!$L$33,IF('IN_COST'!$G$48="CPI",'ENG_SCEN'!$L$32,1))))),IF('IN_COST'!$E$48="PER_TON_PROD",'ENG_OPS'!$L$43*'IN_COST'!$F$48*IF('IN_COST'!$G$48="FX",'ENG_SCEN'!$L$36,IF('IN_COST'!$G$48="PPI",'ENG_SCEN'!$L$35,IF('IN_COST'!$G$48="ENERGY",'ENG_SCEN'!$L$34,IF('IN_COST'!$G$48="WAGE",'ENG_SCEN'!$L$33,IF('IN_COST'!$G$48="CPI",'ENG_SCEN'!$L$32,1))))),IF('IN_COST'!$E$48="PER_KWH",'ENG_OPS'!$L$63*'IN_COST'!$F$48*IF('IN_COST'!$G$48="FX",'ENG_SCEN'!$L$36,IF('IN_COST'!$G$48="PPI",'ENG_SCEN'!$L$35,IF('IN_COST'!$G$48="ENERGY",'ENG_SCEN'!$L$34,IF('IN_COST'!$G$48="WAGE",'ENG_SCEN'!$L$33,IF('IN_COST'!$G$48="CPI",'ENG_SCEN'!$L$32,1))))),IF('IN_COST'!$E$48="PER_M3",'ENG_OPS'!$L$64*'IN_COST'!$F$48*IF('IN_COST'!$G$48="FX",'ENG_SCEN'!$L$36,IF('IN_COST'!$G$48="PPI",'ENG_SCEN'!$L$35,IF('IN_COST'!$G$48="ENERGY",'ENG_SCEN'!$L$34,IF('IN_COST'!$G$48="WAGE",'ENG_SCEN'!$L$33,IF('IN_COST'!$G$48="CPI",'ENG_SCEN'!$L$32,1))))),IF('IN_COST'!$E$48="ANNUAL",'IN_COST'!$F$48*IF('IN_COST'!$G$48="FX",'ENG_SCEN'!$L$36,IF('IN_COST'!$G$48="PPI",'ENG_SCEN'!$L$35,IF('IN_COST'!$G$48="ENERGY",'ENG_SCEN'!$L$34,IF('IN_COST'!$G$48="WAGE",'ENG_SCEN'!$L$33,IF('IN_COST'!$G$48="CPI",'ENG_SCEN'!$L$32,1))))),IF('IN_COST'!$E$48="PCT_REV",'ENG_OPS'!$L$81*'IN_COST'!$F$48,IF('IN_COST'!$E$48="PCT_ASSET",'ENG_CAPEX'!$L$84*'IN_COST'!$F$48,IF('IN_COST'!$E$48="DEP",'ENG_CAPEX'!$L$81,IF('IN_COST'!$E$48="PAY",INDEX('IN_COST'!$D$15:$D$19,IFERROR(VALUE(MID('IN_COST'!$F$48,FIND(":",'IN_COST'!$F$48)+1,2)),1))*INDEX('IN_COST'!$E$15:$E$19,IFERROR(VALUE(MID('IN_COST'!$F$48,FIND(":",'IN_COST'!$F$48)+1,2)),1))*'IN_COST'!$D$10*'IN_COST'!$D$11*'ENG_SCEN'!$L$33,IF('IN_COST'!$E$48="SRV",SUM(INDEX('ENG_ALLOC'!$D$29:$P$58,(IFERROR(VALUE(MID('IN_COST'!$F$48,FIND(":",'IN_COST'!$F$48)+1,2)),1)-1)*6+1,9):INDEX('ENG_ALLOC'!$D$29:$P$58,IFERROR(VALUE(MID('IN_COST'!$F$48,FIND(":",'IN_COST'!$F$48)+1,2)),1)*6,9)),0)))))))))))*IF('IN_COST'!$E$48="DEP",'ENG_SCEN'!$G$16,IF('IN_COST'!$I$48="V",IF('IN_COST'!$E$48="SCRAP_LME",'ENG_SCEN'!$G$13,'ENG_SCEN'!$G$14),'ENG_SCEN'!$G$15))</f>
        <v/>
      </c>
      <c r="M62" s="33">
        <f>'IN_MACRO'!$M$34*IF('IN_COST'!$E$48="SCRAP_LME",'ENG_OPS'!$M$20*'IN_COST'!$F$48*'ENG_SCEN'!$M$37,IF('IN_COST'!$E$48="PER_TON_BATT",'ENG_OPS'!$M$20*'IN_COST'!$F$48*IF('IN_COST'!$G$48="FX",'ENG_SCEN'!$M$36,IF('IN_COST'!$G$48="PPI",'ENG_SCEN'!$M$35,IF('IN_COST'!$G$48="ENERGY",'ENG_SCEN'!$M$34,IF('IN_COST'!$G$48="WAGE",'ENG_SCEN'!$M$33,IF('IN_COST'!$G$48="CPI",'ENG_SCEN'!$M$32,1))))),IF('IN_COST'!$E$48="PER_TON_PROD",'ENG_OPS'!$M$43*'IN_COST'!$F$48*IF('IN_COST'!$G$48="FX",'ENG_SCEN'!$M$36,IF('IN_COST'!$G$48="PPI",'ENG_SCEN'!$M$35,IF('IN_COST'!$G$48="ENERGY",'ENG_SCEN'!$M$34,IF('IN_COST'!$G$48="WAGE",'ENG_SCEN'!$M$33,IF('IN_COST'!$G$48="CPI",'ENG_SCEN'!$M$32,1))))),IF('IN_COST'!$E$48="PER_KWH",'ENG_OPS'!$M$63*'IN_COST'!$F$48*IF('IN_COST'!$G$48="FX",'ENG_SCEN'!$M$36,IF('IN_COST'!$G$48="PPI",'ENG_SCEN'!$M$35,IF('IN_COST'!$G$48="ENERGY",'ENG_SCEN'!$M$34,IF('IN_COST'!$G$48="WAGE",'ENG_SCEN'!$M$33,IF('IN_COST'!$G$48="CPI",'ENG_SCEN'!$M$32,1))))),IF('IN_COST'!$E$48="PER_M3",'ENG_OPS'!$M$64*'IN_COST'!$F$48*IF('IN_COST'!$G$48="FX",'ENG_SCEN'!$M$36,IF('IN_COST'!$G$48="PPI",'ENG_SCEN'!$M$35,IF('IN_COST'!$G$48="ENERGY",'ENG_SCEN'!$M$34,IF('IN_COST'!$G$48="WAGE",'ENG_SCEN'!$M$33,IF('IN_COST'!$G$48="CPI",'ENG_SCEN'!$M$32,1))))),IF('IN_COST'!$E$48="ANNUAL",'IN_COST'!$F$48*IF('IN_COST'!$G$48="FX",'ENG_SCEN'!$M$36,IF('IN_COST'!$G$48="PPI",'ENG_SCEN'!$M$35,IF('IN_COST'!$G$48="ENERGY",'ENG_SCEN'!$M$34,IF('IN_COST'!$G$48="WAGE",'ENG_SCEN'!$M$33,IF('IN_COST'!$G$48="CPI",'ENG_SCEN'!$M$32,1))))),IF('IN_COST'!$E$48="PCT_REV",'ENG_OPS'!$M$81*'IN_COST'!$F$48,IF('IN_COST'!$E$48="PCT_ASSET",'ENG_CAPEX'!$M$84*'IN_COST'!$F$48,IF('IN_COST'!$E$48="DEP",'ENG_CAPEX'!$M$81,IF('IN_COST'!$E$48="PAY",INDEX('IN_COST'!$D$15:$D$19,IFERROR(VALUE(MID('IN_COST'!$F$48,FIND(":",'IN_COST'!$F$48)+1,2)),1))*INDEX('IN_COST'!$E$15:$E$19,IFERROR(VALUE(MID('IN_COST'!$F$48,FIND(":",'IN_COST'!$F$48)+1,2)),1))*'IN_COST'!$D$10*'IN_COST'!$D$11*'ENG_SCEN'!$M$33,IF('IN_COST'!$E$48="SRV",SUM(INDEX('ENG_ALLOC'!$D$29:$P$58,(IFERROR(VALUE(MID('IN_COST'!$F$48,FIND(":",'IN_COST'!$F$48)+1,2)),1)-1)*6+1,10):INDEX('ENG_ALLOC'!$D$29:$P$58,IFERROR(VALUE(MID('IN_COST'!$F$48,FIND(":",'IN_COST'!$F$48)+1,2)),1)*6,10)),0)))))))))))*IF('IN_COST'!$E$48="DEP",'ENG_SCEN'!$G$16,IF('IN_COST'!$I$48="V",IF('IN_COST'!$E$48="SCRAP_LME",'ENG_SCEN'!$G$13,'ENG_SCEN'!$G$14),'ENG_SCEN'!$G$15))</f>
        <v/>
      </c>
      <c r="N62" s="33">
        <f>'IN_MACRO'!$N$34*IF('IN_COST'!$E$48="SCRAP_LME",'ENG_OPS'!$N$20*'IN_COST'!$F$48*'ENG_SCEN'!$N$37,IF('IN_COST'!$E$48="PER_TON_BATT",'ENG_OPS'!$N$20*'IN_COST'!$F$48*IF('IN_COST'!$G$48="FX",'ENG_SCEN'!$N$36,IF('IN_COST'!$G$48="PPI",'ENG_SCEN'!$N$35,IF('IN_COST'!$G$48="ENERGY",'ENG_SCEN'!$N$34,IF('IN_COST'!$G$48="WAGE",'ENG_SCEN'!$N$33,IF('IN_COST'!$G$48="CPI",'ENG_SCEN'!$N$32,1))))),IF('IN_COST'!$E$48="PER_TON_PROD",'ENG_OPS'!$N$43*'IN_COST'!$F$48*IF('IN_COST'!$G$48="FX",'ENG_SCEN'!$N$36,IF('IN_COST'!$G$48="PPI",'ENG_SCEN'!$N$35,IF('IN_COST'!$G$48="ENERGY",'ENG_SCEN'!$N$34,IF('IN_COST'!$G$48="WAGE",'ENG_SCEN'!$N$33,IF('IN_COST'!$G$48="CPI",'ENG_SCEN'!$N$32,1))))),IF('IN_COST'!$E$48="PER_KWH",'ENG_OPS'!$N$63*'IN_COST'!$F$48*IF('IN_COST'!$G$48="FX",'ENG_SCEN'!$N$36,IF('IN_COST'!$G$48="PPI",'ENG_SCEN'!$N$35,IF('IN_COST'!$G$48="ENERGY",'ENG_SCEN'!$N$34,IF('IN_COST'!$G$48="WAGE",'ENG_SCEN'!$N$33,IF('IN_COST'!$G$48="CPI",'ENG_SCEN'!$N$32,1))))),IF('IN_COST'!$E$48="PER_M3",'ENG_OPS'!$N$64*'IN_COST'!$F$48*IF('IN_COST'!$G$48="FX",'ENG_SCEN'!$N$36,IF('IN_COST'!$G$48="PPI",'ENG_SCEN'!$N$35,IF('IN_COST'!$G$48="ENERGY",'ENG_SCEN'!$N$34,IF('IN_COST'!$G$48="WAGE",'ENG_SCEN'!$N$33,IF('IN_COST'!$G$48="CPI",'ENG_SCEN'!$N$32,1))))),IF('IN_COST'!$E$48="ANNUAL",'IN_COST'!$F$48*IF('IN_COST'!$G$48="FX",'ENG_SCEN'!$N$36,IF('IN_COST'!$G$48="PPI",'ENG_SCEN'!$N$35,IF('IN_COST'!$G$48="ENERGY",'ENG_SCEN'!$N$34,IF('IN_COST'!$G$48="WAGE",'ENG_SCEN'!$N$33,IF('IN_COST'!$G$48="CPI",'ENG_SCEN'!$N$32,1))))),IF('IN_COST'!$E$48="PCT_REV",'ENG_OPS'!$N$81*'IN_COST'!$F$48,IF('IN_COST'!$E$48="PCT_ASSET",'ENG_CAPEX'!$N$84*'IN_COST'!$F$48,IF('IN_COST'!$E$48="DEP",'ENG_CAPEX'!$N$81,IF('IN_COST'!$E$48="PAY",INDEX('IN_COST'!$D$15:$D$19,IFERROR(VALUE(MID('IN_COST'!$F$48,FIND(":",'IN_COST'!$F$48)+1,2)),1))*INDEX('IN_COST'!$E$15:$E$19,IFERROR(VALUE(MID('IN_COST'!$F$48,FIND(":",'IN_COST'!$F$48)+1,2)),1))*'IN_COST'!$D$10*'IN_COST'!$D$11*'ENG_SCEN'!$N$33,IF('IN_COST'!$E$48="SRV",SUM(INDEX('ENG_ALLOC'!$D$29:$P$58,(IFERROR(VALUE(MID('IN_COST'!$F$48,FIND(":",'IN_COST'!$F$48)+1,2)),1)-1)*6+1,11):INDEX('ENG_ALLOC'!$D$29:$P$58,IFERROR(VALUE(MID('IN_COST'!$F$48,FIND(":",'IN_COST'!$F$48)+1,2)),1)*6,11)),0)))))))))))*IF('IN_COST'!$E$48="DEP",'ENG_SCEN'!$G$16,IF('IN_COST'!$I$48="V",IF('IN_COST'!$E$48="SCRAP_LME",'ENG_SCEN'!$G$13,'ENG_SCEN'!$G$14),'ENG_SCEN'!$G$15))</f>
        <v/>
      </c>
      <c r="O62" s="33">
        <f>'IN_MACRO'!$O$34*IF('IN_COST'!$E$48="SCRAP_LME",'ENG_OPS'!$O$20*'IN_COST'!$F$48*'ENG_SCEN'!$O$37,IF('IN_COST'!$E$48="PER_TON_BATT",'ENG_OPS'!$O$20*'IN_COST'!$F$48*IF('IN_COST'!$G$48="FX",'ENG_SCEN'!$O$36,IF('IN_COST'!$G$48="PPI",'ENG_SCEN'!$O$35,IF('IN_COST'!$G$48="ENERGY",'ENG_SCEN'!$O$34,IF('IN_COST'!$G$48="WAGE",'ENG_SCEN'!$O$33,IF('IN_COST'!$G$48="CPI",'ENG_SCEN'!$O$32,1))))),IF('IN_COST'!$E$48="PER_TON_PROD",'ENG_OPS'!$O$43*'IN_COST'!$F$48*IF('IN_COST'!$G$48="FX",'ENG_SCEN'!$O$36,IF('IN_COST'!$G$48="PPI",'ENG_SCEN'!$O$35,IF('IN_COST'!$G$48="ENERGY",'ENG_SCEN'!$O$34,IF('IN_COST'!$G$48="WAGE",'ENG_SCEN'!$O$33,IF('IN_COST'!$G$48="CPI",'ENG_SCEN'!$O$32,1))))),IF('IN_COST'!$E$48="PER_KWH",'ENG_OPS'!$O$63*'IN_COST'!$F$48*IF('IN_COST'!$G$48="FX",'ENG_SCEN'!$O$36,IF('IN_COST'!$G$48="PPI",'ENG_SCEN'!$O$35,IF('IN_COST'!$G$48="ENERGY",'ENG_SCEN'!$O$34,IF('IN_COST'!$G$48="WAGE",'ENG_SCEN'!$O$33,IF('IN_COST'!$G$48="CPI",'ENG_SCEN'!$O$32,1))))),IF('IN_COST'!$E$48="PER_M3",'ENG_OPS'!$O$64*'IN_COST'!$F$48*IF('IN_COST'!$G$48="FX",'ENG_SCEN'!$O$36,IF('IN_COST'!$G$48="PPI",'ENG_SCEN'!$O$35,IF('IN_COST'!$G$48="ENERGY",'ENG_SCEN'!$O$34,IF('IN_COST'!$G$48="WAGE",'ENG_SCEN'!$O$33,IF('IN_COST'!$G$48="CPI",'ENG_SCEN'!$O$32,1))))),IF('IN_COST'!$E$48="ANNUAL",'IN_COST'!$F$48*IF('IN_COST'!$G$48="FX",'ENG_SCEN'!$O$36,IF('IN_COST'!$G$48="PPI",'ENG_SCEN'!$O$35,IF('IN_COST'!$G$48="ENERGY",'ENG_SCEN'!$O$34,IF('IN_COST'!$G$48="WAGE",'ENG_SCEN'!$O$33,IF('IN_COST'!$G$48="CPI",'ENG_SCEN'!$O$32,1))))),IF('IN_COST'!$E$48="PCT_REV",'ENG_OPS'!$O$81*'IN_COST'!$F$48,IF('IN_COST'!$E$48="PCT_ASSET",'ENG_CAPEX'!$O$84*'IN_COST'!$F$48,IF('IN_COST'!$E$48="DEP",'ENG_CAPEX'!$O$81,IF('IN_COST'!$E$48="PAY",INDEX('IN_COST'!$D$15:$D$19,IFERROR(VALUE(MID('IN_COST'!$F$48,FIND(":",'IN_COST'!$F$48)+1,2)),1))*INDEX('IN_COST'!$E$15:$E$19,IFERROR(VALUE(MID('IN_COST'!$F$48,FIND(":",'IN_COST'!$F$48)+1,2)),1))*'IN_COST'!$D$10*'IN_COST'!$D$11*'ENG_SCEN'!$O$33,IF('IN_COST'!$E$48="SRV",SUM(INDEX('ENG_ALLOC'!$D$29:$P$58,(IFERROR(VALUE(MID('IN_COST'!$F$48,FIND(":",'IN_COST'!$F$48)+1,2)),1)-1)*6+1,12):INDEX('ENG_ALLOC'!$D$29:$P$58,IFERROR(VALUE(MID('IN_COST'!$F$48,FIND(":",'IN_COST'!$F$48)+1,2)),1)*6,12)),0)))))))))))*IF('IN_COST'!$E$48="DEP",'ENG_SCEN'!$G$16,IF('IN_COST'!$I$48="V",IF('IN_COST'!$E$48="SCRAP_LME",'ENG_SCEN'!$G$13,'ENG_SCEN'!$G$14),'ENG_SCEN'!$G$15))</f>
        <v/>
      </c>
      <c r="P62" s="33">
        <f>'IN_MACRO'!$P$34*IF('IN_COST'!$E$48="SCRAP_LME",'ENG_OPS'!$P$20*'IN_COST'!$F$48*'ENG_SCEN'!$P$37,IF('IN_COST'!$E$48="PER_TON_BATT",'ENG_OPS'!$P$20*'IN_COST'!$F$48*IF('IN_COST'!$G$48="FX",'ENG_SCEN'!$P$36,IF('IN_COST'!$G$48="PPI",'ENG_SCEN'!$P$35,IF('IN_COST'!$G$48="ENERGY",'ENG_SCEN'!$P$34,IF('IN_COST'!$G$48="WAGE",'ENG_SCEN'!$P$33,IF('IN_COST'!$G$48="CPI",'ENG_SCEN'!$P$32,1))))),IF('IN_COST'!$E$48="PER_TON_PROD",'ENG_OPS'!$P$43*'IN_COST'!$F$48*IF('IN_COST'!$G$48="FX",'ENG_SCEN'!$P$36,IF('IN_COST'!$G$48="PPI",'ENG_SCEN'!$P$35,IF('IN_COST'!$G$48="ENERGY",'ENG_SCEN'!$P$34,IF('IN_COST'!$G$48="WAGE",'ENG_SCEN'!$P$33,IF('IN_COST'!$G$48="CPI",'ENG_SCEN'!$P$32,1))))),IF('IN_COST'!$E$48="PER_KWH",'ENG_OPS'!$P$63*'IN_COST'!$F$48*IF('IN_COST'!$G$48="FX",'ENG_SCEN'!$P$36,IF('IN_COST'!$G$48="PPI",'ENG_SCEN'!$P$35,IF('IN_COST'!$G$48="ENERGY",'ENG_SCEN'!$P$34,IF('IN_COST'!$G$48="WAGE",'ENG_SCEN'!$P$33,IF('IN_COST'!$G$48="CPI",'ENG_SCEN'!$P$32,1))))),IF('IN_COST'!$E$48="PER_M3",'ENG_OPS'!$P$64*'IN_COST'!$F$48*IF('IN_COST'!$G$48="FX",'ENG_SCEN'!$P$36,IF('IN_COST'!$G$48="PPI",'ENG_SCEN'!$P$35,IF('IN_COST'!$G$48="ENERGY",'ENG_SCEN'!$P$34,IF('IN_COST'!$G$48="WAGE",'ENG_SCEN'!$P$33,IF('IN_COST'!$G$48="CPI",'ENG_SCEN'!$P$32,1))))),IF('IN_COST'!$E$48="ANNUAL",'IN_COST'!$F$48*IF('IN_COST'!$G$48="FX",'ENG_SCEN'!$P$36,IF('IN_COST'!$G$48="PPI",'ENG_SCEN'!$P$35,IF('IN_COST'!$G$48="ENERGY",'ENG_SCEN'!$P$34,IF('IN_COST'!$G$48="WAGE",'ENG_SCEN'!$P$33,IF('IN_COST'!$G$48="CPI",'ENG_SCEN'!$P$32,1))))),IF('IN_COST'!$E$48="PCT_REV",'ENG_OPS'!$P$81*'IN_COST'!$F$48,IF('IN_COST'!$E$48="PCT_ASSET",'ENG_CAPEX'!$P$84*'IN_COST'!$F$48,IF('IN_COST'!$E$48="DEP",'ENG_CAPEX'!$P$81,IF('IN_COST'!$E$48="PAY",INDEX('IN_COST'!$D$15:$D$19,IFERROR(VALUE(MID('IN_COST'!$F$48,FIND(":",'IN_COST'!$F$48)+1,2)),1))*INDEX('IN_COST'!$E$15:$E$19,IFERROR(VALUE(MID('IN_COST'!$F$48,FIND(":",'IN_COST'!$F$48)+1,2)),1))*'IN_COST'!$D$10*'IN_COST'!$D$11*'ENG_SCEN'!$P$33,IF('IN_COST'!$E$48="SRV",SUM(INDEX('ENG_ALLOC'!$D$29:$P$58,(IFERROR(VALUE(MID('IN_COST'!$F$48,FIND(":",'IN_COST'!$F$48)+1,2)),1)-1)*6+1,13):INDEX('ENG_ALLOC'!$D$29:$P$58,IFERROR(VALUE(MID('IN_COST'!$F$48,FIND(":",'IN_COST'!$F$48)+1,2)),1)*6,13)),0)))))))))))*IF('IN_COST'!$E$48="DEP",'ENG_SCEN'!$G$16,IF('IN_COST'!$I$48="V",IF('IN_COST'!$E$48="SCRAP_LME",'ENG_SCEN'!$G$13,'ENG_SCEN'!$G$14),'ENG_SCEN'!$G$15))</f>
        <v/>
      </c>
    </row>
    <row r="63">
      <c r="A63" s="15" t="inlineStr">
        <is>
          <t>FPC-02 | بیمه دارایی‌ها</t>
        </is>
      </c>
      <c r="B63" s="16" t="inlineStr">
        <is>
          <t>EC.tot.16</t>
        </is>
      </c>
      <c r="C63" s="17" t="inlineStr">
        <is>
          <t>میلیون ریال</t>
        </is>
      </c>
      <c r="D63" s="33">
        <f>'IN_MACRO'!$D$34*IF('IN_COST'!$E$49="SCRAP_LME",'ENG_OPS'!$D$20*'IN_COST'!$F$49*'ENG_SCEN'!$D$37,IF('IN_COST'!$E$49="PER_TON_BATT",'ENG_OPS'!$D$20*'IN_COST'!$F$49*IF('IN_COST'!$G$49="FX",'ENG_SCEN'!$D$36,IF('IN_COST'!$G$49="PPI",'ENG_SCEN'!$D$35,IF('IN_COST'!$G$49="ENERGY",'ENG_SCEN'!$D$34,IF('IN_COST'!$G$49="WAGE",'ENG_SCEN'!$D$33,IF('IN_COST'!$G$49="CPI",'ENG_SCEN'!$D$32,1))))),IF('IN_COST'!$E$49="PER_TON_PROD",'ENG_OPS'!$D$43*'IN_COST'!$F$49*IF('IN_COST'!$G$49="FX",'ENG_SCEN'!$D$36,IF('IN_COST'!$G$49="PPI",'ENG_SCEN'!$D$35,IF('IN_COST'!$G$49="ENERGY",'ENG_SCEN'!$D$34,IF('IN_COST'!$G$49="WAGE",'ENG_SCEN'!$D$33,IF('IN_COST'!$G$49="CPI",'ENG_SCEN'!$D$32,1))))),IF('IN_COST'!$E$49="PER_KWH",'ENG_OPS'!$D$63*'IN_COST'!$F$49*IF('IN_COST'!$G$49="FX",'ENG_SCEN'!$D$36,IF('IN_COST'!$G$49="PPI",'ENG_SCEN'!$D$35,IF('IN_COST'!$G$49="ENERGY",'ENG_SCEN'!$D$34,IF('IN_COST'!$G$49="WAGE",'ENG_SCEN'!$D$33,IF('IN_COST'!$G$49="CPI",'ENG_SCEN'!$D$32,1))))),IF('IN_COST'!$E$49="PER_M3",'ENG_OPS'!$D$64*'IN_COST'!$F$49*IF('IN_COST'!$G$49="FX",'ENG_SCEN'!$D$36,IF('IN_COST'!$G$49="PPI",'ENG_SCEN'!$D$35,IF('IN_COST'!$G$49="ENERGY",'ENG_SCEN'!$D$34,IF('IN_COST'!$G$49="WAGE",'ENG_SCEN'!$D$33,IF('IN_COST'!$G$49="CPI",'ENG_SCEN'!$D$32,1))))),IF('IN_COST'!$E$49="ANNUAL",'IN_COST'!$F$49*IF('IN_COST'!$G$49="FX",'ENG_SCEN'!$D$36,IF('IN_COST'!$G$49="PPI",'ENG_SCEN'!$D$35,IF('IN_COST'!$G$49="ENERGY",'ENG_SCEN'!$D$34,IF('IN_COST'!$G$49="WAGE",'ENG_SCEN'!$D$33,IF('IN_COST'!$G$49="CPI",'ENG_SCEN'!$D$32,1))))),IF('IN_COST'!$E$49="PCT_REV",'ENG_OPS'!$D$81*'IN_COST'!$F$49,IF('IN_COST'!$E$49="PCT_ASSET",'ENG_CAPEX'!$D$84*'IN_COST'!$F$49,IF('IN_COST'!$E$49="DEP",'ENG_CAPEX'!$D$81,IF('IN_COST'!$E$49="PAY",INDEX('IN_COST'!$D$15:$D$19,IFERROR(VALUE(MID('IN_COST'!$F$49,FIND(":",'IN_COST'!$F$49)+1,2)),1))*INDEX('IN_COST'!$E$15:$E$19,IFERROR(VALUE(MID('IN_COST'!$F$49,FIND(":",'IN_COST'!$F$49)+1,2)),1))*'IN_COST'!$D$10*'IN_COST'!$D$11*'ENG_SCEN'!$D$33,IF('IN_COST'!$E$49="SRV",SUM(INDEX('ENG_ALLOC'!$D$29:$P$58,(IFERROR(VALUE(MID('IN_COST'!$F$49,FIND(":",'IN_COST'!$F$49)+1,2)),1)-1)*6+1,1):INDEX('ENG_ALLOC'!$D$29:$P$58,IFERROR(VALUE(MID('IN_COST'!$F$49,FIND(":",'IN_COST'!$F$49)+1,2)),1)*6,1)),0)))))))))))*IF('IN_COST'!$E$49="DEP",'ENG_SCEN'!$G$16,IF('IN_COST'!$I$49="V",IF('IN_COST'!$E$49="SCRAP_LME",'ENG_SCEN'!$G$13,'ENG_SCEN'!$G$14),'ENG_SCEN'!$G$15))</f>
        <v/>
      </c>
      <c r="E63" s="33">
        <f>'IN_MACRO'!$E$34*IF('IN_COST'!$E$49="SCRAP_LME",'ENG_OPS'!$E$20*'IN_COST'!$F$49*'ENG_SCEN'!$E$37,IF('IN_COST'!$E$49="PER_TON_BATT",'ENG_OPS'!$E$20*'IN_COST'!$F$49*IF('IN_COST'!$G$49="FX",'ENG_SCEN'!$E$36,IF('IN_COST'!$G$49="PPI",'ENG_SCEN'!$E$35,IF('IN_COST'!$G$49="ENERGY",'ENG_SCEN'!$E$34,IF('IN_COST'!$G$49="WAGE",'ENG_SCEN'!$E$33,IF('IN_COST'!$G$49="CPI",'ENG_SCEN'!$E$32,1))))),IF('IN_COST'!$E$49="PER_TON_PROD",'ENG_OPS'!$E$43*'IN_COST'!$F$49*IF('IN_COST'!$G$49="FX",'ENG_SCEN'!$E$36,IF('IN_COST'!$G$49="PPI",'ENG_SCEN'!$E$35,IF('IN_COST'!$G$49="ENERGY",'ENG_SCEN'!$E$34,IF('IN_COST'!$G$49="WAGE",'ENG_SCEN'!$E$33,IF('IN_COST'!$G$49="CPI",'ENG_SCEN'!$E$32,1))))),IF('IN_COST'!$E$49="PER_KWH",'ENG_OPS'!$E$63*'IN_COST'!$F$49*IF('IN_COST'!$G$49="FX",'ENG_SCEN'!$E$36,IF('IN_COST'!$G$49="PPI",'ENG_SCEN'!$E$35,IF('IN_COST'!$G$49="ENERGY",'ENG_SCEN'!$E$34,IF('IN_COST'!$G$49="WAGE",'ENG_SCEN'!$E$33,IF('IN_COST'!$G$49="CPI",'ENG_SCEN'!$E$32,1))))),IF('IN_COST'!$E$49="PER_M3",'ENG_OPS'!$E$64*'IN_COST'!$F$49*IF('IN_COST'!$G$49="FX",'ENG_SCEN'!$E$36,IF('IN_COST'!$G$49="PPI",'ENG_SCEN'!$E$35,IF('IN_COST'!$G$49="ENERGY",'ENG_SCEN'!$E$34,IF('IN_COST'!$G$49="WAGE",'ENG_SCEN'!$E$33,IF('IN_COST'!$G$49="CPI",'ENG_SCEN'!$E$32,1))))),IF('IN_COST'!$E$49="ANNUAL",'IN_COST'!$F$49*IF('IN_COST'!$G$49="FX",'ENG_SCEN'!$E$36,IF('IN_COST'!$G$49="PPI",'ENG_SCEN'!$E$35,IF('IN_COST'!$G$49="ENERGY",'ENG_SCEN'!$E$34,IF('IN_COST'!$G$49="WAGE",'ENG_SCEN'!$E$33,IF('IN_COST'!$G$49="CPI",'ENG_SCEN'!$E$32,1))))),IF('IN_COST'!$E$49="PCT_REV",'ENG_OPS'!$E$81*'IN_COST'!$F$49,IF('IN_COST'!$E$49="PCT_ASSET",'ENG_CAPEX'!$E$84*'IN_COST'!$F$49,IF('IN_COST'!$E$49="DEP",'ENG_CAPEX'!$E$81,IF('IN_COST'!$E$49="PAY",INDEX('IN_COST'!$D$15:$D$19,IFERROR(VALUE(MID('IN_COST'!$F$49,FIND(":",'IN_COST'!$F$49)+1,2)),1))*INDEX('IN_COST'!$E$15:$E$19,IFERROR(VALUE(MID('IN_COST'!$F$49,FIND(":",'IN_COST'!$F$49)+1,2)),1))*'IN_COST'!$D$10*'IN_COST'!$D$11*'ENG_SCEN'!$E$33,IF('IN_COST'!$E$49="SRV",SUM(INDEX('ENG_ALLOC'!$D$29:$P$58,(IFERROR(VALUE(MID('IN_COST'!$F$49,FIND(":",'IN_COST'!$F$49)+1,2)),1)-1)*6+1,2):INDEX('ENG_ALLOC'!$D$29:$P$58,IFERROR(VALUE(MID('IN_COST'!$F$49,FIND(":",'IN_COST'!$F$49)+1,2)),1)*6,2)),0)))))))))))*IF('IN_COST'!$E$49="DEP",'ENG_SCEN'!$G$16,IF('IN_COST'!$I$49="V",IF('IN_COST'!$E$49="SCRAP_LME",'ENG_SCEN'!$G$13,'ENG_SCEN'!$G$14),'ENG_SCEN'!$G$15))</f>
        <v/>
      </c>
      <c r="F63" s="33">
        <f>'IN_MACRO'!$F$34*IF('IN_COST'!$E$49="SCRAP_LME",'ENG_OPS'!$F$20*'IN_COST'!$F$49*'ENG_SCEN'!$F$37,IF('IN_COST'!$E$49="PER_TON_BATT",'ENG_OPS'!$F$20*'IN_COST'!$F$49*IF('IN_COST'!$G$49="FX",'ENG_SCEN'!$F$36,IF('IN_COST'!$G$49="PPI",'ENG_SCEN'!$F$35,IF('IN_COST'!$G$49="ENERGY",'ENG_SCEN'!$F$34,IF('IN_COST'!$G$49="WAGE",'ENG_SCEN'!$F$33,IF('IN_COST'!$G$49="CPI",'ENG_SCEN'!$F$32,1))))),IF('IN_COST'!$E$49="PER_TON_PROD",'ENG_OPS'!$F$43*'IN_COST'!$F$49*IF('IN_COST'!$G$49="FX",'ENG_SCEN'!$F$36,IF('IN_COST'!$G$49="PPI",'ENG_SCEN'!$F$35,IF('IN_COST'!$G$49="ENERGY",'ENG_SCEN'!$F$34,IF('IN_COST'!$G$49="WAGE",'ENG_SCEN'!$F$33,IF('IN_COST'!$G$49="CPI",'ENG_SCEN'!$F$32,1))))),IF('IN_COST'!$E$49="PER_KWH",'ENG_OPS'!$F$63*'IN_COST'!$F$49*IF('IN_COST'!$G$49="FX",'ENG_SCEN'!$F$36,IF('IN_COST'!$G$49="PPI",'ENG_SCEN'!$F$35,IF('IN_COST'!$G$49="ENERGY",'ENG_SCEN'!$F$34,IF('IN_COST'!$G$49="WAGE",'ENG_SCEN'!$F$33,IF('IN_COST'!$G$49="CPI",'ENG_SCEN'!$F$32,1))))),IF('IN_COST'!$E$49="PER_M3",'ENG_OPS'!$F$64*'IN_COST'!$F$49*IF('IN_COST'!$G$49="FX",'ENG_SCEN'!$F$36,IF('IN_COST'!$G$49="PPI",'ENG_SCEN'!$F$35,IF('IN_COST'!$G$49="ENERGY",'ENG_SCEN'!$F$34,IF('IN_COST'!$G$49="WAGE",'ENG_SCEN'!$F$33,IF('IN_COST'!$G$49="CPI",'ENG_SCEN'!$F$32,1))))),IF('IN_COST'!$E$49="ANNUAL",'IN_COST'!$F$49*IF('IN_COST'!$G$49="FX",'ENG_SCEN'!$F$36,IF('IN_COST'!$G$49="PPI",'ENG_SCEN'!$F$35,IF('IN_COST'!$G$49="ENERGY",'ENG_SCEN'!$F$34,IF('IN_COST'!$G$49="WAGE",'ENG_SCEN'!$F$33,IF('IN_COST'!$G$49="CPI",'ENG_SCEN'!$F$32,1))))),IF('IN_COST'!$E$49="PCT_REV",'ENG_OPS'!$F$81*'IN_COST'!$F$49,IF('IN_COST'!$E$49="PCT_ASSET",'ENG_CAPEX'!$F$84*'IN_COST'!$F$49,IF('IN_COST'!$E$49="DEP",'ENG_CAPEX'!$F$81,IF('IN_COST'!$E$49="PAY",INDEX('IN_COST'!$D$15:$D$19,IFERROR(VALUE(MID('IN_COST'!$F$49,FIND(":",'IN_COST'!$F$49)+1,2)),1))*INDEX('IN_COST'!$E$15:$E$19,IFERROR(VALUE(MID('IN_COST'!$F$49,FIND(":",'IN_COST'!$F$49)+1,2)),1))*'IN_COST'!$D$10*'IN_COST'!$D$11*'ENG_SCEN'!$F$33,IF('IN_COST'!$E$49="SRV",SUM(INDEX('ENG_ALLOC'!$D$29:$P$58,(IFERROR(VALUE(MID('IN_COST'!$F$49,FIND(":",'IN_COST'!$F$49)+1,2)),1)-1)*6+1,3):INDEX('ENG_ALLOC'!$D$29:$P$58,IFERROR(VALUE(MID('IN_COST'!$F$49,FIND(":",'IN_COST'!$F$49)+1,2)),1)*6,3)),0)))))))))))*IF('IN_COST'!$E$49="DEP",'ENG_SCEN'!$G$16,IF('IN_COST'!$I$49="V",IF('IN_COST'!$E$49="SCRAP_LME",'ENG_SCEN'!$G$13,'ENG_SCEN'!$G$14),'ENG_SCEN'!$G$15))</f>
        <v/>
      </c>
      <c r="G63" s="33">
        <f>'IN_MACRO'!$G$34*IF('IN_COST'!$E$49="SCRAP_LME",'ENG_OPS'!$G$20*'IN_COST'!$F$49*'ENG_SCEN'!$G$37,IF('IN_COST'!$E$49="PER_TON_BATT",'ENG_OPS'!$G$20*'IN_COST'!$F$49*IF('IN_COST'!$G$49="FX",'ENG_SCEN'!$G$36,IF('IN_COST'!$G$49="PPI",'ENG_SCEN'!$G$35,IF('IN_COST'!$G$49="ENERGY",'ENG_SCEN'!$G$34,IF('IN_COST'!$G$49="WAGE",'ENG_SCEN'!$G$33,IF('IN_COST'!$G$49="CPI",'ENG_SCEN'!$G$32,1))))),IF('IN_COST'!$E$49="PER_TON_PROD",'ENG_OPS'!$G$43*'IN_COST'!$F$49*IF('IN_COST'!$G$49="FX",'ENG_SCEN'!$G$36,IF('IN_COST'!$G$49="PPI",'ENG_SCEN'!$G$35,IF('IN_COST'!$G$49="ENERGY",'ENG_SCEN'!$G$34,IF('IN_COST'!$G$49="WAGE",'ENG_SCEN'!$G$33,IF('IN_COST'!$G$49="CPI",'ENG_SCEN'!$G$32,1))))),IF('IN_COST'!$E$49="PER_KWH",'ENG_OPS'!$G$63*'IN_COST'!$F$49*IF('IN_COST'!$G$49="FX",'ENG_SCEN'!$G$36,IF('IN_COST'!$G$49="PPI",'ENG_SCEN'!$G$35,IF('IN_COST'!$G$49="ENERGY",'ENG_SCEN'!$G$34,IF('IN_COST'!$G$49="WAGE",'ENG_SCEN'!$G$33,IF('IN_COST'!$G$49="CPI",'ENG_SCEN'!$G$32,1))))),IF('IN_COST'!$E$49="PER_M3",'ENG_OPS'!$G$64*'IN_COST'!$F$49*IF('IN_COST'!$G$49="FX",'ENG_SCEN'!$G$36,IF('IN_COST'!$G$49="PPI",'ENG_SCEN'!$G$35,IF('IN_COST'!$G$49="ENERGY",'ENG_SCEN'!$G$34,IF('IN_COST'!$G$49="WAGE",'ENG_SCEN'!$G$33,IF('IN_COST'!$G$49="CPI",'ENG_SCEN'!$G$32,1))))),IF('IN_COST'!$E$49="ANNUAL",'IN_COST'!$F$49*IF('IN_COST'!$G$49="FX",'ENG_SCEN'!$G$36,IF('IN_COST'!$G$49="PPI",'ENG_SCEN'!$G$35,IF('IN_COST'!$G$49="ENERGY",'ENG_SCEN'!$G$34,IF('IN_COST'!$G$49="WAGE",'ENG_SCEN'!$G$33,IF('IN_COST'!$G$49="CPI",'ENG_SCEN'!$G$32,1))))),IF('IN_COST'!$E$49="PCT_REV",'ENG_OPS'!$G$81*'IN_COST'!$F$49,IF('IN_COST'!$E$49="PCT_ASSET",'ENG_CAPEX'!$G$84*'IN_COST'!$F$49,IF('IN_COST'!$E$49="DEP",'ENG_CAPEX'!$G$81,IF('IN_COST'!$E$49="PAY",INDEX('IN_COST'!$D$15:$D$19,IFERROR(VALUE(MID('IN_COST'!$F$49,FIND(":",'IN_COST'!$F$49)+1,2)),1))*INDEX('IN_COST'!$E$15:$E$19,IFERROR(VALUE(MID('IN_COST'!$F$49,FIND(":",'IN_COST'!$F$49)+1,2)),1))*'IN_COST'!$D$10*'IN_COST'!$D$11*'ENG_SCEN'!$G$33,IF('IN_COST'!$E$49="SRV",SUM(INDEX('ENG_ALLOC'!$D$29:$P$58,(IFERROR(VALUE(MID('IN_COST'!$F$49,FIND(":",'IN_COST'!$F$49)+1,2)),1)-1)*6+1,4):INDEX('ENG_ALLOC'!$D$29:$P$58,IFERROR(VALUE(MID('IN_COST'!$F$49,FIND(":",'IN_COST'!$F$49)+1,2)),1)*6,4)),0)))))))))))*IF('IN_COST'!$E$49="DEP",'ENG_SCEN'!$G$16,IF('IN_COST'!$I$49="V",IF('IN_COST'!$E$49="SCRAP_LME",'ENG_SCEN'!$G$13,'ENG_SCEN'!$G$14),'ENG_SCEN'!$G$15))</f>
        <v/>
      </c>
      <c r="H63" s="33">
        <f>'IN_MACRO'!$H$34*IF('IN_COST'!$E$49="SCRAP_LME",'ENG_OPS'!$H$20*'IN_COST'!$F$49*'ENG_SCEN'!$H$37,IF('IN_COST'!$E$49="PER_TON_BATT",'ENG_OPS'!$H$20*'IN_COST'!$F$49*IF('IN_COST'!$G$49="FX",'ENG_SCEN'!$H$36,IF('IN_COST'!$G$49="PPI",'ENG_SCEN'!$H$35,IF('IN_COST'!$G$49="ENERGY",'ENG_SCEN'!$H$34,IF('IN_COST'!$G$49="WAGE",'ENG_SCEN'!$H$33,IF('IN_COST'!$G$49="CPI",'ENG_SCEN'!$H$32,1))))),IF('IN_COST'!$E$49="PER_TON_PROD",'ENG_OPS'!$H$43*'IN_COST'!$F$49*IF('IN_COST'!$G$49="FX",'ENG_SCEN'!$H$36,IF('IN_COST'!$G$49="PPI",'ENG_SCEN'!$H$35,IF('IN_COST'!$G$49="ENERGY",'ENG_SCEN'!$H$34,IF('IN_COST'!$G$49="WAGE",'ENG_SCEN'!$H$33,IF('IN_COST'!$G$49="CPI",'ENG_SCEN'!$H$32,1))))),IF('IN_COST'!$E$49="PER_KWH",'ENG_OPS'!$H$63*'IN_COST'!$F$49*IF('IN_COST'!$G$49="FX",'ENG_SCEN'!$H$36,IF('IN_COST'!$G$49="PPI",'ENG_SCEN'!$H$35,IF('IN_COST'!$G$49="ENERGY",'ENG_SCEN'!$H$34,IF('IN_COST'!$G$49="WAGE",'ENG_SCEN'!$H$33,IF('IN_COST'!$G$49="CPI",'ENG_SCEN'!$H$32,1))))),IF('IN_COST'!$E$49="PER_M3",'ENG_OPS'!$H$64*'IN_COST'!$F$49*IF('IN_COST'!$G$49="FX",'ENG_SCEN'!$H$36,IF('IN_COST'!$G$49="PPI",'ENG_SCEN'!$H$35,IF('IN_COST'!$G$49="ENERGY",'ENG_SCEN'!$H$34,IF('IN_COST'!$G$49="WAGE",'ENG_SCEN'!$H$33,IF('IN_COST'!$G$49="CPI",'ENG_SCEN'!$H$32,1))))),IF('IN_COST'!$E$49="ANNUAL",'IN_COST'!$F$49*IF('IN_COST'!$G$49="FX",'ENG_SCEN'!$H$36,IF('IN_COST'!$G$49="PPI",'ENG_SCEN'!$H$35,IF('IN_COST'!$G$49="ENERGY",'ENG_SCEN'!$H$34,IF('IN_COST'!$G$49="WAGE",'ENG_SCEN'!$H$33,IF('IN_COST'!$G$49="CPI",'ENG_SCEN'!$H$32,1))))),IF('IN_COST'!$E$49="PCT_REV",'ENG_OPS'!$H$81*'IN_COST'!$F$49,IF('IN_COST'!$E$49="PCT_ASSET",'ENG_CAPEX'!$H$84*'IN_COST'!$F$49,IF('IN_COST'!$E$49="DEP",'ENG_CAPEX'!$H$81,IF('IN_COST'!$E$49="PAY",INDEX('IN_COST'!$D$15:$D$19,IFERROR(VALUE(MID('IN_COST'!$F$49,FIND(":",'IN_COST'!$F$49)+1,2)),1))*INDEX('IN_COST'!$E$15:$E$19,IFERROR(VALUE(MID('IN_COST'!$F$49,FIND(":",'IN_COST'!$F$49)+1,2)),1))*'IN_COST'!$D$10*'IN_COST'!$D$11*'ENG_SCEN'!$H$33,IF('IN_COST'!$E$49="SRV",SUM(INDEX('ENG_ALLOC'!$D$29:$P$58,(IFERROR(VALUE(MID('IN_COST'!$F$49,FIND(":",'IN_COST'!$F$49)+1,2)),1)-1)*6+1,5):INDEX('ENG_ALLOC'!$D$29:$P$58,IFERROR(VALUE(MID('IN_COST'!$F$49,FIND(":",'IN_COST'!$F$49)+1,2)),1)*6,5)),0)))))))))))*IF('IN_COST'!$E$49="DEP",'ENG_SCEN'!$G$16,IF('IN_COST'!$I$49="V",IF('IN_COST'!$E$49="SCRAP_LME",'ENG_SCEN'!$G$13,'ENG_SCEN'!$G$14),'ENG_SCEN'!$G$15))</f>
        <v/>
      </c>
      <c r="I63" s="33">
        <f>'IN_MACRO'!$I$34*IF('IN_COST'!$E$49="SCRAP_LME",'ENG_OPS'!$I$20*'IN_COST'!$F$49*'ENG_SCEN'!$I$37,IF('IN_COST'!$E$49="PER_TON_BATT",'ENG_OPS'!$I$20*'IN_COST'!$F$49*IF('IN_COST'!$G$49="FX",'ENG_SCEN'!$I$36,IF('IN_COST'!$G$49="PPI",'ENG_SCEN'!$I$35,IF('IN_COST'!$G$49="ENERGY",'ENG_SCEN'!$I$34,IF('IN_COST'!$G$49="WAGE",'ENG_SCEN'!$I$33,IF('IN_COST'!$G$49="CPI",'ENG_SCEN'!$I$32,1))))),IF('IN_COST'!$E$49="PER_TON_PROD",'ENG_OPS'!$I$43*'IN_COST'!$F$49*IF('IN_COST'!$G$49="FX",'ENG_SCEN'!$I$36,IF('IN_COST'!$G$49="PPI",'ENG_SCEN'!$I$35,IF('IN_COST'!$G$49="ENERGY",'ENG_SCEN'!$I$34,IF('IN_COST'!$G$49="WAGE",'ENG_SCEN'!$I$33,IF('IN_COST'!$G$49="CPI",'ENG_SCEN'!$I$32,1))))),IF('IN_COST'!$E$49="PER_KWH",'ENG_OPS'!$I$63*'IN_COST'!$F$49*IF('IN_COST'!$G$49="FX",'ENG_SCEN'!$I$36,IF('IN_COST'!$G$49="PPI",'ENG_SCEN'!$I$35,IF('IN_COST'!$G$49="ENERGY",'ENG_SCEN'!$I$34,IF('IN_COST'!$G$49="WAGE",'ENG_SCEN'!$I$33,IF('IN_COST'!$G$49="CPI",'ENG_SCEN'!$I$32,1))))),IF('IN_COST'!$E$49="PER_M3",'ENG_OPS'!$I$64*'IN_COST'!$F$49*IF('IN_COST'!$G$49="FX",'ENG_SCEN'!$I$36,IF('IN_COST'!$G$49="PPI",'ENG_SCEN'!$I$35,IF('IN_COST'!$G$49="ENERGY",'ENG_SCEN'!$I$34,IF('IN_COST'!$G$49="WAGE",'ENG_SCEN'!$I$33,IF('IN_COST'!$G$49="CPI",'ENG_SCEN'!$I$32,1))))),IF('IN_COST'!$E$49="ANNUAL",'IN_COST'!$F$49*IF('IN_COST'!$G$49="FX",'ENG_SCEN'!$I$36,IF('IN_COST'!$G$49="PPI",'ENG_SCEN'!$I$35,IF('IN_COST'!$G$49="ENERGY",'ENG_SCEN'!$I$34,IF('IN_COST'!$G$49="WAGE",'ENG_SCEN'!$I$33,IF('IN_COST'!$G$49="CPI",'ENG_SCEN'!$I$32,1))))),IF('IN_COST'!$E$49="PCT_REV",'ENG_OPS'!$I$81*'IN_COST'!$F$49,IF('IN_COST'!$E$49="PCT_ASSET",'ENG_CAPEX'!$I$84*'IN_COST'!$F$49,IF('IN_COST'!$E$49="DEP",'ENG_CAPEX'!$I$81,IF('IN_COST'!$E$49="PAY",INDEX('IN_COST'!$D$15:$D$19,IFERROR(VALUE(MID('IN_COST'!$F$49,FIND(":",'IN_COST'!$F$49)+1,2)),1))*INDEX('IN_COST'!$E$15:$E$19,IFERROR(VALUE(MID('IN_COST'!$F$49,FIND(":",'IN_COST'!$F$49)+1,2)),1))*'IN_COST'!$D$10*'IN_COST'!$D$11*'ENG_SCEN'!$I$33,IF('IN_COST'!$E$49="SRV",SUM(INDEX('ENG_ALLOC'!$D$29:$P$58,(IFERROR(VALUE(MID('IN_COST'!$F$49,FIND(":",'IN_COST'!$F$49)+1,2)),1)-1)*6+1,6):INDEX('ENG_ALLOC'!$D$29:$P$58,IFERROR(VALUE(MID('IN_COST'!$F$49,FIND(":",'IN_COST'!$F$49)+1,2)),1)*6,6)),0)))))))))))*IF('IN_COST'!$E$49="DEP",'ENG_SCEN'!$G$16,IF('IN_COST'!$I$49="V",IF('IN_COST'!$E$49="SCRAP_LME",'ENG_SCEN'!$G$13,'ENG_SCEN'!$G$14),'ENG_SCEN'!$G$15))</f>
        <v/>
      </c>
      <c r="J63" s="33">
        <f>'IN_MACRO'!$J$34*IF('IN_COST'!$E$49="SCRAP_LME",'ENG_OPS'!$J$20*'IN_COST'!$F$49*'ENG_SCEN'!$J$37,IF('IN_COST'!$E$49="PER_TON_BATT",'ENG_OPS'!$J$20*'IN_COST'!$F$49*IF('IN_COST'!$G$49="FX",'ENG_SCEN'!$J$36,IF('IN_COST'!$G$49="PPI",'ENG_SCEN'!$J$35,IF('IN_COST'!$G$49="ENERGY",'ENG_SCEN'!$J$34,IF('IN_COST'!$G$49="WAGE",'ENG_SCEN'!$J$33,IF('IN_COST'!$G$49="CPI",'ENG_SCEN'!$J$32,1))))),IF('IN_COST'!$E$49="PER_TON_PROD",'ENG_OPS'!$J$43*'IN_COST'!$F$49*IF('IN_COST'!$G$49="FX",'ENG_SCEN'!$J$36,IF('IN_COST'!$G$49="PPI",'ENG_SCEN'!$J$35,IF('IN_COST'!$G$49="ENERGY",'ENG_SCEN'!$J$34,IF('IN_COST'!$G$49="WAGE",'ENG_SCEN'!$J$33,IF('IN_COST'!$G$49="CPI",'ENG_SCEN'!$J$32,1))))),IF('IN_COST'!$E$49="PER_KWH",'ENG_OPS'!$J$63*'IN_COST'!$F$49*IF('IN_COST'!$G$49="FX",'ENG_SCEN'!$J$36,IF('IN_COST'!$G$49="PPI",'ENG_SCEN'!$J$35,IF('IN_COST'!$G$49="ENERGY",'ENG_SCEN'!$J$34,IF('IN_COST'!$G$49="WAGE",'ENG_SCEN'!$J$33,IF('IN_COST'!$G$49="CPI",'ENG_SCEN'!$J$32,1))))),IF('IN_COST'!$E$49="PER_M3",'ENG_OPS'!$J$64*'IN_COST'!$F$49*IF('IN_COST'!$G$49="FX",'ENG_SCEN'!$J$36,IF('IN_COST'!$G$49="PPI",'ENG_SCEN'!$J$35,IF('IN_COST'!$G$49="ENERGY",'ENG_SCEN'!$J$34,IF('IN_COST'!$G$49="WAGE",'ENG_SCEN'!$J$33,IF('IN_COST'!$G$49="CPI",'ENG_SCEN'!$J$32,1))))),IF('IN_COST'!$E$49="ANNUAL",'IN_COST'!$F$49*IF('IN_COST'!$G$49="FX",'ENG_SCEN'!$J$36,IF('IN_COST'!$G$49="PPI",'ENG_SCEN'!$J$35,IF('IN_COST'!$G$49="ENERGY",'ENG_SCEN'!$J$34,IF('IN_COST'!$G$49="WAGE",'ENG_SCEN'!$J$33,IF('IN_COST'!$G$49="CPI",'ENG_SCEN'!$J$32,1))))),IF('IN_COST'!$E$49="PCT_REV",'ENG_OPS'!$J$81*'IN_COST'!$F$49,IF('IN_COST'!$E$49="PCT_ASSET",'ENG_CAPEX'!$J$84*'IN_COST'!$F$49,IF('IN_COST'!$E$49="DEP",'ENG_CAPEX'!$J$81,IF('IN_COST'!$E$49="PAY",INDEX('IN_COST'!$D$15:$D$19,IFERROR(VALUE(MID('IN_COST'!$F$49,FIND(":",'IN_COST'!$F$49)+1,2)),1))*INDEX('IN_COST'!$E$15:$E$19,IFERROR(VALUE(MID('IN_COST'!$F$49,FIND(":",'IN_COST'!$F$49)+1,2)),1))*'IN_COST'!$D$10*'IN_COST'!$D$11*'ENG_SCEN'!$J$33,IF('IN_COST'!$E$49="SRV",SUM(INDEX('ENG_ALLOC'!$D$29:$P$58,(IFERROR(VALUE(MID('IN_COST'!$F$49,FIND(":",'IN_COST'!$F$49)+1,2)),1)-1)*6+1,7):INDEX('ENG_ALLOC'!$D$29:$P$58,IFERROR(VALUE(MID('IN_COST'!$F$49,FIND(":",'IN_COST'!$F$49)+1,2)),1)*6,7)),0)))))))))))*IF('IN_COST'!$E$49="DEP",'ENG_SCEN'!$G$16,IF('IN_COST'!$I$49="V",IF('IN_COST'!$E$49="SCRAP_LME",'ENG_SCEN'!$G$13,'ENG_SCEN'!$G$14),'ENG_SCEN'!$G$15))</f>
        <v/>
      </c>
      <c r="K63" s="33">
        <f>'IN_MACRO'!$K$34*IF('IN_COST'!$E$49="SCRAP_LME",'ENG_OPS'!$K$20*'IN_COST'!$F$49*'ENG_SCEN'!$K$37,IF('IN_COST'!$E$49="PER_TON_BATT",'ENG_OPS'!$K$20*'IN_COST'!$F$49*IF('IN_COST'!$G$49="FX",'ENG_SCEN'!$K$36,IF('IN_COST'!$G$49="PPI",'ENG_SCEN'!$K$35,IF('IN_COST'!$G$49="ENERGY",'ENG_SCEN'!$K$34,IF('IN_COST'!$G$49="WAGE",'ENG_SCEN'!$K$33,IF('IN_COST'!$G$49="CPI",'ENG_SCEN'!$K$32,1))))),IF('IN_COST'!$E$49="PER_TON_PROD",'ENG_OPS'!$K$43*'IN_COST'!$F$49*IF('IN_COST'!$G$49="FX",'ENG_SCEN'!$K$36,IF('IN_COST'!$G$49="PPI",'ENG_SCEN'!$K$35,IF('IN_COST'!$G$49="ENERGY",'ENG_SCEN'!$K$34,IF('IN_COST'!$G$49="WAGE",'ENG_SCEN'!$K$33,IF('IN_COST'!$G$49="CPI",'ENG_SCEN'!$K$32,1))))),IF('IN_COST'!$E$49="PER_KWH",'ENG_OPS'!$K$63*'IN_COST'!$F$49*IF('IN_COST'!$G$49="FX",'ENG_SCEN'!$K$36,IF('IN_COST'!$G$49="PPI",'ENG_SCEN'!$K$35,IF('IN_COST'!$G$49="ENERGY",'ENG_SCEN'!$K$34,IF('IN_COST'!$G$49="WAGE",'ENG_SCEN'!$K$33,IF('IN_COST'!$G$49="CPI",'ENG_SCEN'!$K$32,1))))),IF('IN_COST'!$E$49="PER_M3",'ENG_OPS'!$K$64*'IN_COST'!$F$49*IF('IN_COST'!$G$49="FX",'ENG_SCEN'!$K$36,IF('IN_COST'!$G$49="PPI",'ENG_SCEN'!$K$35,IF('IN_COST'!$G$49="ENERGY",'ENG_SCEN'!$K$34,IF('IN_COST'!$G$49="WAGE",'ENG_SCEN'!$K$33,IF('IN_COST'!$G$49="CPI",'ENG_SCEN'!$K$32,1))))),IF('IN_COST'!$E$49="ANNUAL",'IN_COST'!$F$49*IF('IN_COST'!$G$49="FX",'ENG_SCEN'!$K$36,IF('IN_COST'!$G$49="PPI",'ENG_SCEN'!$K$35,IF('IN_COST'!$G$49="ENERGY",'ENG_SCEN'!$K$34,IF('IN_COST'!$G$49="WAGE",'ENG_SCEN'!$K$33,IF('IN_COST'!$G$49="CPI",'ENG_SCEN'!$K$32,1))))),IF('IN_COST'!$E$49="PCT_REV",'ENG_OPS'!$K$81*'IN_COST'!$F$49,IF('IN_COST'!$E$49="PCT_ASSET",'ENG_CAPEX'!$K$84*'IN_COST'!$F$49,IF('IN_COST'!$E$49="DEP",'ENG_CAPEX'!$K$81,IF('IN_COST'!$E$49="PAY",INDEX('IN_COST'!$D$15:$D$19,IFERROR(VALUE(MID('IN_COST'!$F$49,FIND(":",'IN_COST'!$F$49)+1,2)),1))*INDEX('IN_COST'!$E$15:$E$19,IFERROR(VALUE(MID('IN_COST'!$F$49,FIND(":",'IN_COST'!$F$49)+1,2)),1))*'IN_COST'!$D$10*'IN_COST'!$D$11*'ENG_SCEN'!$K$33,IF('IN_COST'!$E$49="SRV",SUM(INDEX('ENG_ALLOC'!$D$29:$P$58,(IFERROR(VALUE(MID('IN_COST'!$F$49,FIND(":",'IN_COST'!$F$49)+1,2)),1)-1)*6+1,8):INDEX('ENG_ALLOC'!$D$29:$P$58,IFERROR(VALUE(MID('IN_COST'!$F$49,FIND(":",'IN_COST'!$F$49)+1,2)),1)*6,8)),0)))))))))))*IF('IN_COST'!$E$49="DEP",'ENG_SCEN'!$G$16,IF('IN_COST'!$I$49="V",IF('IN_COST'!$E$49="SCRAP_LME",'ENG_SCEN'!$G$13,'ENG_SCEN'!$G$14),'ENG_SCEN'!$G$15))</f>
        <v/>
      </c>
      <c r="L63" s="33">
        <f>'IN_MACRO'!$L$34*IF('IN_COST'!$E$49="SCRAP_LME",'ENG_OPS'!$L$20*'IN_COST'!$F$49*'ENG_SCEN'!$L$37,IF('IN_COST'!$E$49="PER_TON_BATT",'ENG_OPS'!$L$20*'IN_COST'!$F$49*IF('IN_COST'!$G$49="FX",'ENG_SCEN'!$L$36,IF('IN_COST'!$G$49="PPI",'ENG_SCEN'!$L$35,IF('IN_COST'!$G$49="ENERGY",'ENG_SCEN'!$L$34,IF('IN_COST'!$G$49="WAGE",'ENG_SCEN'!$L$33,IF('IN_COST'!$G$49="CPI",'ENG_SCEN'!$L$32,1))))),IF('IN_COST'!$E$49="PER_TON_PROD",'ENG_OPS'!$L$43*'IN_COST'!$F$49*IF('IN_COST'!$G$49="FX",'ENG_SCEN'!$L$36,IF('IN_COST'!$G$49="PPI",'ENG_SCEN'!$L$35,IF('IN_COST'!$G$49="ENERGY",'ENG_SCEN'!$L$34,IF('IN_COST'!$G$49="WAGE",'ENG_SCEN'!$L$33,IF('IN_COST'!$G$49="CPI",'ENG_SCEN'!$L$32,1))))),IF('IN_COST'!$E$49="PER_KWH",'ENG_OPS'!$L$63*'IN_COST'!$F$49*IF('IN_COST'!$G$49="FX",'ENG_SCEN'!$L$36,IF('IN_COST'!$G$49="PPI",'ENG_SCEN'!$L$35,IF('IN_COST'!$G$49="ENERGY",'ENG_SCEN'!$L$34,IF('IN_COST'!$G$49="WAGE",'ENG_SCEN'!$L$33,IF('IN_COST'!$G$49="CPI",'ENG_SCEN'!$L$32,1))))),IF('IN_COST'!$E$49="PER_M3",'ENG_OPS'!$L$64*'IN_COST'!$F$49*IF('IN_COST'!$G$49="FX",'ENG_SCEN'!$L$36,IF('IN_COST'!$G$49="PPI",'ENG_SCEN'!$L$35,IF('IN_COST'!$G$49="ENERGY",'ENG_SCEN'!$L$34,IF('IN_COST'!$G$49="WAGE",'ENG_SCEN'!$L$33,IF('IN_COST'!$G$49="CPI",'ENG_SCEN'!$L$32,1))))),IF('IN_COST'!$E$49="ANNUAL",'IN_COST'!$F$49*IF('IN_COST'!$G$49="FX",'ENG_SCEN'!$L$36,IF('IN_COST'!$G$49="PPI",'ENG_SCEN'!$L$35,IF('IN_COST'!$G$49="ENERGY",'ENG_SCEN'!$L$34,IF('IN_COST'!$G$49="WAGE",'ENG_SCEN'!$L$33,IF('IN_COST'!$G$49="CPI",'ENG_SCEN'!$L$32,1))))),IF('IN_COST'!$E$49="PCT_REV",'ENG_OPS'!$L$81*'IN_COST'!$F$49,IF('IN_COST'!$E$49="PCT_ASSET",'ENG_CAPEX'!$L$84*'IN_COST'!$F$49,IF('IN_COST'!$E$49="DEP",'ENG_CAPEX'!$L$81,IF('IN_COST'!$E$49="PAY",INDEX('IN_COST'!$D$15:$D$19,IFERROR(VALUE(MID('IN_COST'!$F$49,FIND(":",'IN_COST'!$F$49)+1,2)),1))*INDEX('IN_COST'!$E$15:$E$19,IFERROR(VALUE(MID('IN_COST'!$F$49,FIND(":",'IN_COST'!$F$49)+1,2)),1))*'IN_COST'!$D$10*'IN_COST'!$D$11*'ENG_SCEN'!$L$33,IF('IN_COST'!$E$49="SRV",SUM(INDEX('ENG_ALLOC'!$D$29:$P$58,(IFERROR(VALUE(MID('IN_COST'!$F$49,FIND(":",'IN_COST'!$F$49)+1,2)),1)-1)*6+1,9):INDEX('ENG_ALLOC'!$D$29:$P$58,IFERROR(VALUE(MID('IN_COST'!$F$49,FIND(":",'IN_COST'!$F$49)+1,2)),1)*6,9)),0)))))))))))*IF('IN_COST'!$E$49="DEP",'ENG_SCEN'!$G$16,IF('IN_COST'!$I$49="V",IF('IN_COST'!$E$49="SCRAP_LME",'ENG_SCEN'!$G$13,'ENG_SCEN'!$G$14),'ENG_SCEN'!$G$15))</f>
        <v/>
      </c>
      <c r="M63" s="33">
        <f>'IN_MACRO'!$M$34*IF('IN_COST'!$E$49="SCRAP_LME",'ENG_OPS'!$M$20*'IN_COST'!$F$49*'ENG_SCEN'!$M$37,IF('IN_COST'!$E$49="PER_TON_BATT",'ENG_OPS'!$M$20*'IN_COST'!$F$49*IF('IN_COST'!$G$49="FX",'ENG_SCEN'!$M$36,IF('IN_COST'!$G$49="PPI",'ENG_SCEN'!$M$35,IF('IN_COST'!$G$49="ENERGY",'ENG_SCEN'!$M$34,IF('IN_COST'!$G$49="WAGE",'ENG_SCEN'!$M$33,IF('IN_COST'!$G$49="CPI",'ENG_SCEN'!$M$32,1))))),IF('IN_COST'!$E$49="PER_TON_PROD",'ENG_OPS'!$M$43*'IN_COST'!$F$49*IF('IN_COST'!$G$49="FX",'ENG_SCEN'!$M$36,IF('IN_COST'!$G$49="PPI",'ENG_SCEN'!$M$35,IF('IN_COST'!$G$49="ENERGY",'ENG_SCEN'!$M$34,IF('IN_COST'!$G$49="WAGE",'ENG_SCEN'!$M$33,IF('IN_COST'!$G$49="CPI",'ENG_SCEN'!$M$32,1))))),IF('IN_COST'!$E$49="PER_KWH",'ENG_OPS'!$M$63*'IN_COST'!$F$49*IF('IN_COST'!$G$49="FX",'ENG_SCEN'!$M$36,IF('IN_COST'!$G$49="PPI",'ENG_SCEN'!$M$35,IF('IN_COST'!$G$49="ENERGY",'ENG_SCEN'!$M$34,IF('IN_COST'!$G$49="WAGE",'ENG_SCEN'!$M$33,IF('IN_COST'!$G$49="CPI",'ENG_SCEN'!$M$32,1))))),IF('IN_COST'!$E$49="PER_M3",'ENG_OPS'!$M$64*'IN_COST'!$F$49*IF('IN_COST'!$G$49="FX",'ENG_SCEN'!$M$36,IF('IN_COST'!$G$49="PPI",'ENG_SCEN'!$M$35,IF('IN_COST'!$G$49="ENERGY",'ENG_SCEN'!$M$34,IF('IN_COST'!$G$49="WAGE",'ENG_SCEN'!$M$33,IF('IN_COST'!$G$49="CPI",'ENG_SCEN'!$M$32,1))))),IF('IN_COST'!$E$49="ANNUAL",'IN_COST'!$F$49*IF('IN_COST'!$G$49="FX",'ENG_SCEN'!$M$36,IF('IN_COST'!$G$49="PPI",'ENG_SCEN'!$M$35,IF('IN_COST'!$G$49="ENERGY",'ENG_SCEN'!$M$34,IF('IN_COST'!$G$49="WAGE",'ENG_SCEN'!$M$33,IF('IN_COST'!$G$49="CPI",'ENG_SCEN'!$M$32,1))))),IF('IN_COST'!$E$49="PCT_REV",'ENG_OPS'!$M$81*'IN_COST'!$F$49,IF('IN_COST'!$E$49="PCT_ASSET",'ENG_CAPEX'!$M$84*'IN_COST'!$F$49,IF('IN_COST'!$E$49="DEP",'ENG_CAPEX'!$M$81,IF('IN_COST'!$E$49="PAY",INDEX('IN_COST'!$D$15:$D$19,IFERROR(VALUE(MID('IN_COST'!$F$49,FIND(":",'IN_COST'!$F$49)+1,2)),1))*INDEX('IN_COST'!$E$15:$E$19,IFERROR(VALUE(MID('IN_COST'!$F$49,FIND(":",'IN_COST'!$F$49)+1,2)),1))*'IN_COST'!$D$10*'IN_COST'!$D$11*'ENG_SCEN'!$M$33,IF('IN_COST'!$E$49="SRV",SUM(INDEX('ENG_ALLOC'!$D$29:$P$58,(IFERROR(VALUE(MID('IN_COST'!$F$49,FIND(":",'IN_COST'!$F$49)+1,2)),1)-1)*6+1,10):INDEX('ENG_ALLOC'!$D$29:$P$58,IFERROR(VALUE(MID('IN_COST'!$F$49,FIND(":",'IN_COST'!$F$49)+1,2)),1)*6,10)),0)))))))))))*IF('IN_COST'!$E$49="DEP",'ENG_SCEN'!$G$16,IF('IN_COST'!$I$49="V",IF('IN_COST'!$E$49="SCRAP_LME",'ENG_SCEN'!$G$13,'ENG_SCEN'!$G$14),'ENG_SCEN'!$G$15))</f>
        <v/>
      </c>
      <c r="N63" s="33">
        <f>'IN_MACRO'!$N$34*IF('IN_COST'!$E$49="SCRAP_LME",'ENG_OPS'!$N$20*'IN_COST'!$F$49*'ENG_SCEN'!$N$37,IF('IN_COST'!$E$49="PER_TON_BATT",'ENG_OPS'!$N$20*'IN_COST'!$F$49*IF('IN_COST'!$G$49="FX",'ENG_SCEN'!$N$36,IF('IN_COST'!$G$49="PPI",'ENG_SCEN'!$N$35,IF('IN_COST'!$G$49="ENERGY",'ENG_SCEN'!$N$34,IF('IN_COST'!$G$49="WAGE",'ENG_SCEN'!$N$33,IF('IN_COST'!$G$49="CPI",'ENG_SCEN'!$N$32,1))))),IF('IN_COST'!$E$49="PER_TON_PROD",'ENG_OPS'!$N$43*'IN_COST'!$F$49*IF('IN_COST'!$G$49="FX",'ENG_SCEN'!$N$36,IF('IN_COST'!$G$49="PPI",'ENG_SCEN'!$N$35,IF('IN_COST'!$G$49="ENERGY",'ENG_SCEN'!$N$34,IF('IN_COST'!$G$49="WAGE",'ENG_SCEN'!$N$33,IF('IN_COST'!$G$49="CPI",'ENG_SCEN'!$N$32,1))))),IF('IN_COST'!$E$49="PER_KWH",'ENG_OPS'!$N$63*'IN_COST'!$F$49*IF('IN_COST'!$G$49="FX",'ENG_SCEN'!$N$36,IF('IN_COST'!$G$49="PPI",'ENG_SCEN'!$N$35,IF('IN_COST'!$G$49="ENERGY",'ENG_SCEN'!$N$34,IF('IN_COST'!$G$49="WAGE",'ENG_SCEN'!$N$33,IF('IN_COST'!$G$49="CPI",'ENG_SCEN'!$N$32,1))))),IF('IN_COST'!$E$49="PER_M3",'ENG_OPS'!$N$64*'IN_COST'!$F$49*IF('IN_COST'!$G$49="FX",'ENG_SCEN'!$N$36,IF('IN_COST'!$G$49="PPI",'ENG_SCEN'!$N$35,IF('IN_COST'!$G$49="ENERGY",'ENG_SCEN'!$N$34,IF('IN_COST'!$G$49="WAGE",'ENG_SCEN'!$N$33,IF('IN_COST'!$G$49="CPI",'ENG_SCEN'!$N$32,1))))),IF('IN_COST'!$E$49="ANNUAL",'IN_COST'!$F$49*IF('IN_COST'!$G$49="FX",'ENG_SCEN'!$N$36,IF('IN_COST'!$G$49="PPI",'ENG_SCEN'!$N$35,IF('IN_COST'!$G$49="ENERGY",'ENG_SCEN'!$N$34,IF('IN_COST'!$G$49="WAGE",'ENG_SCEN'!$N$33,IF('IN_COST'!$G$49="CPI",'ENG_SCEN'!$N$32,1))))),IF('IN_COST'!$E$49="PCT_REV",'ENG_OPS'!$N$81*'IN_COST'!$F$49,IF('IN_COST'!$E$49="PCT_ASSET",'ENG_CAPEX'!$N$84*'IN_COST'!$F$49,IF('IN_COST'!$E$49="DEP",'ENG_CAPEX'!$N$81,IF('IN_COST'!$E$49="PAY",INDEX('IN_COST'!$D$15:$D$19,IFERROR(VALUE(MID('IN_COST'!$F$49,FIND(":",'IN_COST'!$F$49)+1,2)),1))*INDEX('IN_COST'!$E$15:$E$19,IFERROR(VALUE(MID('IN_COST'!$F$49,FIND(":",'IN_COST'!$F$49)+1,2)),1))*'IN_COST'!$D$10*'IN_COST'!$D$11*'ENG_SCEN'!$N$33,IF('IN_COST'!$E$49="SRV",SUM(INDEX('ENG_ALLOC'!$D$29:$P$58,(IFERROR(VALUE(MID('IN_COST'!$F$49,FIND(":",'IN_COST'!$F$49)+1,2)),1)-1)*6+1,11):INDEX('ENG_ALLOC'!$D$29:$P$58,IFERROR(VALUE(MID('IN_COST'!$F$49,FIND(":",'IN_COST'!$F$49)+1,2)),1)*6,11)),0)))))))))))*IF('IN_COST'!$E$49="DEP",'ENG_SCEN'!$G$16,IF('IN_COST'!$I$49="V",IF('IN_COST'!$E$49="SCRAP_LME",'ENG_SCEN'!$G$13,'ENG_SCEN'!$G$14),'ENG_SCEN'!$G$15))</f>
        <v/>
      </c>
      <c r="O63" s="33">
        <f>'IN_MACRO'!$O$34*IF('IN_COST'!$E$49="SCRAP_LME",'ENG_OPS'!$O$20*'IN_COST'!$F$49*'ENG_SCEN'!$O$37,IF('IN_COST'!$E$49="PER_TON_BATT",'ENG_OPS'!$O$20*'IN_COST'!$F$49*IF('IN_COST'!$G$49="FX",'ENG_SCEN'!$O$36,IF('IN_COST'!$G$49="PPI",'ENG_SCEN'!$O$35,IF('IN_COST'!$G$49="ENERGY",'ENG_SCEN'!$O$34,IF('IN_COST'!$G$49="WAGE",'ENG_SCEN'!$O$33,IF('IN_COST'!$G$49="CPI",'ENG_SCEN'!$O$32,1))))),IF('IN_COST'!$E$49="PER_TON_PROD",'ENG_OPS'!$O$43*'IN_COST'!$F$49*IF('IN_COST'!$G$49="FX",'ENG_SCEN'!$O$36,IF('IN_COST'!$G$49="PPI",'ENG_SCEN'!$O$35,IF('IN_COST'!$G$49="ENERGY",'ENG_SCEN'!$O$34,IF('IN_COST'!$G$49="WAGE",'ENG_SCEN'!$O$33,IF('IN_COST'!$G$49="CPI",'ENG_SCEN'!$O$32,1))))),IF('IN_COST'!$E$49="PER_KWH",'ENG_OPS'!$O$63*'IN_COST'!$F$49*IF('IN_COST'!$G$49="FX",'ENG_SCEN'!$O$36,IF('IN_COST'!$G$49="PPI",'ENG_SCEN'!$O$35,IF('IN_COST'!$G$49="ENERGY",'ENG_SCEN'!$O$34,IF('IN_COST'!$G$49="WAGE",'ENG_SCEN'!$O$33,IF('IN_COST'!$G$49="CPI",'ENG_SCEN'!$O$32,1))))),IF('IN_COST'!$E$49="PER_M3",'ENG_OPS'!$O$64*'IN_COST'!$F$49*IF('IN_COST'!$G$49="FX",'ENG_SCEN'!$O$36,IF('IN_COST'!$G$49="PPI",'ENG_SCEN'!$O$35,IF('IN_COST'!$G$49="ENERGY",'ENG_SCEN'!$O$34,IF('IN_COST'!$G$49="WAGE",'ENG_SCEN'!$O$33,IF('IN_COST'!$G$49="CPI",'ENG_SCEN'!$O$32,1))))),IF('IN_COST'!$E$49="ANNUAL",'IN_COST'!$F$49*IF('IN_COST'!$G$49="FX",'ENG_SCEN'!$O$36,IF('IN_COST'!$G$49="PPI",'ENG_SCEN'!$O$35,IF('IN_COST'!$G$49="ENERGY",'ENG_SCEN'!$O$34,IF('IN_COST'!$G$49="WAGE",'ENG_SCEN'!$O$33,IF('IN_COST'!$G$49="CPI",'ENG_SCEN'!$O$32,1))))),IF('IN_COST'!$E$49="PCT_REV",'ENG_OPS'!$O$81*'IN_COST'!$F$49,IF('IN_COST'!$E$49="PCT_ASSET",'ENG_CAPEX'!$O$84*'IN_COST'!$F$49,IF('IN_COST'!$E$49="DEP",'ENG_CAPEX'!$O$81,IF('IN_COST'!$E$49="PAY",INDEX('IN_COST'!$D$15:$D$19,IFERROR(VALUE(MID('IN_COST'!$F$49,FIND(":",'IN_COST'!$F$49)+1,2)),1))*INDEX('IN_COST'!$E$15:$E$19,IFERROR(VALUE(MID('IN_COST'!$F$49,FIND(":",'IN_COST'!$F$49)+1,2)),1))*'IN_COST'!$D$10*'IN_COST'!$D$11*'ENG_SCEN'!$O$33,IF('IN_COST'!$E$49="SRV",SUM(INDEX('ENG_ALLOC'!$D$29:$P$58,(IFERROR(VALUE(MID('IN_COST'!$F$49,FIND(":",'IN_COST'!$F$49)+1,2)),1)-1)*6+1,12):INDEX('ENG_ALLOC'!$D$29:$P$58,IFERROR(VALUE(MID('IN_COST'!$F$49,FIND(":",'IN_COST'!$F$49)+1,2)),1)*6,12)),0)))))))))))*IF('IN_COST'!$E$49="DEP",'ENG_SCEN'!$G$16,IF('IN_COST'!$I$49="V",IF('IN_COST'!$E$49="SCRAP_LME",'ENG_SCEN'!$G$13,'ENG_SCEN'!$G$14),'ENG_SCEN'!$G$15))</f>
        <v/>
      </c>
      <c r="P63" s="33">
        <f>'IN_MACRO'!$P$34*IF('IN_COST'!$E$49="SCRAP_LME",'ENG_OPS'!$P$20*'IN_COST'!$F$49*'ENG_SCEN'!$P$37,IF('IN_COST'!$E$49="PER_TON_BATT",'ENG_OPS'!$P$20*'IN_COST'!$F$49*IF('IN_COST'!$G$49="FX",'ENG_SCEN'!$P$36,IF('IN_COST'!$G$49="PPI",'ENG_SCEN'!$P$35,IF('IN_COST'!$G$49="ENERGY",'ENG_SCEN'!$P$34,IF('IN_COST'!$G$49="WAGE",'ENG_SCEN'!$P$33,IF('IN_COST'!$G$49="CPI",'ENG_SCEN'!$P$32,1))))),IF('IN_COST'!$E$49="PER_TON_PROD",'ENG_OPS'!$P$43*'IN_COST'!$F$49*IF('IN_COST'!$G$49="FX",'ENG_SCEN'!$P$36,IF('IN_COST'!$G$49="PPI",'ENG_SCEN'!$P$35,IF('IN_COST'!$G$49="ENERGY",'ENG_SCEN'!$P$34,IF('IN_COST'!$G$49="WAGE",'ENG_SCEN'!$P$33,IF('IN_COST'!$G$49="CPI",'ENG_SCEN'!$P$32,1))))),IF('IN_COST'!$E$49="PER_KWH",'ENG_OPS'!$P$63*'IN_COST'!$F$49*IF('IN_COST'!$G$49="FX",'ENG_SCEN'!$P$36,IF('IN_COST'!$G$49="PPI",'ENG_SCEN'!$P$35,IF('IN_COST'!$G$49="ENERGY",'ENG_SCEN'!$P$34,IF('IN_COST'!$G$49="WAGE",'ENG_SCEN'!$P$33,IF('IN_COST'!$G$49="CPI",'ENG_SCEN'!$P$32,1))))),IF('IN_COST'!$E$49="PER_M3",'ENG_OPS'!$P$64*'IN_COST'!$F$49*IF('IN_COST'!$G$49="FX",'ENG_SCEN'!$P$36,IF('IN_COST'!$G$49="PPI",'ENG_SCEN'!$P$35,IF('IN_COST'!$G$49="ENERGY",'ENG_SCEN'!$P$34,IF('IN_COST'!$G$49="WAGE",'ENG_SCEN'!$P$33,IF('IN_COST'!$G$49="CPI",'ENG_SCEN'!$P$32,1))))),IF('IN_COST'!$E$49="ANNUAL",'IN_COST'!$F$49*IF('IN_COST'!$G$49="FX",'ENG_SCEN'!$P$36,IF('IN_COST'!$G$49="PPI",'ENG_SCEN'!$P$35,IF('IN_COST'!$G$49="ENERGY",'ENG_SCEN'!$P$34,IF('IN_COST'!$G$49="WAGE",'ENG_SCEN'!$P$33,IF('IN_COST'!$G$49="CPI",'ENG_SCEN'!$P$32,1))))),IF('IN_COST'!$E$49="PCT_REV",'ENG_OPS'!$P$81*'IN_COST'!$F$49,IF('IN_COST'!$E$49="PCT_ASSET",'ENG_CAPEX'!$P$84*'IN_COST'!$F$49,IF('IN_COST'!$E$49="DEP",'ENG_CAPEX'!$P$81,IF('IN_COST'!$E$49="PAY",INDEX('IN_COST'!$D$15:$D$19,IFERROR(VALUE(MID('IN_COST'!$F$49,FIND(":",'IN_COST'!$F$49)+1,2)),1))*INDEX('IN_COST'!$E$15:$E$19,IFERROR(VALUE(MID('IN_COST'!$F$49,FIND(":",'IN_COST'!$F$49)+1,2)),1))*'IN_COST'!$D$10*'IN_COST'!$D$11*'ENG_SCEN'!$P$33,IF('IN_COST'!$E$49="SRV",SUM(INDEX('ENG_ALLOC'!$D$29:$P$58,(IFERROR(VALUE(MID('IN_COST'!$F$49,FIND(":",'IN_COST'!$F$49)+1,2)),1)-1)*6+1,13):INDEX('ENG_ALLOC'!$D$29:$P$58,IFERROR(VALUE(MID('IN_COST'!$F$49,FIND(":",'IN_COST'!$F$49)+1,2)),1)*6,13)),0)))))))))))*IF('IN_COST'!$E$49="DEP",'ENG_SCEN'!$G$16,IF('IN_COST'!$I$49="V",IF('IN_COST'!$E$49="SCRAP_LME",'ENG_SCEN'!$G$13,'ENG_SCEN'!$G$14),'ENG_SCEN'!$G$15))</f>
        <v/>
      </c>
    </row>
    <row r="64">
      <c r="A64" s="15" t="inlineStr">
        <is>
          <t>FPC-03 | اجاره و حق‌الامتیاز</t>
        </is>
      </c>
      <c r="B64" s="16" t="inlineStr">
        <is>
          <t>EC.tot.17</t>
        </is>
      </c>
      <c r="C64" s="17" t="inlineStr">
        <is>
          <t>میلیون ریال</t>
        </is>
      </c>
      <c r="D64" s="33">
        <f>'IN_MACRO'!$D$34*IF('IN_COST'!$E$50="SCRAP_LME",'ENG_OPS'!$D$20*'IN_COST'!$F$50*'ENG_SCEN'!$D$37,IF('IN_COST'!$E$50="PER_TON_BATT",'ENG_OPS'!$D$20*'IN_COST'!$F$50*IF('IN_COST'!$G$50="FX",'ENG_SCEN'!$D$36,IF('IN_COST'!$G$50="PPI",'ENG_SCEN'!$D$35,IF('IN_COST'!$G$50="ENERGY",'ENG_SCEN'!$D$34,IF('IN_COST'!$G$50="WAGE",'ENG_SCEN'!$D$33,IF('IN_COST'!$G$50="CPI",'ENG_SCEN'!$D$32,1))))),IF('IN_COST'!$E$50="PER_TON_PROD",'ENG_OPS'!$D$43*'IN_COST'!$F$50*IF('IN_COST'!$G$50="FX",'ENG_SCEN'!$D$36,IF('IN_COST'!$G$50="PPI",'ENG_SCEN'!$D$35,IF('IN_COST'!$G$50="ENERGY",'ENG_SCEN'!$D$34,IF('IN_COST'!$G$50="WAGE",'ENG_SCEN'!$D$33,IF('IN_COST'!$G$50="CPI",'ENG_SCEN'!$D$32,1))))),IF('IN_COST'!$E$50="PER_KWH",'ENG_OPS'!$D$63*'IN_COST'!$F$50*IF('IN_COST'!$G$50="FX",'ENG_SCEN'!$D$36,IF('IN_COST'!$G$50="PPI",'ENG_SCEN'!$D$35,IF('IN_COST'!$G$50="ENERGY",'ENG_SCEN'!$D$34,IF('IN_COST'!$G$50="WAGE",'ENG_SCEN'!$D$33,IF('IN_COST'!$G$50="CPI",'ENG_SCEN'!$D$32,1))))),IF('IN_COST'!$E$50="PER_M3",'ENG_OPS'!$D$64*'IN_COST'!$F$50*IF('IN_COST'!$G$50="FX",'ENG_SCEN'!$D$36,IF('IN_COST'!$G$50="PPI",'ENG_SCEN'!$D$35,IF('IN_COST'!$G$50="ENERGY",'ENG_SCEN'!$D$34,IF('IN_COST'!$G$50="WAGE",'ENG_SCEN'!$D$33,IF('IN_COST'!$G$50="CPI",'ENG_SCEN'!$D$32,1))))),IF('IN_COST'!$E$50="ANNUAL",'IN_COST'!$F$50*IF('IN_COST'!$G$50="FX",'ENG_SCEN'!$D$36,IF('IN_COST'!$G$50="PPI",'ENG_SCEN'!$D$35,IF('IN_COST'!$G$50="ENERGY",'ENG_SCEN'!$D$34,IF('IN_COST'!$G$50="WAGE",'ENG_SCEN'!$D$33,IF('IN_COST'!$G$50="CPI",'ENG_SCEN'!$D$32,1))))),IF('IN_COST'!$E$50="PCT_REV",'ENG_OPS'!$D$81*'IN_COST'!$F$50,IF('IN_COST'!$E$50="PCT_ASSET",'ENG_CAPEX'!$D$84*'IN_COST'!$F$50,IF('IN_COST'!$E$50="DEP",'ENG_CAPEX'!$D$81,IF('IN_COST'!$E$50="PAY",INDEX('IN_COST'!$D$15:$D$19,IFERROR(VALUE(MID('IN_COST'!$F$50,FIND(":",'IN_COST'!$F$50)+1,2)),1))*INDEX('IN_COST'!$E$15:$E$19,IFERROR(VALUE(MID('IN_COST'!$F$50,FIND(":",'IN_COST'!$F$50)+1,2)),1))*'IN_COST'!$D$10*'IN_COST'!$D$11*'ENG_SCEN'!$D$33,IF('IN_COST'!$E$50="SRV",SUM(INDEX('ENG_ALLOC'!$D$29:$P$58,(IFERROR(VALUE(MID('IN_COST'!$F$50,FIND(":",'IN_COST'!$F$50)+1,2)),1)-1)*6+1,1):INDEX('ENG_ALLOC'!$D$29:$P$58,IFERROR(VALUE(MID('IN_COST'!$F$50,FIND(":",'IN_COST'!$F$50)+1,2)),1)*6,1)),0)))))))))))*IF('IN_COST'!$E$50="DEP",'ENG_SCEN'!$G$16,IF('IN_COST'!$I$50="V",IF('IN_COST'!$E$50="SCRAP_LME",'ENG_SCEN'!$G$13,'ENG_SCEN'!$G$14),'ENG_SCEN'!$G$15))</f>
        <v/>
      </c>
      <c r="E64" s="33">
        <f>'IN_MACRO'!$E$34*IF('IN_COST'!$E$50="SCRAP_LME",'ENG_OPS'!$E$20*'IN_COST'!$F$50*'ENG_SCEN'!$E$37,IF('IN_COST'!$E$50="PER_TON_BATT",'ENG_OPS'!$E$20*'IN_COST'!$F$50*IF('IN_COST'!$G$50="FX",'ENG_SCEN'!$E$36,IF('IN_COST'!$G$50="PPI",'ENG_SCEN'!$E$35,IF('IN_COST'!$G$50="ENERGY",'ENG_SCEN'!$E$34,IF('IN_COST'!$G$50="WAGE",'ENG_SCEN'!$E$33,IF('IN_COST'!$G$50="CPI",'ENG_SCEN'!$E$32,1))))),IF('IN_COST'!$E$50="PER_TON_PROD",'ENG_OPS'!$E$43*'IN_COST'!$F$50*IF('IN_COST'!$G$50="FX",'ENG_SCEN'!$E$36,IF('IN_COST'!$G$50="PPI",'ENG_SCEN'!$E$35,IF('IN_COST'!$G$50="ENERGY",'ENG_SCEN'!$E$34,IF('IN_COST'!$G$50="WAGE",'ENG_SCEN'!$E$33,IF('IN_COST'!$G$50="CPI",'ENG_SCEN'!$E$32,1))))),IF('IN_COST'!$E$50="PER_KWH",'ENG_OPS'!$E$63*'IN_COST'!$F$50*IF('IN_COST'!$G$50="FX",'ENG_SCEN'!$E$36,IF('IN_COST'!$G$50="PPI",'ENG_SCEN'!$E$35,IF('IN_COST'!$G$50="ENERGY",'ENG_SCEN'!$E$34,IF('IN_COST'!$G$50="WAGE",'ENG_SCEN'!$E$33,IF('IN_COST'!$G$50="CPI",'ENG_SCEN'!$E$32,1))))),IF('IN_COST'!$E$50="PER_M3",'ENG_OPS'!$E$64*'IN_COST'!$F$50*IF('IN_COST'!$G$50="FX",'ENG_SCEN'!$E$36,IF('IN_COST'!$G$50="PPI",'ENG_SCEN'!$E$35,IF('IN_COST'!$G$50="ENERGY",'ENG_SCEN'!$E$34,IF('IN_COST'!$G$50="WAGE",'ENG_SCEN'!$E$33,IF('IN_COST'!$G$50="CPI",'ENG_SCEN'!$E$32,1))))),IF('IN_COST'!$E$50="ANNUAL",'IN_COST'!$F$50*IF('IN_COST'!$G$50="FX",'ENG_SCEN'!$E$36,IF('IN_COST'!$G$50="PPI",'ENG_SCEN'!$E$35,IF('IN_COST'!$G$50="ENERGY",'ENG_SCEN'!$E$34,IF('IN_COST'!$G$50="WAGE",'ENG_SCEN'!$E$33,IF('IN_COST'!$G$50="CPI",'ENG_SCEN'!$E$32,1))))),IF('IN_COST'!$E$50="PCT_REV",'ENG_OPS'!$E$81*'IN_COST'!$F$50,IF('IN_COST'!$E$50="PCT_ASSET",'ENG_CAPEX'!$E$84*'IN_COST'!$F$50,IF('IN_COST'!$E$50="DEP",'ENG_CAPEX'!$E$81,IF('IN_COST'!$E$50="PAY",INDEX('IN_COST'!$D$15:$D$19,IFERROR(VALUE(MID('IN_COST'!$F$50,FIND(":",'IN_COST'!$F$50)+1,2)),1))*INDEX('IN_COST'!$E$15:$E$19,IFERROR(VALUE(MID('IN_COST'!$F$50,FIND(":",'IN_COST'!$F$50)+1,2)),1))*'IN_COST'!$D$10*'IN_COST'!$D$11*'ENG_SCEN'!$E$33,IF('IN_COST'!$E$50="SRV",SUM(INDEX('ENG_ALLOC'!$D$29:$P$58,(IFERROR(VALUE(MID('IN_COST'!$F$50,FIND(":",'IN_COST'!$F$50)+1,2)),1)-1)*6+1,2):INDEX('ENG_ALLOC'!$D$29:$P$58,IFERROR(VALUE(MID('IN_COST'!$F$50,FIND(":",'IN_COST'!$F$50)+1,2)),1)*6,2)),0)))))))))))*IF('IN_COST'!$E$50="DEP",'ENG_SCEN'!$G$16,IF('IN_COST'!$I$50="V",IF('IN_COST'!$E$50="SCRAP_LME",'ENG_SCEN'!$G$13,'ENG_SCEN'!$G$14),'ENG_SCEN'!$G$15))</f>
        <v/>
      </c>
      <c r="F64" s="33">
        <f>'IN_MACRO'!$F$34*IF('IN_COST'!$E$50="SCRAP_LME",'ENG_OPS'!$F$20*'IN_COST'!$F$50*'ENG_SCEN'!$F$37,IF('IN_COST'!$E$50="PER_TON_BATT",'ENG_OPS'!$F$20*'IN_COST'!$F$50*IF('IN_COST'!$G$50="FX",'ENG_SCEN'!$F$36,IF('IN_COST'!$G$50="PPI",'ENG_SCEN'!$F$35,IF('IN_COST'!$G$50="ENERGY",'ENG_SCEN'!$F$34,IF('IN_COST'!$G$50="WAGE",'ENG_SCEN'!$F$33,IF('IN_COST'!$G$50="CPI",'ENG_SCEN'!$F$32,1))))),IF('IN_COST'!$E$50="PER_TON_PROD",'ENG_OPS'!$F$43*'IN_COST'!$F$50*IF('IN_COST'!$G$50="FX",'ENG_SCEN'!$F$36,IF('IN_COST'!$G$50="PPI",'ENG_SCEN'!$F$35,IF('IN_COST'!$G$50="ENERGY",'ENG_SCEN'!$F$34,IF('IN_COST'!$G$50="WAGE",'ENG_SCEN'!$F$33,IF('IN_COST'!$G$50="CPI",'ENG_SCEN'!$F$32,1))))),IF('IN_COST'!$E$50="PER_KWH",'ENG_OPS'!$F$63*'IN_COST'!$F$50*IF('IN_COST'!$G$50="FX",'ENG_SCEN'!$F$36,IF('IN_COST'!$G$50="PPI",'ENG_SCEN'!$F$35,IF('IN_COST'!$G$50="ENERGY",'ENG_SCEN'!$F$34,IF('IN_COST'!$G$50="WAGE",'ENG_SCEN'!$F$33,IF('IN_COST'!$G$50="CPI",'ENG_SCEN'!$F$32,1))))),IF('IN_COST'!$E$50="PER_M3",'ENG_OPS'!$F$64*'IN_COST'!$F$50*IF('IN_COST'!$G$50="FX",'ENG_SCEN'!$F$36,IF('IN_COST'!$G$50="PPI",'ENG_SCEN'!$F$35,IF('IN_COST'!$G$50="ENERGY",'ENG_SCEN'!$F$34,IF('IN_COST'!$G$50="WAGE",'ENG_SCEN'!$F$33,IF('IN_COST'!$G$50="CPI",'ENG_SCEN'!$F$32,1))))),IF('IN_COST'!$E$50="ANNUAL",'IN_COST'!$F$50*IF('IN_COST'!$G$50="FX",'ENG_SCEN'!$F$36,IF('IN_COST'!$G$50="PPI",'ENG_SCEN'!$F$35,IF('IN_COST'!$G$50="ENERGY",'ENG_SCEN'!$F$34,IF('IN_COST'!$G$50="WAGE",'ENG_SCEN'!$F$33,IF('IN_COST'!$G$50="CPI",'ENG_SCEN'!$F$32,1))))),IF('IN_COST'!$E$50="PCT_REV",'ENG_OPS'!$F$81*'IN_COST'!$F$50,IF('IN_COST'!$E$50="PCT_ASSET",'ENG_CAPEX'!$F$84*'IN_COST'!$F$50,IF('IN_COST'!$E$50="DEP",'ENG_CAPEX'!$F$81,IF('IN_COST'!$E$50="PAY",INDEX('IN_COST'!$D$15:$D$19,IFERROR(VALUE(MID('IN_COST'!$F$50,FIND(":",'IN_COST'!$F$50)+1,2)),1))*INDEX('IN_COST'!$E$15:$E$19,IFERROR(VALUE(MID('IN_COST'!$F$50,FIND(":",'IN_COST'!$F$50)+1,2)),1))*'IN_COST'!$D$10*'IN_COST'!$D$11*'ENG_SCEN'!$F$33,IF('IN_COST'!$E$50="SRV",SUM(INDEX('ENG_ALLOC'!$D$29:$P$58,(IFERROR(VALUE(MID('IN_COST'!$F$50,FIND(":",'IN_COST'!$F$50)+1,2)),1)-1)*6+1,3):INDEX('ENG_ALLOC'!$D$29:$P$58,IFERROR(VALUE(MID('IN_COST'!$F$50,FIND(":",'IN_COST'!$F$50)+1,2)),1)*6,3)),0)))))))))))*IF('IN_COST'!$E$50="DEP",'ENG_SCEN'!$G$16,IF('IN_COST'!$I$50="V",IF('IN_COST'!$E$50="SCRAP_LME",'ENG_SCEN'!$G$13,'ENG_SCEN'!$G$14),'ENG_SCEN'!$G$15))</f>
        <v/>
      </c>
      <c r="G64" s="33">
        <f>'IN_MACRO'!$G$34*IF('IN_COST'!$E$50="SCRAP_LME",'ENG_OPS'!$G$20*'IN_COST'!$F$50*'ENG_SCEN'!$G$37,IF('IN_COST'!$E$50="PER_TON_BATT",'ENG_OPS'!$G$20*'IN_COST'!$F$50*IF('IN_COST'!$G$50="FX",'ENG_SCEN'!$G$36,IF('IN_COST'!$G$50="PPI",'ENG_SCEN'!$G$35,IF('IN_COST'!$G$50="ENERGY",'ENG_SCEN'!$G$34,IF('IN_COST'!$G$50="WAGE",'ENG_SCEN'!$G$33,IF('IN_COST'!$G$50="CPI",'ENG_SCEN'!$G$32,1))))),IF('IN_COST'!$E$50="PER_TON_PROD",'ENG_OPS'!$G$43*'IN_COST'!$F$50*IF('IN_COST'!$G$50="FX",'ENG_SCEN'!$G$36,IF('IN_COST'!$G$50="PPI",'ENG_SCEN'!$G$35,IF('IN_COST'!$G$50="ENERGY",'ENG_SCEN'!$G$34,IF('IN_COST'!$G$50="WAGE",'ENG_SCEN'!$G$33,IF('IN_COST'!$G$50="CPI",'ENG_SCEN'!$G$32,1))))),IF('IN_COST'!$E$50="PER_KWH",'ENG_OPS'!$G$63*'IN_COST'!$F$50*IF('IN_COST'!$G$50="FX",'ENG_SCEN'!$G$36,IF('IN_COST'!$G$50="PPI",'ENG_SCEN'!$G$35,IF('IN_COST'!$G$50="ENERGY",'ENG_SCEN'!$G$34,IF('IN_COST'!$G$50="WAGE",'ENG_SCEN'!$G$33,IF('IN_COST'!$G$50="CPI",'ENG_SCEN'!$G$32,1))))),IF('IN_COST'!$E$50="PER_M3",'ENG_OPS'!$G$64*'IN_COST'!$F$50*IF('IN_COST'!$G$50="FX",'ENG_SCEN'!$G$36,IF('IN_COST'!$G$50="PPI",'ENG_SCEN'!$G$35,IF('IN_COST'!$G$50="ENERGY",'ENG_SCEN'!$G$34,IF('IN_COST'!$G$50="WAGE",'ENG_SCEN'!$G$33,IF('IN_COST'!$G$50="CPI",'ENG_SCEN'!$G$32,1))))),IF('IN_COST'!$E$50="ANNUAL",'IN_COST'!$F$50*IF('IN_COST'!$G$50="FX",'ENG_SCEN'!$G$36,IF('IN_COST'!$G$50="PPI",'ENG_SCEN'!$G$35,IF('IN_COST'!$G$50="ENERGY",'ENG_SCEN'!$G$34,IF('IN_COST'!$G$50="WAGE",'ENG_SCEN'!$G$33,IF('IN_COST'!$G$50="CPI",'ENG_SCEN'!$G$32,1))))),IF('IN_COST'!$E$50="PCT_REV",'ENG_OPS'!$G$81*'IN_COST'!$F$50,IF('IN_COST'!$E$50="PCT_ASSET",'ENG_CAPEX'!$G$84*'IN_COST'!$F$50,IF('IN_COST'!$E$50="DEP",'ENG_CAPEX'!$G$81,IF('IN_COST'!$E$50="PAY",INDEX('IN_COST'!$D$15:$D$19,IFERROR(VALUE(MID('IN_COST'!$F$50,FIND(":",'IN_COST'!$F$50)+1,2)),1))*INDEX('IN_COST'!$E$15:$E$19,IFERROR(VALUE(MID('IN_COST'!$F$50,FIND(":",'IN_COST'!$F$50)+1,2)),1))*'IN_COST'!$D$10*'IN_COST'!$D$11*'ENG_SCEN'!$G$33,IF('IN_COST'!$E$50="SRV",SUM(INDEX('ENG_ALLOC'!$D$29:$P$58,(IFERROR(VALUE(MID('IN_COST'!$F$50,FIND(":",'IN_COST'!$F$50)+1,2)),1)-1)*6+1,4):INDEX('ENG_ALLOC'!$D$29:$P$58,IFERROR(VALUE(MID('IN_COST'!$F$50,FIND(":",'IN_COST'!$F$50)+1,2)),1)*6,4)),0)))))))))))*IF('IN_COST'!$E$50="DEP",'ENG_SCEN'!$G$16,IF('IN_COST'!$I$50="V",IF('IN_COST'!$E$50="SCRAP_LME",'ENG_SCEN'!$G$13,'ENG_SCEN'!$G$14),'ENG_SCEN'!$G$15))</f>
        <v/>
      </c>
      <c r="H64" s="33">
        <f>'IN_MACRO'!$H$34*IF('IN_COST'!$E$50="SCRAP_LME",'ENG_OPS'!$H$20*'IN_COST'!$F$50*'ENG_SCEN'!$H$37,IF('IN_COST'!$E$50="PER_TON_BATT",'ENG_OPS'!$H$20*'IN_COST'!$F$50*IF('IN_COST'!$G$50="FX",'ENG_SCEN'!$H$36,IF('IN_COST'!$G$50="PPI",'ENG_SCEN'!$H$35,IF('IN_COST'!$G$50="ENERGY",'ENG_SCEN'!$H$34,IF('IN_COST'!$G$50="WAGE",'ENG_SCEN'!$H$33,IF('IN_COST'!$G$50="CPI",'ENG_SCEN'!$H$32,1))))),IF('IN_COST'!$E$50="PER_TON_PROD",'ENG_OPS'!$H$43*'IN_COST'!$F$50*IF('IN_COST'!$G$50="FX",'ENG_SCEN'!$H$36,IF('IN_COST'!$G$50="PPI",'ENG_SCEN'!$H$35,IF('IN_COST'!$G$50="ENERGY",'ENG_SCEN'!$H$34,IF('IN_COST'!$G$50="WAGE",'ENG_SCEN'!$H$33,IF('IN_COST'!$G$50="CPI",'ENG_SCEN'!$H$32,1))))),IF('IN_COST'!$E$50="PER_KWH",'ENG_OPS'!$H$63*'IN_COST'!$F$50*IF('IN_COST'!$G$50="FX",'ENG_SCEN'!$H$36,IF('IN_COST'!$G$50="PPI",'ENG_SCEN'!$H$35,IF('IN_COST'!$G$50="ENERGY",'ENG_SCEN'!$H$34,IF('IN_COST'!$G$50="WAGE",'ENG_SCEN'!$H$33,IF('IN_COST'!$G$50="CPI",'ENG_SCEN'!$H$32,1))))),IF('IN_COST'!$E$50="PER_M3",'ENG_OPS'!$H$64*'IN_COST'!$F$50*IF('IN_COST'!$G$50="FX",'ENG_SCEN'!$H$36,IF('IN_COST'!$G$50="PPI",'ENG_SCEN'!$H$35,IF('IN_COST'!$G$50="ENERGY",'ENG_SCEN'!$H$34,IF('IN_COST'!$G$50="WAGE",'ENG_SCEN'!$H$33,IF('IN_COST'!$G$50="CPI",'ENG_SCEN'!$H$32,1))))),IF('IN_COST'!$E$50="ANNUAL",'IN_COST'!$F$50*IF('IN_COST'!$G$50="FX",'ENG_SCEN'!$H$36,IF('IN_COST'!$G$50="PPI",'ENG_SCEN'!$H$35,IF('IN_COST'!$G$50="ENERGY",'ENG_SCEN'!$H$34,IF('IN_COST'!$G$50="WAGE",'ENG_SCEN'!$H$33,IF('IN_COST'!$G$50="CPI",'ENG_SCEN'!$H$32,1))))),IF('IN_COST'!$E$50="PCT_REV",'ENG_OPS'!$H$81*'IN_COST'!$F$50,IF('IN_COST'!$E$50="PCT_ASSET",'ENG_CAPEX'!$H$84*'IN_COST'!$F$50,IF('IN_COST'!$E$50="DEP",'ENG_CAPEX'!$H$81,IF('IN_COST'!$E$50="PAY",INDEX('IN_COST'!$D$15:$D$19,IFERROR(VALUE(MID('IN_COST'!$F$50,FIND(":",'IN_COST'!$F$50)+1,2)),1))*INDEX('IN_COST'!$E$15:$E$19,IFERROR(VALUE(MID('IN_COST'!$F$50,FIND(":",'IN_COST'!$F$50)+1,2)),1))*'IN_COST'!$D$10*'IN_COST'!$D$11*'ENG_SCEN'!$H$33,IF('IN_COST'!$E$50="SRV",SUM(INDEX('ENG_ALLOC'!$D$29:$P$58,(IFERROR(VALUE(MID('IN_COST'!$F$50,FIND(":",'IN_COST'!$F$50)+1,2)),1)-1)*6+1,5):INDEX('ENG_ALLOC'!$D$29:$P$58,IFERROR(VALUE(MID('IN_COST'!$F$50,FIND(":",'IN_COST'!$F$50)+1,2)),1)*6,5)),0)))))))))))*IF('IN_COST'!$E$50="DEP",'ENG_SCEN'!$G$16,IF('IN_COST'!$I$50="V",IF('IN_COST'!$E$50="SCRAP_LME",'ENG_SCEN'!$G$13,'ENG_SCEN'!$G$14),'ENG_SCEN'!$G$15))</f>
        <v/>
      </c>
      <c r="I64" s="33">
        <f>'IN_MACRO'!$I$34*IF('IN_COST'!$E$50="SCRAP_LME",'ENG_OPS'!$I$20*'IN_COST'!$F$50*'ENG_SCEN'!$I$37,IF('IN_COST'!$E$50="PER_TON_BATT",'ENG_OPS'!$I$20*'IN_COST'!$F$50*IF('IN_COST'!$G$50="FX",'ENG_SCEN'!$I$36,IF('IN_COST'!$G$50="PPI",'ENG_SCEN'!$I$35,IF('IN_COST'!$G$50="ENERGY",'ENG_SCEN'!$I$34,IF('IN_COST'!$G$50="WAGE",'ENG_SCEN'!$I$33,IF('IN_COST'!$G$50="CPI",'ENG_SCEN'!$I$32,1))))),IF('IN_COST'!$E$50="PER_TON_PROD",'ENG_OPS'!$I$43*'IN_COST'!$F$50*IF('IN_COST'!$G$50="FX",'ENG_SCEN'!$I$36,IF('IN_COST'!$G$50="PPI",'ENG_SCEN'!$I$35,IF('IN_COST'!$G$50="ENERGY",'ENG_SCEN'!$I$34,IF('IN_COST'!$G$50="WAGE",'ENG_SCEN'!$I$33,IF('IN_COST'!$G$50="CPI",'ENG_SCEN'!$I$32,1))))),IF('IN_COST'!$E$50="PER_KWH",'ENG_OPS'!$I$63*'IN_COST'!$F$50*IF('IN_COST'!$G$50="FX",'ENG_SCEN'!$I$36,IF('IN_COST'!$G$50="PPI",'ENG_SCEN'!$I$35,IF('IN_COST'!$G$50="ENERGY",'ENG_SCEN'!$I$34,IF('IN_COST'!$G$50="WAGE",'ENG_SCEN'!$I$33,IF('IN_COST'!$G$50="CPI",'ENG_SCEN'!$I$32,1))))),IF('IN_COST'!$E$50="PER_M3",'ENG_OPS'!$I$64*'IN_COST'!$F$50*IF('IN_COST'!$G$50="FX",'ENG_SCEN'!$I$36,IF('IN_COST'!$G$50="PPI",'ENG_SCEN'!$I$35,IF('IN_COST'!$G$50="ENERGY",'ENG_SCEN'!$I$34,IF('IN_COST'!$G$50="WAGE",'ENG_SCEN'!$I$33,IF('IN_COST'!$G$50="CPI",'ENG_SCEN'!$I$32,1))))),IF('IN_COST'!$E$50="ANNUAL",'IN_COST'!$F$50*IF('IN_COST'!$G$50="FX",'ENG_SCEN'!$I$36,IF('IN_COST'!$G$50="PPI",'ENG_SCEN'!$I$35,IF('IN_COST'!$G$50="ENERGY",'ENG_SCEN'!$I$34,IF('IN_COST'!$G$50="WAGE",'ENG_SCEN'!$I$33,IF('IN_COST'!$G$50="CPI",'ENG_SCEN'!$I$32,1))))),IF('IN_COST'!$E$50="PCT_REV",'ENG_OPS'!$I$81*'IN_COST'!$F$50,IF('IN_COST'!$E$50="PCT_ASSET",'ENG_CAPEX'!$I$84*'IN_COST'!$F$50,IF('IN_COST'!$E$50="DEP",'ENG_CAPEX'!$I$81,IF('IN_COST'!$E$50="PAY",INDEX('IN_COST'!$D$15:$D$19,IFERROR(VALUE(MID('IN_COST'!$F$50,FIND(":",'IN_COST'!$F$50)+1,2)),1))*INDEX('IN_COST'!$E$15:$E$19,IFERROR(VALUE(MID('IN_COST'!$F$50,FIND(":",'IN_COST'!$F$50)+1,2)),1))*'IN_COST'!$D$10*'IN_COST'!$D$11*'ENG_SCEN'!$I$33,IF('IN_COST'!$E$50="SRV",SUM(INDEX('ENG_ALLOC'!$D$29:$P$58,(IFERROR(VALUE(MID('IN_COST'!$F$50,FIND(":",'IN_COST'!$F$50)+1,2)),1)-1)*6+1,6):INDEX('ENG_ALLOC'!$D$29:$P$58,IFERROR(VALUE(MID('IN_COST'!$F$50,FIND(":",'IN_COST'!$F$50)+1,2)),1)*6,6)),0)))))))))))*IF('IN_COST'!$E$50="DEP",'ENG_SCEN'!$G$16,IF('IN_COST'!$I$50="V",IF('IN_COST'!$E$50="SCRAP_LME",'ENG_SCEN'!$G$13,'ENG_SCEN'!$G$14),'ENG_SCEN'!$G$15))</f>
        <v/>
      </c>
      <c r="J64" s="33">
        <f>'IN_MACRO'!$J$34*IF('IN_COST'!$E$50="SCRAP_LME",'ENG_OPS'!$J$20*'IN_COST'!$F$50*'ENG_SCEN'!$J$37,IF('IN_COST'!$E$50="PER_TON_BATT",'ENG_OPS'!$J$20*'IN_COST'!$F$50*IF('IN_COST'!$G$50="FX",'ENG_SCEN'!$J$36,IF('IN_COST'!$G$50="PPI",'ENG_SCEN'!$J$35,IF('IN_COST'!$G$50="ENERGY",'ENG_SCEN'!$J$34,IF('IN_COST'!$G$50="WAGE",'ENG_SCEN'!$J$33,IF('IN_COST'!$G$50="CPI",'ENG_SCEN'!$J$32,1))))),IF('IN_COST'!$E$50="PER_TON_PROD",'ENG_OPS'!$J$43*'IN_COST'!$F$50*IF('IN_COST'!$G$50="FX",'ENG_SCEN'!$J$36,IF('IN_COST'!$G$50="PPI",'ENG_SCEN'!$J$35,IF('IN_COST'!$G$50="ENERGY",'ENG_SCEN'!$J$34,IF('IN_COST'!$G$50="WAGE",'ENG_SCEN'!$J$33,IF('IN_COST'!$G$50="CPI",'ENG_SCEN'!$J$32,1))))),IF('IN_COST'!$E$50="PER_KWH",'ENG_OPS'!$J$63*'IN_COST'!$F$50*IF('IN_COST'!$G$50="FX",'ENG_SCEN'!$J$36,IF('IN_COST'!$G$50="PPI",'ENG_SCEN'!$J$35,IF('IN_COST'!$G$50="ENERGY",'ENG_SCEN'!$J$34,IF('IN_COST'!$G$50="WAGE",'ENG_SCEN'!$J$33,IF('IN_COST'!$G$50="CPI",'ENG_SCEN'!$J$32,1))))),IF('IN_COST'!$E$50="PER_M3",'ENG_OPS'!$J$64*'IN_COST'!$F$50*IF('IN_COST'!$G$50="FX",'ENG_SCEN'!$J$36,IF('IN_COST'!$G$50="PPI",'ENG_SCEN'!$J$35,IF('IN_COST'!$G$50="ENERGY",'ENG_SCEN'!$J$34,IF('IN_COST'!$G$50="WAGE",'ENG_SCEN'!$J$33,IF('IN_COST'!$G$50="CPI",'ENG_SCEN'!$J$32,1))))),IF('IN_COST'!$E$50="ANNUAL",'IN_COST'!$F$50*IF('IN_COST'!$G$50="FX",'ENG_SCEN'!$J$36,IF('IN_COST'!$G$50="PPI",'ENG_SCEN'!$J$35,IF('IN_COST'!$G$50="ENERGY",'ENG_SCEN'!$J$34,IF('IN_COST'!$G$50="WAGE",'ENG_SCEN'!$J$33,IF('IN_COST'!$G$50="CPI",'ENG_SCEN'!$J$32,1))))),IF('IN_COST'!$E$50="PCT_REV",'ENG_OPS'!$J$81*'IN_COST'!$F$50,IF('IN_COST'!$E$50="PCT_ASSET",'ENG_CAPEX'!$J$84*'IN_COST'!$F$50,IF('IN_COST'!$E$50="DEP",'ENG_CAPEX'!$J$81,IF('IN_COST'!$E$50="PAY",INDEX('IN_COST'!$D$15:$D$19,IFERROR(VALUE(MID('IN_COST'!$F$50,FIND(":",'IN_COST'!$F$50)+1,2)),1))*INDEX('IN_COST'!$E$15:$E$19,IFERROR(VALUE(MID('IN_COST'!$F$50,FIND(":",'IN_COST'!$F$50)+1,2)),1))*'IN_COST'!$D$10*'IN_COST'!$D$11*'ENG_SCEN'!$J$33,IF('IN_COST'!$E$50="SRV",SUM(INDEX('ENG_ALLOC'!$D$29:$P$58,(IFERROR(VALUE(MID('IN_COST'!$F$50,FIND(":",'IN_COST'!$F$50)+1,2)),1)-1)*6+1,7):INDEX('ENG_ALLOC'!$D$29:$P$58,IFERROR(VALUE(MID('IN_COST'!$F$50,FIND(":",'IN_COST'!$F$50)+1,2)),1)*6,7)),0)))))))))))*IF('IN_COST'!$E$50="DEP",'ENG_SCEN'!$G$16,IF('IN_COST'!$I$50="V",IF('IN_COST'!$E$50="SCRAP_LME",'ENG_SCEN'!$G$13,'ENG_SCEN'!$G$14),'ENG_SCEN'!$G$15))</f>
        <v/>
      </c>
      <c r="K64" s="33">
        <f>'IN_MACRO'!$K$34*IF('IN_COST'!$E$50="SCRAP_LME",'ENG_OPS'!$K$20*'IN_COST'!$F$50*'ENG_SCEN'!$K$37,IF('IN_COST'!$E$50="PER_TON_BATT",'ENG_OPS'!$K$20*'IN_COST'!$F$50*IF('IN_COST'!$G$50="FX",'ENG_SCEN'!$K$36,IF('IN_COST'!$G$50="PPI",'ENG_SCEN'!$K$35,IF('IN_COST'!$G$50="ENERGY",'ENG_SCEN'!$K$34,IF('IN_COST'!$G$50="WAGE",'ENG_SCEN'!$K$33,IF('IN_COST'!$G$50="CPI",'ENG_SCEN'!$K$32,1))))),IF('IN_COST'!$E$50="PER_TON_PROD",'ENG_OPS'!$K$43*'IN_COST'!$F$50*IF('IN_COST'!$G$50="FX",'ENG_SCEN'!$K$36,IF('IN_COST'!$G$50="PPI",'ENG_SCEN'!$K$35,IF('IN_COST'!$G$50="ENERGY",'ENG_SCEN'!$K$34,IF('IN_COST'!$G$50="WAGE",'ENG_SCEN'!$K$33,IF('IN_COST'!$G$50="CPI",'ENG_SCEN'!$K$32,1))))),IF('IN_COST'!$E$50="PER_KWH",'ENG_OPS'!$K$63*'IN_COST'!$F$50*IF('IN_COST'!$G$50="FX",'ENG_SCEN'!$K$36,IF('IN_COST'!$G$50="PPI",'ENG_SCEN'!$K$35,IF('IN_COST'!$G$50="ENERGY",'ENG_SCEN'!$K$34,IF('IN_COST'!$G$50="WAGE",'ENG_SCEN'!$K$33,IF('IN_COST'!$G$50="CPI",'ENG_SCEN'!$K$32,1))))),IF('IN_COST'!$E$50="PER_M3",'ENG_OPS'!$K$64*'IN_COST'!$F$50*IF('IN_COST'!$G$50="FX",'ENG_SCEN'!$K$36,IF('IN_COST'!$G$50="PPI",'ENG_SCEN'!$K$35,IF('IN_COST'!$G$50="ENERGY",'ENG_SCEN'!$K$34,IF('IN_COST'!$G$50="WAGE",'ENG_SCEN'!$K$33,IF('IN_COST'!$G$50="CPI",'ENG_SCEN'!$K$32,1))))),IF('IN_COST'!$E$50="ANNUAL",'IN_COST'!$F$50*IF('IN_COST'!$G$50="FX",'ENG_SCEN'!$K$36,IF('IN_COST'!$G$50="PPI",'ENG_SCEN'!$K$35,IF('IN_COST'!$G$50="ENERGY",'ENG_SCEN'!$K$34,IF('IN_COST'!$G$50="WAGE",'ENG_SCEN'!$K$33,IF('IN_COST'!$G$50="CPI",'ENG_SCEN'!$K$32,1))))),IF('IN_COST'!$E$50="PCT_REV",'ENG_OPS'!$K$81*'IN_COST'!$F$50,IF('IN_COST'!$E$50="PCT_ASSET",'ENG_CAPEX'!$K$84*'IN_COST'!$F$50,IF('IN_COST'!$E$50="DEP",'ENG_CAPEX'!$K$81,IF('IN_COST'!$E$50="PAY",INDEX('IN_COST'!$D$15:$D$19,IFERROR(VALUE(MID('IN_COST'!$F$50,FIND(":",'IN_COST'!$F$50)+1,2)),1))*INDEX('IN_COST'!$E$15:$E$19,IFERROR(VALUE(MID('IN_COST'!$F$50,FIND(":",'IN_COST'!$F$50)+1,2)),1))*'IN_COST'!$D$10*'IN_COST'!$D$11*'ENG_SCEN'!$K$33,IF('IN_COST'!$E$50="SRV",SUM(INDEX('ENG_ALLOC'!$D$29:$P$58,(IFERROR(VALUE(MID('IN_COST'!$F$50,FIND(":",'IN_COST'!$F$50)+1,2)),1)-1)*6+1,8):INDEX('ENG_ALLOC'!$D$29:$P$58,IFERROR(VALUE(MID('IN_COST'!$F$50,FIND(":",'IN_COST'!$F$50)+1,2)),1)*6,8)),0)))))))))))*IF('IN_COST'!$E$50="DEP",'ENG_SCEN'!$G$16,IF('IN_COST'!$I$50="V",IF('IN_COST'!$E$50="SCRAP_LME",'ENG_SCEN'!$G$13,'ENG_SCEN'!$G$14),'ENG_SCEN'!$G$15))</f>
        <v/>
      </c>
      <c r="L64" s="33">
        <f>'IN_MACRO'!$L$34*IF('IN_COST'!$E$50="SCRAP_LME",'ENG_OPS'!$L$20*'IN_COST'!$F$50*'ENG_SCEN'!$L$37,IF('IN_COST'!$E$50="PER_TON_BATT",'ENG_OPS'!$L$20*'IN_COST'!$F$50*IF('IN_COST'!$G$50="FX",'ENG_SCEN'!$L$36,IF('IN_COST'!$G$50="PPI",'ENG_SCEN'!$L$35,IF('IN_COST'!$G$50="ENERGY",'ENG_SCEN'!$L$34,IF('IN_COST'!$G$50="WAGE",'ENG_SCEN'!$L$33,IF('IN_COST'!$G$50="CPI",'ENG_SCEN'!$L$32,1))))),IF('IN_COST'!$E$50="PER_TON_PROD",'ENG_OPS'!$L$43*'IN_COST'!$F$50*IF('IN_COST'!$G$50="FX",'ENG_SCEN'!$L$36,IF('IN_COST'!$G$50="PPI",'ENG_SCEN'!$L$35,IF('IN_COST'!$G$50="ENERGY",'ENG_SCEN'!$L$34,IF('IN_COST'!$G$50="WAGE",'ENG_SCEN'!$L$33,IF('IN_COST'!$G$50="CPI",'ENG_SCEN'!$L$32,1))))),IF('IN_COST'!$E$50="PER_KWH",'ENG_OPS'!$L$63*'IN_COST'!$F$50*IF('IN_COST'!$G$50="FX",'ENG_SCEN'!$L$36,IF('IN_COST'!$G$50="PPI",'ENG_SCEN'!$L$35,IF('IN_COST'!$G$50="ENERGY",'ENG_SCEN'!$L$34,IF('IN_COST'!$G$50="WAGE",'ENG_SCEN'!$L$33,IF('IN_COST'!$G$50="CPI",'ENG_SCEN'!$L$32,1))))),IF('IN_COST'!$E$50="PER_M3",'ENG_OPS'!$L$64*'IN_COST'!$F$50*IF('IN_COST'!$G$50="FX",'ENG_SCEN'!$L$36,IF('IN_COST'!$G$50="PPI",'ENG_SCEN'!$L$35,IF('IN_COST'!$G$50="ENERGY",'ENG_SCEN'!$L$34,IF('IN_COST'!$G$50="WAGE",'ENG_SCEN'!$L$33,IF('IN_COST'!$G$50="CPI",'ENG_SCEN'!$L$32,1))))),IF('IN_COST'!$E$50="ANNUAL",'IN_COST'!$F$50*IF('IN_COST'!$G$50="FX",'ENG_SCEN'!$L$36,IF('IN_COST'!$G$50="PPI",'ENG_SCEN'!$L$35,IF('IN_COST'!$G$50="ENERGY",'ENG_SCEN'!$L$34,IF('IN_COST'!$G$50="WAGE",'ENG_SCEN'!$L$33,IF('IN_COST'!$G$50="CPI",'ENG_SCEN'!$L$32,1))))),IF('IN_COST'!$E$50="PCT_REV",'ENG_OPS'!$L$81*'IN_COST'!$F$50,IF('IN_COST'!$E$50="PCT_ASSET",'ENG_CAPEX'!$L$84*'IN_COST'!$F$50,IF('IN_COST'!$E$50="DEP",'ENG_CAPEX'!$L$81,IF('IN_COST'!$E$50="PAY",INDEX('IN_COST'!$D$15:$D$19,IFERROR(VALUE(MID('IN_COST'!$F$50,FIND(":",'IN_COST'!$F$50)+1,2)),1))*INDEX('IN_COST'!$E$15:$E$19,IFERROR(VALUE(MID('IN_COST'!$F$50,FIND(":",'IN_COST'!$F$50)+1,2)),1))*'IN_COST'!$D$10*'IN_COST'!$D$11*'ENG_SCEN'!$L$33,IF('IN_COST'!$E$50="SRV",SUM(INDEX('ENG_ALLOC'!$D$29:$P$58,(IFERROR(VALUE(MID('IN_COST'!$F$50,FIND(":",'IN_COST'!$F$50)+1,2)),1)-1)*6+1,9):INDEX('ENG_ALLOC'!$D$29:$P$58,IFERROR(VALUE(MID('IN_COST'!$F$50,FIND(":",'IN_COST'!$F$50)+1,2)),1)*6,9)),0)))))))))))*IF('IN_COST'!$E$50="DEP",'ENG_SCEN'!$G$16,IF('IN_COST'!$I$50="V",IF('IN_COST'!$E$50="SCRAP_LME",'ENG_SCEN'!$G$13,'ENG_SCEN'!$G$14),'ENG_SCEN'!$G$15))</f>
        <v/>
      </c>
      <c r="M64" s="33">
        <f>'IN_MACRO'!$M$34*IF('IN_COST'!$E$50="SCRAP_LME",'ENG_OPS'!$M$20*'IN_COST'!$F$50*'ENG_SCEN'!$M$37,IF('IN_COST'!$E$50="PER_TON_BATT",'ENG_OPS'!$M$20*'IN_COST'!$F$50*IF('IN_COST'!$G$50="FX",'ENG_SCEN'!$M$36,IF('IN_COST'!$G$50="PPI",'ENG_SCEN'!$M$35,IF('IN_COST'!$G$50="ENERGY",'ENG_SCEN'!$M$34,IF('IN_COST'!$G$50="WAGE",'ENG_SCEN'!$M$33,IF('IN_COST'!$G$50="CPI",'ENG_SCEN'!$M$32,1))))),IF('IN_COST'!$E$50="PER_TON_PROD",'ENG_OPS'!$M$43*'IN_COST'!$F$50*IF('IN_COST'!$G$50="FX",'ENG_SCEN'!$M$36,IF('IN_COST'!$G$50="PPI",'ENG_SCEN'!$M$35,IF('IN_COST'!$G$50="ENERGY",'ENG_SCEN'!$M$34,IF('IN_COST'!$G$50="WAGE",'ENG_SCEN'!$M$33,IF('IN_COST'!$G$50="CPI",'ENG_SCEN'!$M$32,1))))),IF('IN_COST'!$E$50="PER_KWH",'ENG_OPS'!$M$63*'IN_COST'!$F$50*IF('IN_COST'!$G$50="FX",'ENG_SCEN'!$M$36,IF('IN_COST'!$G$50="PPI",'ENG_SCEN'!$M$35,IF('IN_COST'!$G$50="ENERGY",'ENG_SCEN'!$M$34,IF('IN_COST'!$G$50="WAGE",'ENG_SCEN'!$M$33,IF('IN_COST'!$G$50="CPI",'ENG_SCEN'!$M$32,1))))),IF('IN_COST'!$E$50="PER_M3",'ENG_OPS'!$M$64*'IN_COST'!$F$50*IF('IN_COST'!$G$50="FX",'ENG_SCEN'!$M$36,IF('IN_COST'!$G$50="PPI",'ENG_SCEN'!$M$35,IF('IN_COST'!$G$50="ENERGY",'ENG_SCEN'!$M$34,IF('IN_COST'!$G$50="WAGE",'ENG_SCEN'!$M$33,IF('IN_COST'!$G$50="CPI",'ENG_SCEN'!$M$32,1))))),IF('IN_COST'!$E$50="ANNUAL",'IN_COST'!$F$50*IF('IN_COST'!$G$50="FX",'ENG_SCEN'!$M$36,IF('IN_COST'!$G$50="PPI",'ENG_SCEN'!$M$35,IF('IN_COST'!$G$50="ENERGY",'ENG_SCEN'!$M$34,IF('IN_COST'!$G$50="WAGE",'ENG_SCEN'!$M$33,IF('IN_COST'!$G$50="CPI",'ENG_SCEN'!$M$32,1))))),IF('IN_COST'!$E$50="PCT_REV",'ENG_OPS'!$M$81*'IN_COST'!$F$50,IF('IN_COST'!$E$50="PCT_ASSET",'ENG_CAPEX'!$M$84*'IN_COST'!$F$50,IF('IN_COST'!$E$50="DEP",'ENG_CAPEX'!$M$81,IF('IN_COST'!$E$50="PAY",INDEX('IN_COST'!$D$15:$D$19,IFERROR(VALUE(MID('IN_COST'!$F$50,FIND(":",'IN_COST'!$F$50)+1,2)),1))*INDEX('IN_COST'!$E$15:$E$19,IFERROR(VALUE(MID('IN_COST'!$F$50,FIND(":",'IN_COST'!$F$50)+1,2)),1))*'IN_COST'!$D$10*'IN_COST'!$D$11*'ENG_SCEN'!$M$33,IF('IN_COST'!$E$50="SRV",SUM(INDEX('ENG_ALLOC'!$D$29:$P$58,(IFERROR(VALUE(MID('IN_COST'!$F$50,FIND(":",'IN_COST'!$F$50)+1,2)),1)-1)*6+1,10):INDEX('ENG_ALLOC'!$D$29:$P$58,IFERROR(VALUE(MID('IN_COST'!$F$50,FIND(":",'IN_COST'!$F$50)+1,2)),1)*6,10)),0)))))))))))*IF('IN_COST'!$E$50="DEP",'ENG_SCEN'!$G$16,IF('IN_COST'!$I$50="V",IF('IN_COST'!$E$50="SCRAP_LME",'ENG_SCEN'!$G$13,'ENG_SCEN'!$G$14),'ENG_SCEN'!$G$15))</f>
        <v/>
      </c>
      <c r="N64" s="33">
        <f>'IN_MACRO'!$N$34*IF('IN_COST'!$E$50="SCRAP_LME",'ENG_OPS'!$N$20*'IN_COST'!$F$50*'ENG_SCEN'!$N$37,IF('IN_COST'!$E$50="PER_TON_BATT",'ENG_OPS'!$N$20*'IN_COST'!$F$50*IF('IN_COST'!$G$50="FX",'ENG_SCEN'!$N$36,IF('IN_COST'!$G$50="PPI",'ENG_SCEN'!$N$35,IF('IN_COST'!$G$50="ENERGY",'ENG_SCEN'!$N$34,IF('IN_COST'!$G$50="WAGE",'ENG_SCEN'!$N$33,IF('IN_COST'!$G$50="CPI",'ENG_SCEN'!$N$32,1))))),IF('IN_COST'!$E$50="PER_TON_PROD",'ENG_OPS'!$N$43*'IN_COST'!$F$50*IF('IN_COST'!$G$50="FX",'ENG_SCEN'!$N$36,IF('IN_COST'!$G$50="PPI",'ENG_SCEN'!$N$35,IF('IN_COST'!$G$50="ENERGY",'ENG_SCEN'!$N$34,IF('IN_COST'!$G$50="WAGE",'ENG_SCEN'!$N$33,IF('IN_COST'!$G$50="CPI",'ENG_SCEN'!$N$32,1))))),IF('IN_COST'!$E$50="PER_KWH",'ENG_OPS'!$N$63*'IN_COST'!$F$50*IF('IN_COST'!$G$50="FX",'ENG_SCEN'!$N$36,IF('IN_COST'!$G$50="PPI",'ENG_SCEN'!$N$35,IF('IN_COST'!$G$50="ENERGY",'ENG_SCEN'!$N$34,IF('IN_COST'!$G$50="WAGE",'ENG_SCEN'!$N$33,IF('IN_COST'!$G$50="CPI",'ENG_SCEN'!$N$32,1))))),IF('IN_COST'!$E$50="PER_M3",'ENG_OPS'!$N$64*'IN_COST'!$F$50*IF('IN_COST'!$G$50="FX",'ENG_SCEN'!$N$36,IF('IN_COST'!$G$50="PPI",'ENG_SCEN'!$N$35,IF('IN_COST'!$G$50="ENERGY",'ENG_SCEN'!$N$34,IF('IN_COST'!$G$50="WAGE",'ENG_SCEN'!$N$33,IF('IN_COST'!$G$50="CPI",'ENG_SCEN'!$N$32,1))))),IF('IN_COST'!$E$50="ANNUAL",'IN_COST'!$F$50*IF('IN_COST'!$G$50="FX",'ENG_SCEN'!$N$36,IF('IN_COST'!$G$50="PPI",'ENG_SCEN'!$N$35,IF('IN_COST'!$G$50="ENERGY",'ENG_SCEN'!$N$34,IF('IN_COST'!$G$50="WAGE",'ENG_SCEN'!$N$33,IF('IN_COST'!$G$50="CPI",'ENG_SCEN'!$N$32,1))))),IF('IN_COST'!$E$50="PCT_REV",'ENG_OPS'!$N$81*'IN_COST'!$F$50,IF('IN_COST'!$E$50="PCT_ASSET",'ENG_CAPEX'!$N$84*'IN_COST'!$F$50,IF('IN_COST'!$E$50="DEP",'ENG_CAPEX'!$N$81,IF('IN_COST'!$E$50="PAY",INDEX('IN_COST'!$D$15:$D$19,IFERROR(VALUE(MID('IN_COST'!$F$50,FIND(":",'IN_COST'!$F$50)+1,2)),1))*INDEX('IN_COST'!$E$15:$E$19,IFERROR(VALUE(MID('IN_COST'!$F$50,FIND(":",'IN_COST'!$F$50)+1,2)),1))*'IN_COST'!$D$10*'IN_COST'!$D$11*'ENG_SCEN'!$N$33,IF('IN_COST'!$E$50="SRV",SUM(INDEX('ENG_ALLOC'!$D$29:$P$58,(IFERROR(VALUE(MID('IN_COST'!$F$50,FIND(":",'IN_COST'!$F$50)+1,2)),1)-1)*6+1,11):INDEX('ENG_ALLOC'!$D$29:$P$58,IFERROR(VALUE(MID('IN_COST'!$F$50,FIND(":",'IN_COST'!$F$50)+1,2)),1)*6,11)),0)))))))))))*IF('IN_COST'!$E$50="DEP",'ENG_SCEN'!$G$16,IF('IN_COST'!$I$50="V",IF('IN_COST'!$E$50="SCRAP_LME",'ENG_SCEN'!$G$13,'ENG_SCEN'!$G$14),'ENG_SCEN'!$G$15))</f>
        <v/>
      </c>
      <c r="O64" s="33">
        <f>'IN_MACRO'!$O$34*IF('IN_COST'!$E$50="SCRAP_LME",'ENG_OPS'!$O$20*'IN_COST'!$F$50*'ENG_SCEN'!$O$37,IF('IN_COST'!$E$50="PER_TON_BATT",'ENG_OPS'!$O$20*'IN_COST'!$F$50*IF('IN_COST'!$G$50="FX",'ENG_SCEN'!$O$36,IF('IN_COST'!$G$50="PPI",'ENG_SCEN'!$O$35,IF('IN_COST'!$G$50="ENERGY",'ENG_SCEN'!$O$34,IF('IN_COST'!$G$50="WAGE",'ENG_SCEN'!$O$33,IF('IN_COST'!$G$50="CPI",'ENG_SCEN'!$O$32,1))))),IF('IN_COST'!$E$50="PER_TON_PROD",'ENG_OPS'!$O$43*'IN_COST'!$F$50*IF('IN_COST'!$G$50="FX",'ENG_SCEN'!$O$36,IF('IN_COST'!$G$50="PPI",'ENG_SCEN'!$O$35,IF('IN_COST'!$G$50="ENERGY",'ENG_SCEN'!$O$34,IF('IN_COST'!$G$50="WAGE",'ENG_SCEN'!$O$33,IF('IN_COST'!$G$50="CPI",'ENG_SCEN'!$O$32,1))))),IF('IN_COST'!$E$50="PER_KWH",'ENG_OPS'!$O$63*'IN_COST'!$F$50*IF('IN_COST'!$G$50="FX",'ENG_SCEN'!$O$36,IF('IN_COST'!$G$50="PPI",'ENG_SCEN'!$O$35,IF('IN_COST'!$G$50="ENERGY",'ENG_SCEN'!$O$34,IF('IN_COST'!$G$50="WAGE",'ENG_SCEN'!$O$33,IF('IN_COST'!$G$50="CPI",'ENG_SCEN'!$O$32,1))))),IF('IN_COST'!$E$50="PER_M3",'ENG_OPS'!$O$64*'IN_COST'!$F$50*IF('IN_COST'!$G$50="FX",'ENG_SCEN'!$O$36,IF('IN_COST'!$G$50="PPI",'ENG_SCEN'!$O$35,IF('IN_COST'!$G$50="ENERGY",'ENG_SCEN'!$O$34,IF('IN_COST'!$G$50="WAGE",'ENG_SCEN'!$O$33,IF('IN_COST'!$G$50="CPI",'ENG_SCEN'!$O$32,1))))),IF('IN_COST'!$E$50="ANNUAL",'IN_COST'!$F$50*IF('IN_COST'!$G$50="FX",'ENG_SCEN'!$O$36,IF('IN_COST'!$G$50="PPI",'ENG_SCEN'!$O$35,IF('IN_COST'!$G$50="ENERGY",'ENG_SCEN'!$O$34,IF('IN_COST'!$G$50="WAGE",'ENG_SCEN'!$O$33,IF('IN_COST'!$G$50="CPI",'ENG_SCEN'!$O$32,1))))),IF('IN_COST'!$E$50="PCT_REV",'ENG_OPS'!$O$81*'IN_COST'!$F$50,IF('IN_COST'!$E$50="PCT_ASSET",'ENG_CAPEX'!$O$84*'IN_COST'!$F$50,IF('IN_COST'!$E$50="DEP",'ENG_CAPEX'!$O$81,IF('IN_COST'!$E$50="PAY",INDEX('IN_COST'!$D$15:$D$19,IFERROR(VALUE(MID('IN_COST'!$F$50,FIND(":",'IN_COST'!$F$50)+1,2)),1))*INDEX('IN_COST'!$E$15:$E$19,IFERROR(VALUE(MID('IN_COST'!$F$50,FIND(":",'IN_COST'!$F$50)+1,2)),1))*'IN_COST'!$D$10*'IN_COST'!$D$11*'ENG_SCEN'!$O$33,IF('IN_COST'!$E$50="SRV",SUM(INDEX('ENG_ALLOC'!$D$29:$P$58,(IFERROR(VALUE(MID('IN_COST'!$F$50,FIND(":",'IN_COST'!$F$50)+1,2)),1)-1)*6+1,12):INDEX('ENG_ALLOC'!$D$29:$P$58,IFERROR(VALUE(MID('IN_COST'!$F$50,FIND(":",'IN_COST'!$F$50)+1,2)),1)*6,12)),0)))))))))))*IF('IN_COST'!$E$50="DEP",'ENG_SCEN'!$G$16,IF('IN_COST'!$I$50="V",IF('IN_COST'!$E$50="SCRAP_LME",'ENG_SCEN'!$G$13,'ENG_SCEN'!$G$14),'ENG_SCEN'!$G$15))</f>
        <v/>
      </c>
      <c r="P64" s="33">
        <f>'IN_MACRO'!$P$34*IF('IN_COST'!$E$50="SCRAP_LME",'ENG_OPS'!$P$20*'IN_COST'!$F$50*'ENG_SCEN'!$P$37,IF('IN_COST'!$E$50="PER_TON_BATT",'ENG_OPS'!$P$20*'IN_COST'!$F$50*IF('IN_COST'!$G$50="FX",'ENG_SCEN'!$P$36,IF('IN_COST'!$G$50="PPI",'ENG_SCEN'!$P$35,IF('IN_COST'!$G$50="ENERGY",'ENG_SCEN'!$P$34,IF('IN_COST'!$G$50="WAGE",'ENG_SCEN'!$P$33,IF('IN_COST'!$G$50="CPI",'ENG_SCEN'!$P$32,1))))),IF('IN_COST'!$E$50="PER_TON_PROD",'ENG_OPS'!$P$43*'IN_COST'!$F$50*IF('IN_COST'!$G$50="FX",'ENG_SCEN'!$P$36,IF('IN_COST'!$G$50="PPI",'ENG_SCEN'!$P$35,IF('IN_COST'!$G$50="ENERGY",'ENG_SCEN'!$P$34,IF('IN_COST'!$G$50="WAGE",'ENG_SCEN'!$P$33,IF('IN_COST'!$G$50="CPI",'ENG_SCEN'!$P$32,1))))),IF('IN_COST'!$E$50="PER_KWH",'ENG_OPS'!$P$63*'IN_COST'!$F$50*IF('IN_COST'!$G$50="FX",'ENG_SCEN'!$P$36,IF('IN_COST'!$G$50="PPI",'ENG_SCEN'!$P$35,IF('IN_COST'!$G$50="ENERGY",'ENG_SCEN'!$P$34,IF('IN_COST'!$G$50="WAGE",'ENG_SCEN'!$P$33,IF('IN_COST'!$G$50="CPI",'ENG_SCEN'!$P$32,1))))),IF('IN_COST'!$E$50="PER_M3",'ENG_OPS'!$P$64*'IN_COST'!$F$50*IF('IN_COST'!$G$50="FX",'ENG_SCEN'!$P$36,IF('IN_COST'!$G$50="PPI",'ENG_SCEN'!$P$35,IF('IN_COST'!$G$50="ENERGY",'ENG_SCEN'!$P$34,IF('IN_COST'!$G$50="WAGE",'ENG_SCEN'!$P$33,IF('IN_COST'!$G$50="CPI",'ENG_SCEN'!$P$32,1))))),IF('IN_COST'!$E$50="ANNUAL",'IN_COST'!$F$50*IF('IN_COST'!$G$50="FX",'ENG_SCEN'!$P$36,IF('IN_COST'!$G$50="PPI",'ENG_SCEN'!$P$35,IF('IN_COST'!$G$50="ENERGY",'ENG_SCEN'!$P$34,IF('IN_COST'!$G$50="WAGE",'ENG_SCEN'!$P$33,IF('IN_COST'!$G$50="CPI",'ENG_SCEN'!$P$32,1))))),IF('IN_COST'!$E$50="PCT_REV",'ENG_OPS'!$P$81*'IN_COST'!$F$50,IF('IN_COST'!$E$50="PCT_ASSET",'ENG_CAPEX'!$P$84*'IN_COST'!$F$50,IF('IN_COST'!$E$50="DEP",'ENG_CAPEX'!$P$81,IF('IN_COST'!$E$50="PAY",INDEX('IN_COST'!$D$15:$D$19,IFERROR(VALUE(MID('IN_COST'!$F$50,FIND(":",'IN_COST'!$F$50)+1,2)),1))*INDEX('IN_COST'!$E$15:$E$19,IFERROR(VALUE(MID('IN_COST'!$F$50,FIND(":",'IN_COST'!$F$50)+1,2)),1))*'IN_COST'!$D$10*'IN_COST'!$D$11*'ENG_SCEN'!$P$33,IF('IN_COST'!$E$50="SRV",SUM(INDEX('ENG_ALLOC'!$D$29:$P$58,(IFERROR(VALUE(MID('IN_COST'!$F$50,FIND(":",'IN_COST'!$F$50)+1,2)),1)-1)*6+1,13):INDEX('ENG_ALLOC'!$D$29:$P$58,IFERROR(VALUE(MID('IN_COST'!$F$50,FIND(":",'IN_COST'!$F$50)+1,2)),1)*6,13)),0)))))))))))*IF('IN_COST'!$E$50="DEP",'ENG_SCEN'!$G$16,IF('IN_COST'!$I$50="V",IF('IN_COST'!$E$50="SCRAP_LME",'ENG_SCEN'!$G$13,'ENG_SCEN'!$G$14),'ENG_SCEN'!$G$15))</f>
        <v/>
      </c>
    </row>
    <row r="65">
      <c r="A65" s="15" t="inlineStr">
        <is>
          <t>FPC-04 | حقوق غیرمستقیم تولید</t>
        </is>
      </c>
      <c r="B65" s="16" t="inlineStr">
        <is>
          <t>EC.tot.18</t>
        </is>
      </c>
      <c r="C65" s="17" t="inlineStr">
        <is>
          <t>میلیون ریال</t>
        </is>
      </c>
      <c r="D65" s="33">
        <f>'IN_MACRO'!$D$34*IF('IN_COST'!$E$51="SCRAP_LME",'ENG_OPS'!$D$20*'IN_COST'!$F$51*'ENG_SCEN'!$D$37,IF('IN_COST'!$E$51="PER_TON_BATT",'ENG_OPS'!$D$20*'IN_COST'!$F$51*IF('IN_COST'!$G$51="FX",'ENG_SCEN'!$D$36,IF('IN_COST'!$G$51="PPI",'ENG_SCEN'!$D$35,IF('IN_COST'!$G$51="ENERGY",'ENG_SCEN'!$D$34,IF('IN_COST'!$G$51="WAGE",'ENG_SCEN'!$D$33,IF('IN_COST'!$G$51="CPI",'ENG_SCEN'!$D$32,1))))),IF('IN_COST'!$E$51="PER_TON_PROD",'ENG_OPS'!$D$43*'IN_COST'!$F$51*IF('IN_COST'!$G$51="FX",'ENG_SCEN'!$D$36,IF('IN_COST'!$G$51="PPI",'ENG_SCEN'!$D$35,IF('IN_COST'!$G$51="ENERGY",'ENG_SCEN'!$D$34,IF('IN_COST'!$G$51="WAGE",'ENG_SCEN'!$D$33,IF('IN_COST'!$G$51="CPI",'ENG_SCEN'!$D$32,1))))),IF('IN_COST'!$E$51="PER_KWH",'ENG_OPS'!$D$63*'IN_COST'!$F$51*IF('IN_COST'!$G$51="FX",'ENG_SCEN'!$D$36,IF('IN_COST'!$G$51="PPI",'ENG_SCEN'!$D$35,IF('IN_COST'!$G$51="ENERGY",'ENG_SCEN'!$D$34,IF('IN_COST'!$G$51="WAGE",'ENG_SCEN'!$D$33,IF('IN_COST'!$G$51="CPI",'ENG_SCEN'!$D$32,1))))),IF('IN_COST'!$E$51="PER_M3",'ENG_OPS'!$D$64*'IN_COST'!$F$51*IF('IN_COST'!$G$51="FX",'ENG_SCEN'!$D$36,IF('IN_COST'!$G$51="PPI",'ENG_SCEN'!$D$35,IF('IN_COST'!$G$51="ENERGY",'ENG_SCEN'!$D$34,IF('IN_COST'!$G$51="WAGE",'ENG_SCEN'!$D$33,IF('IN_COST'!$G$51="CPI",'ENG_SCEN'!$D$32,1))))),IF('IN_COST'!$E$51="ANNUAL",'IN_COST'!$F$51*IF('IN_COST'!$G$51="FX",'ENG_SCEN'!$D$36,IF('IN_COST'!$G$51="PPI",'ENG_SCEN'!$D$35,IF('IN_COST'!$G$51="ENERGY",'ENG_SCEN'!$D$34,IF('IN_COST'!$G$51="WAGE",'ENG_SCEN'!$D$33,IF('IN_COST'!$G$51="CPI",'ENG_SCEN'!$D$32,1))))),IF('IN_COST'!$E$51="PCT_REV",'ENG_OPS'!$D$81*'IN_COST'!$F$51,IF('IN_COST'!$E$51="PCT_ASSET",'ENG_CAPEX'!$D$84*'IN_COST'!$F$51,IF('IN_COST'!$E$51="DEP",'ENG_CAPEX'!$D$81,IF('IN_COST'!$E$51="PAY",INDEX('IN_COST'!$D$15:$D$19,IFERROR(VALUE(MID('IN_COST'!$F$51,FIND(":",'IN_COST'!$F$51)+1,2)),1))*INDEX('IN_COST'!$E$15:$E$19,IFERROR(VALUE(MID('IN_COST'!$F$51,FIND(":",'IN_COST'!$F$51)+1,2)),1))*'IN_COST'!$D$10*'IN_COST'!$D$11*'ENG_SCEN'!$D$33,IF('IN_COST'!$E$51="SRV",SUM(INDEX('ENG_ALLOC'!$D$29:$P$58,(IFERROR(VALUE(MID('IN_COST'!$F$51,FIND(":",'IN_COST'!$F$51)+1,2)),1)-1)*6+1,1):INDEX('ENG_ALLOC'!$D$29:$P$58,IFERROR(VALUE(MID('IN_COST'!$F$51,FIND(":",'IN_COST'!$F$51)+1,2)),1)*6,1)),0)))))))))))*IF('IN_COST'!$E$51="DEP",'ENG_SCEN'!$G$16,IF('IN_COST'!$I$51="V",IF('IN_COST'!$E$51="SCRAP_LME",'ENG_SCEN'!$G$13,'ENG_SCEN'!$G$14),'ENG_SCEN'!$G$15))</f>
        <v/>
      </c>
      <c r="E65" s="33">
        <f>'IN_MACRO'!$E$34*IF('IN_COST'!$E$51="SCRAP_LME",'ENG_OPS'!$E$20*'IN_COST'!$F$51*'ENG_SCEN'!$E$37,IF('IN_COST'!$E$51="PER_TON_BATT",'ENG_OPS'!$E$20*'IN_COST'!$F$51*IF('IN_COST'!$G$51="FX",'ENG_SCEN'!$E$36,IF('IN_COST'!$G$51="PPI",'ENG_SCEN'!$E$35,IF('IN_COST'!$G$51="ENERGY",'ENG_SCEN'!$E$34,IF('IN_COST'!$G$51="WAGE",'ENG_SCEN'!$E$33,IF('IN_COST'!$G$51="CPI",'ENG_SCEN'!$E$32,1))))),IF('IN_COST'!$E$51="PER_TON_PROD",'ENG_OPS'!$E$43*'IN_COST'!$F$51*IF('IN_COST'!$G$51="FX",'ENG_SCEN'!$E$36,IF('IN_COST'!$G$51="PPI",'ENG_SCEN'!$E$35,IF('IN_COST'!$G$51="ENERGY",'ENG_SCEN'!$E$34,IF('IN_COST'!$G$51="WAGE",'ENG_SCEN'!$E$33,IF('IN_COST'!$G$51="CPI",'ENG_SCEN'!$E$32,1))))),IF('IN_COST'!$E$51="PER_KWH",'ENG_OPS'!$E$63*'IN_COST'!$F$51*IF('IN_COST'!$G$51="FX",'ENG_SCEN'!$E$36,IF('IN_COST'!$G$51="PPI",'ENG_SCEN'!$E$35,IF('IN_COST'!$G$51="ENERGY",'ENG_SCEN'!$E$34,IF('IN_COST'!$G$51="WAGE",'ENG_SCEN'!$E$33,IF('IN_COST'!$G$51="CPI",'ENG_SCEN'!$E$32,1))))),IF('IN_COST'!$E$51="PER_M3",'ENG_OPS'!$E$64*'IN_COST'!$F$51*IF('IN_COST'!$G$51="FX",'ENG_SCEN'!$E$36,IF('IN_COST'!$G$51="PPI",'ENG_SCEN'!$E$35,IF('IN_COST'!$G$51="ENERGY",'ENG_SCEN'!$E$34,IF('IN_COST'!$G$51="WAGE",'ENG_SCEN'!$E$33,IF('IN_COST'!$G$51="CPI",'ENG_SCEN'!$E$32,1))))),IF('IN_COST'!$E$51="ANNUAL",'IN_COST'!$F$51*IF('IN_COST'!$G$51="FX",'ENG_SCEN'!$E$36,IF('IN_COST'!$G$51="PPI",'ENG_SCEN'!$E$35,IF('IN_COST'!$G$51="ENERGY",'ENG_SCEN'!$E$34,IF('IN_COST'!$G$51="WAGE",'ENG_SCEN'!$E$33,IF('IN_COST'!$G$51="CPI",'ENG_SCEN'!$E$32,1))))),IF('IN_COST'!$E$51="PCT_REV",'ENG_OPS'!$E$81*'IN_COST'!$F$51,IF('IN_COST'!$E$51="PCT_ASSET",'ENG_CAPEX'!$E$84*'IN_COST'!$F$51,IF('IN_COST'!$E$51="DEP",'ENG_CAPEX'!$E$81,IF('IN_COST'!$E$51="PAY",INDEX('IN_COST'!$D$15:$D$19,IFERROR(VALUE(MID('IN_COST'!$F$51,FIND(":",'IN_COST'!$F$51)+1,2)),1))*INDEX('IN_COST'!$E$15:$E$19,IFERROR(VALUE(MID('IN_COST'!$F$51,FIND(":",'IN_COST'!$F$51)+1,2)),1))*'IN_COST'!$D$10*'IN_COST'!$D$11*'ENG_SCEN'!$E$33,IF('IN_COST'!$E$51="SRV",SUM(INDEX('ENG_ALLOC'!$D$29:$P$58,(IFERROR(VALUE(MID('IN_COST'!$F$51,FIND(":",'IN_COST'!$F$51)+1,2)),1)-1)*6+1,2):INDEX('ENG_ALLOC'!$D$29:$P$58,IFERROR(VALUE(MID('IN_COST'!$F$51,FIND(":",'IN_COST'!$F$51)+1,2)),1)*6,2)),0)))))))))))*IF('IN_COST'!$E$51="DEP",'ENG_SCEN'!$G$16,IF('IN_COST'!$I$51="V",IF('IN_COST'!$E$51="SCRAP_LME",'ENG_SCEN'!$G$13,'ENG_SCEN'!$G$14),'ENG_SCEN'!$G$15))</f>
        <v/>
      </c>
      <c r="F65" s="33">
        <f>'IN_MACRO'!$F$34*IF('IN_COST'!$E$51="SCRAP_LME",'ENG_OPS'!$F$20*'IN_COST'!$F$51*'ENG_SCEN'!$F$37,IF('IN_COST'!$E$51="PER_TON_BATT",'ENG_OPS'!$F$20*'IN_COST'!$F$51*IF('IN_COST'!$G$51="FX",'ENG_SCEN'!$F$36,IF('IN_COST'!$G$51="PPI",'ENG_SCEN'!$F$35,IF('IN_COST'!$G$51="ENERGY",'ENG_SCEN'!$F$34,IF('IN_COST'!$G$51="WAGE",'ENG_SCEN'!$F$33,IF('IN_COST'!$G$51="CPI",'ENG_SCEN'!$F$32,1))))),IF('IN_COST'!$E$51="PER_TON_PROD",'ENG_OPS'!$F$43*'IN_COST'!$F$51*IF('IN_COST'!$G$51="FX",'ENG_SCEN'!$F$36,IF('IN_COST'!$G$51="PPI",'ENG_SCEN'!$F$35,IF('IN_COST'!$G$51="ENERGY",'ENG_SCEN'!$F$34,IF('IN_COST'!$G$51="WAGE",'ENG_SCEN'!$F$33,IF('IN_COST'!$G$51="CPI",'ENG_SCEN'!$F$32,1))))),IF('IN_COST'!$E$51="PER_KWH",'ENG_OPS'!$F$63*'IN_COST'!$F$51*IF('IN_COST'!$G$51="FX",'ENG_SCEN'!$F$36,IF('IN_COST'!$G$51="PPI",'ENG_SCEN'!$F$35,IF('IN_COST'!$G$51="ENERGY",'ENG_SCEN'!$F$34,IF('IN_COST'!$G$51="WAGE",'ENG_SCEN'!$F$33,IF('IN_COST'!$G$51="CPI",'ENG_SCEN'!$F$32,1))))),IF('IN_COST'!$E$51="PER_M3",'ENG_OPS'!$F$64*'IN_COST'!$F$51*IF('IN_COST'!$G$51="FX",'ENG_SCEN'!$F$36,IF('IN_COST'!$G$51="PPI",'ENG_SCEN'!$F$35,IF('IN_COST'!$G$51="ENERGY",'ENG_SCEN'!$F$34,IF('IN_COST'!$G$51="WAGE",'ENG_SCEN'!$F$33,IF('IN_COST'!$G$51="CPI",'ENG_SCEN'!$F$32,1))))),IF('IN_COST'!$E$51="ANNUAL",'IN_COST'!$F$51*IF('IN_COST'!$G$51="FX",'ENG_SCEN'!$F$36,IF('IN_COST'!$G$51="PPI",'ENG_SCEN'!$F$35,IF('IN_COST'!$G$51="ENERGY",'ENG_SCEN'!$F$34,IF('IN_COST'!$G$51="WAGE",'ENG_SCEN'!$F$33,IF('IN_COST'!$G$51="CPI",'ENG_SCEN'!$F$32,1))))),IF('IN_COST'!$E$51="PCT_REV",'ENG_OPS'!$F$81*'IN_COST'!$F$51,IF('IN_COST'!$E$51="PCT_ASSET",'ENG_CAPEX'!$F$84*'IN_COST'!$F$51,IF('IN_COST'!$E$51="DEP",'ENG_CAPEX'!$F$81,IF('IN_COST'!$E$51="PAY",INDEX('IN_COST'!$D$15:$D$19,IFERROR(VALUE(MID('IN_COST'!$F$51,FIND(":",'IN_COST'!$F$51)+1,2)),1))*INDEX('IN_COST'!$E$15:$E$19,IFERROR(VALUE(MID('IN_COST'!$F$51,FIND(":",'IN_COST'!$F$51)+1,2)),1))*'IN_COST'!$D$10*'IN_COST'!$D$11*'ENG_SCEN'!$F$33,IF('IN_COST'!$E$51="SRV",SUM(INDEX('ENG_ALLOC'!$D$29:$P$58,(IFERROR(VALUE(MID('IN_COST'!$F$51,FIND(":",'IN_COST'!$F$51)+1,2)),1)-1)*6+1,3):INDEX('ENG_ALLOC'!$D$29:$P$58,IFERROR(VALUE(MID('IN_COST'!$F$51,FIND(":",'IN_COST'!$F$51)+1,2)),1)*6,3)),0)))))))))))*IF('IN_COST'!$E$51="DEP",'ENG_SCEN'!$G$16,IF('IN_COST'!$I$51="V",IF('IN_COST'!$E$51="SCRAP_LME",'ENG_SCEN'!$G$13,'ENG_SCEN'!$G$14),'ENG_SCEN'!$G$15))</f>
        <v/>
      </c>
      <c r="G65" s="33">
        <f>'IN_MACRO'!$G$34*IF('IN_COST'!$E$51="SCRAP_LME",'ENG_OPS'!$G$20*'IN_COST'!$F$51*'ENG_SCEN'!$G$37,IF('IN_COST'!$E$51="PER_TON_BATT",'ENG_OPS'!$G$20*'IN_COST'!$F$51*IF('IN_COST'!$G$51="FX",'ENG_SCEN'!$G$36,IF('IN_COST'!$G$51="PPI",'ENG_SCEN'!$G$35,IF('IN_COST'!$G$51="ENERGY",'ENG_SCEN'!$G$34,IF('IN_COST'!$G$51="WAGE",'ENG_SCEN'!$G$33,IF('IN_COST'!$G$51="CPI",'ENG_SCEN'!$G$32,1))))),IF('IN_COST'!$E$51="PER_TON_PROD",'ENG_OPS'!$G$43*'IN_COST'!$F$51*IF('IN_COST'!$G$51="FX",'ENG_SCEN'!$G$36,IF('IN_COST'!$G$51="PPI",'ENG_SCEN'!$G$35,IF('IN_COST'!$G$51="ENERGY",'ENG_SCEN'!$G$34,IF('IN_COST'!$G$51="WAGE",'ENG_SCEN'!$G$33,IF('IN_COST'!$G$51="CPI",'ENG_SCEN'!$G$32,1))))),IF('IN_COST'!$E$51="PER_KWH",'ENG_OPS'!$G$63*'IN_COST'!$F$51*IF('IN_COST'!$G$51="FX",'ENG_SCEN'!$G$36,IF('IN_COST'!$G$51="PPI",'ENG_SCEN'!$G$35,IF('IN_COST'!$G$51="ENERGY",'ENG_SCEN'!$G$34,IF('IN_COST'!$G$51="WAGE",'ENG_SCEN'!$G$33,IF('IN_COST'!$G$51="CPI",'ENG_SCEN'!$G$32,1))))),IF('IN_COST'!$E$51="PER_M3",'ENG_OPS'!$G$64*'IN_COST'!$F$51*IF('IN_COST'!$G$51="FX",'ENG_SCEN'!$G$36,IF('IN_COST'!$G$51="PPI",'ENG_SCEN'!$G$35,IF('IN_COST'!$G$51="ENERGY",'ENG_SCEN'!$G$34,IF('IN_COST'!$G$51="WAGE",'ENG_SCEN'!$G$33,IF('IN_COST'!$G$51="CPI",'ENG_SCEN'!$G$32,1))))),IF('IN_COST'!$E$51="ANNUAL",'IN_COST'!$F$51*IF('IN_COST'!$G$51="FX",'ENG_SCEN'!$G$36,IF('IN_COST'!$G$51="PPI",'ENG_SCEN'!$G$35,IF('IN_COST'!$G$51="ENERGY",'ENG_SCEN'!$G$34,IF('IN_COST'!$G$51="WAGE",'ENG_SCEN'!$G$33,IF('IN_COST'!$G$51="CPI",'ENG_SCEN'!$G$32,1))))),IF('IN_COST'!$E$51="PCT_REV",'ENG_OPS'!$G$81*'IN_COST'!$F$51,IF('IN_COST'!$E$51="PCT_ASSET",'ENG_CAPEX'!$G$84*'IN_COST'!$F$51,IF('IN_COST'!$E$51="DEP",'ENG_CAPEX'!$G$81,IF('IN_COST'!$E$51="PAY",INDEX('IN_COST'!$D$15:$D$19,IFERROR(VALUE(MID('IN_COST'!$F$51,FIND(":",'IN_COST'!$F$51)+1,2)),1))*INDEX('IN_COST'!$E$15:$E$19,IFERROR(VALUE(MID('IN_COST'!$F$51,FIND(":",'IN_COST'!$F$51)+1,2)),1))*'IN_COST'!$D$10*'IN_COST'!$D$11*'ENG_SCEN'!$G$33,IF('IN_COST'!$E$51="SRV",SUM(INDEX('ENG_ALLOC'!$D$29:$P$58,(IFERROR(VALUE(MID('IN_COST'!$F$51,FIND(":",'IN_COST'!$F$51)+1,2)),1)-1)*6+1,4):INDEX('ENG_ALLOC'!$D$29:$P$58,IFERROR(VALUE(MID('IN_COST'!$F$51,FIND(":",'IN_COST'!$F$51)+1,2)),1)*6,4)),0)))))))))))*IF('IN_COST'!$E$51="DEP",'ENG_SCEN'!$G$16,IF('IN_COST'!$I$51="V",IF('IN_COST'!$E$51="SCRAP_LME",'ENG_SCEN'!$G$13,'ENG_SCEN'!$G$14),'ENG_SCEN'!$G$15))</f>
        <v/>
      </c>
      <c r="H65" s="33">
        <f>'IN_MACRO'!$H$34*IF('IN_COST'!$E$51="SCRAP_LME",'ENG_OPS'!$H$20*'IN_COST'!$F$51*'ENG_SCEN'!$H$37,IF('IN_COST'!$E$51="PER_TON_BATT",'ENG_OPS'!$H$20*'IN_COST'!$F$51*IF('IN_COST'!$G$51="FX",'ENG_SCEN'!$H$36,IF('IN_COST'!$G$51="PPI",'ENG_SCEN'!$H$35,IF('IN_COST'!$G$51="ENERGY",'ENG_SCEN'!$H$34,IF('IN_COST'!$G$51="WAGE",'ENG_SCEN'!$H$33,IF('IN_COST'!$G$51="CPI",'ENG_SCEN'!$H$32,1))))),IF('IN_COST'!$E$51="PER_TON_PROD",'ENG_OPS'!$H$43*'IN_COST'!$F$51*IF('IN_COST'!$G$51="FX",'ENG_SCEN'!$H$36,IF('IN_COST'!$G$51="PPI",'ENG_SCEN'!$H$35,IF('IN_COST'!$G$51="ENERGY",'ENG_SCEN'!$H$34,IF('IN_COST'!$G$51="WAGE",'ENG_SCEN'!$H$33,IF('IN_COST'!$G$51="CPI",'ENG_SCEN'!$H$32,1))))),IF('IN_COST'!$E$51="PER_KWH",'ENG_OPS'!$H$63*'IN_COST'!$F$51*IF('IN_COST'!$G$51="FX",'ENG_SCEN'!$H$36,IF('IN_COST'!$G$51="PPI",'ENG_SCEN'!$H$35,IF('IN_COST'!$G$51="ENERGY",'ENG_SCEN'!$H$34,IF('IN_COST'!$G$51="WAGE",'ENG_SCEN'!$H$33,IF('IN_COST'!$G$51="CPI",'ENG_SCEN'!$H$32,1))))),IF('IN_COST'!$E$51="PER_M3",'ENG_OPS'!$H$64*'IN_COST'!$F$51*IF('IN_COST'!$G$51="FX",'ENG_SCEN'!$H$36,IF('IN_COST'!$G$51="PPI",'ENG_SCEN'!$H$35,IF('IN_COST'!$G$51="ENERGY",'ENG_SCEN'!$H$34,IF('IN_COST'!$G$51="WAGE",'ENG_SCEN'!$H$33,IF('IN_COST'!$G$51="CPI",'ENG_SCEN'!$H$32,1))))),IF('IN_COST'!$E$51="ANNUAL",'IN_COST'!$F$51*IF('IN_COST'!$G$51="FX",'ENG_SCEN'!$H$36,IF('IN_COST'!$G$51="PPI",'ENG_SCEN'!$H$35,IF('IN_COST'!$G$51="ENERGY",'ENG_SCEN'!$H$34,IF('IN_COST'!$G$51="WAGE",'ENG_SCEN'!$H$33,IF('IN_COST'!$G$51="CPI",'ENG_SCEN'!$H$32,1))))),IF('IN_COST'!$E$51="PCT_REV",'ENG_OPS'!$H$81*'IN_COST'!$F$51,IF('IN_COST'!$E$51="PCT_ASSET",'ENG_CAPEX'!$H$84*'IN_COST'!$F$51,IF('IN_COST'!$E$51="DEP",'ENG_CAPEX'!$H$81,IF('IN_COST'!$E$51="PAY",INDEX('IN_COST'!$D$15:$D$19,IFERROR(VALUE(MID('IN_COST'!$F$51,FIND(":",'IN_COST'!$F$51)+1,2)),1))*INDEX('IN_COST'!$E$15:$E$19,IFERROR(VALUE(MID('IN_COST'!$F$51,FIND(":",'IN_COST'!$F$51)+1,2)),1))*'IN_COST'!$D$10*'IN_COST'!$D$11*'ENG_SCEN'!$H$33,IF('IN_COST'!$E$51="SRV",SUM(INDEX('ENG_ALLOC'!$D$29:$P$58,(IFERROR(VALUE(MID('IN_COST'!$F$51,FIND(":",'IN_COST'!$F$51)+1,2)),1)-1)*6+1,5):INDEX('ENG_ALLOC'!$D$29:$P$58,IFERROR(VALUE(MID('IN_COST'!$F$51,FIND(":",'IN_COST'!$F$51)+1,2)),1)*6,5)),0)))))))))))*IF('IN_COST'!$E$51="DEP",'ENG_SCEN'!$G$16,IF('IN_COST'!$I$51="V",IF('IN_COST'!$E$51="SCRAP_LME",'ENG_SCEN'!$G$13,'ENG_SCEN'!$G$14),'ENG_SCEN'!$G$15))</f>
        <v/>
      </c>
      <c r="I65" s="33">
        <f>'IN_MACRO'!$I$34*IF('IN_COST'!$E$51="SCRAP_LME",'ENG_OPS'!$I$20*'IN_COST'!$F$51*'ENG_SCEN'!$I$37,IF('IN_COST'!$E$51="PER_TON_BATT",'ENG_OPS'!$I$20*'IN_COST'!$F$51*IF('IN_COST'!$G$51="FX",'ENG_SCEN'!$I$36,IF('IN_COST'!$G$51="PPI",'ENG_SCEN'!$I$35,IF('IN_COST'!$G$51="ENERGY",'ENG_SCEN'!$I$34,IF('IN_COST'!$G$51="WAGE",'ENG_SCEN'!$I$33,IF('IN_COST'!$G$51="CPI",'ENG_SCEN'!$I$32,1))))),IF('IN_COST'!$E$51="PER_TON_PROD",'ENG_OPS'!$I$43*'IN_COST'!$F$51*IF('IN_COST'!$G$51="FX",'ENG_SCEN'!$I$36,IF('IN_COST'!$G$51="PPI",'ENG_SCEN'!$I$35,IF('IN_COST'!$G$51="ENERGY",'ENG_SCEN'!$I$34,IF('IN_COST'!$G$51="WAGE",'ENG_SCEN'!$I$33,IF('IN_COST'!$G$51="CPI",'ENG_SCEN'!$I$32,1))))),IF('IN_COST'!$E$51="PER_KWH",'ENG_OPS'!$I$63*'IN_COST'!$F$51*IF('IN_COST'!$G$51="FX",'ENG_SCEN'!$I$36,IF('IN_COST'!$G$51="PPI",'ENG_SCEN'!$I$35,IF('IN_COST'!$G$51="ENERGY",'ENG_SCEN'!$I$34,IF('IN_COST'!$G$51="WAGE",'ENG_SCEN'!$I$33,IF('IN_COST'!$G$51="CPI",'ENG_SCEN'!$I$32,1))))),IF('IN_COST'!$E$51="PER_M3",'ENG_OPS'!$I$64*'IN_COST'!$F$51*IF('IN_COST'!$G$51="FX",'ENG_SCEN'!$I$36,IF('IN_COST'!$G$51="PPI",'ENG_SCEN'!$I$35,IF('IN_COST'!$G$51="ENERGY",'ENG_SCEN'!$I$34,IF('IN_COST'!$G$51="WAGE",'ENG_SCEN'!$I$33,IF('IN_COST'!$G$51="CPI",'ENG_SCEN'!$I$32,1))))),IF('IN_COST'!$E$51="ANNUAL",'IN_COST'!$F$51*IF('IN_COST'!$G$51="FX",'ENG_SCEN'!$I$36,IF('IN_COST'!$G$51="PPI",'ENG_SCEN'!$I$35,IF('IN_COST'!$G$51="ENERGY",'ENG_SCEN'!$I$34,IF('IN_COST'!$G$51="WAGE",'ENG_SCEN'!$I$33,IF('IN_COST'!$G$51="CPI",'ENG_SCEN'!$I$32,1))))),IF('IN_COST'!$E$51="PCT_REV",'ENG_OPS'!$I$81*'IN_COST'!$F$51,IF('IN_COST'!$E$51="PCT_ASSET",'ENG_CAPEX'!$I$84*'IN_COST'!$F$51,IF('IN_COST'!$E$51="DEP",'ENG_CAPEX'!$I$81,IF('IN_COST'!$E$51="PAY",INDEX('IN_COST'!$D$15:$D$19,IFERROR(VALUE(MID('IN_COST'!$F$51,FIND(":",'IN_COST'!$F$51)+1,2)),1))*INDEX('IN_COST'!$E$15:$E$19,IFERROR(VALUE(MID('IN_COST'!$F$51,FIND(":",'IN_COST'!$F$51)+1,2)),1))*'IN_COST'!$D$10*'IN_COST'!$D$11*'ENG_SCEN'!$I$33,IF('IN_COST'!$E$51="SRV",SUM(INDEX('ENG_ALLOC'!$D$29:$P$58,(IFERROR(VALUE(MID('IN_COST'!$F$51,FIND(":",'IN_COST'!$F$51)+1,2)),1)-1)*6+1,6):INDEX('ENG_ALLOC'!$D$29:$P$58,IFERROR(VALUE(MID('IN_COST'!$F$51,FIND(":",'IN_COST'!$F$51)+1,2)),1)*6,6)),0)))))))))))*IF('IN_COST'!$E$51="DEP",'ENG_SCEN'!$G$16,IF('IN_COST'!$I$51="V",IF('IN_COST'!$E$51="SCRAP_LME",'ENG_SCEN'!$G$13,'ENG_SCEN'!$G$14),'ENG_SCEN'!$G$15))</f>
        <v/>
      </c>
      <c r="J65" s="33">
        <f>'IN_MACRO'!$J$34*IF('IN_COST'!$E$51="SCRAP_LME",'ENG_OPS'!$J$20*'IN_COST'!$F$51*'ENG_SCEN'!$J$37,IF('IN_COST'!$E$51="PER_TON_BATT",'ENG_OPS'!$J$20*'IN_COST'!$F$51*IF('IN_COST'!$G$51="FX",'ENG_SCEN'!$J$36,IF('IN_COST'!$G$51="PPI",'ENG_SCEN'!$J$35,IF('IN_COST'!$G$51="ENERGY",'ENG_SCEN'!$J$34,IF('IN_COST'!$G$51="WAGE",'ENG_SCEN'!$J$33,IF('IN_COST'!$G$51="CPI",'ENG_SCEN'!$J$32,1))))),IF('IN_COST'!$E$51="PER_TON_PROD",'ENG_OPS'!$J$43*'IN_COST'!$F$51*IF('IN_COST'!$G$51="FX",'ENG_SCEN'!$J$36,IF('IN_COST'!$G$51="PPI",'ENG_SCEN'!$J$35,IF('IN_COST'!$G$51="ENERGY",'ENG_SCEN'!$J$34,IF('IN_COST'!$G$51="WAGE",'ENG_SCEN'!$J$33,IF('IN_COST'!$G$51="CPI",'ENG_SCEN'!$J$32,1))))),IF('IN_COST'!$E$51="PER_KWH",'ENG_OPS'!$J$63*'IN_COST'!$F$51*IF('IN_COST'!$G$51="FX",'ENG_SCEN'!$J$36,IF('IN_COST'!$G$51="PPI",'ENG_SCEN'!$J$35,IF('IN_COST'!$G$51="ENERGY",'ENG_SCEN'!$J$34,IF('IN_COST'!$G$51="WAGE",'ENG_SCEN'!$J$33,IF('IN_COST'!$G$51="CPI",'ENG_SCEN'!$J$32,1))))),IF('IN_COST'!$E$51="PER_M3",'ENG_OPS'!$J$64*'IN_COST'!$F$51*IF('IN_COST'!$G$51="FX",'ENG_SCEN'!$J$36,IF('IN_COST'!$G$51="PPI",'ENG_SCEN'!$J$35,IF('IN_COST'!$G$51="ENERGY",'ENG_SCEN'!$J$34,IF('IN_COST'!$G$51="WAGE",'ENG_SCEN'!$J$33,IF('IN_COST'!$G$51="CPI",'ENG_SCEN'!$J$32,1))))),IF('IN_COST'!$E$51="ANNUAL",'IN_COST'!$F$51*IF('IN_COST'!$G$51="FX",'ENG_SCEN'!$J$36,IF('IN_COST'!$G$51="PPI",'ENG_SCEN'!$J$35,IF('IN_COST'!$G$51="ENERGY",'ENG_SCEN'!$J$34,IF('IN_COST'!$G$51="WAGE",'ENG_SCEN'!$J$33,IF('IN_COST'!$G$51="CPI",'ENG_SCEN'!$J$32,1))))),IF('IN_COST'!$E$51="PCT_REV",'ENG_OPS'!$J$81*'IN_COST'!$F$51,IF('IN_COST'!$E$51="PCT_ASSET",'ENG_CAPEX'!$J$84*'IN_COST'!$F$51,IF('IN_COST'!$E$51="DEP",'ENG_CAPEX'!$J$81,IF('IN_COST'!$E$51="PAY",INDEX('IN_COST'!$D$15:$D$19,IFERROR(VALUE(MID('IN_COST'!$F$51,FIND(":",'IN_COST'!$F$51)+1,2)),1))*INDEX('IN_COST'!$E$15:$E$19,IFERROR(VALUE(MID('IN_COST'!$F$51,FIND(":",'IN_COST'!$F$51)+1,2)),1))*'IN_COST'!$D$10*'IN_COST'!$D$11*'ENG_SCEN'!$J$33,IF('IN_COST'!$E$51="SRV",SUM(INDEX('ENG_ALLOC'!$D$29:$P$58,(IFERROR(VALUE(MID('IN_COST'!$F$51,FIND(":",'IN_COST'!$F$51)+1,2)),1)-1)*6+1,7):INDEX('ENG_ALLOC'!$D$29:$P$58,IFERROR(VALUE(MID('IN_COST'!$F$51,FIND(":",'IN_COST'!$F$51)+1,2)),1)*6,7)),0)))))))))))*IF('IN_COST'!$E$51="DEP",'ENG_SCEN'!$G$16,IF('IN_COST'!$I$51="V",IF('IN_COST'!$E$51="SCRAP_LME",'ENG_SCEN'!$G$13,'ENG_SCEN'!$G$14),'ENG_SCEN'!$G$15))</f>
        <v/>
      </c>
      <c r="K65" s="33">
        <f>'IN_MACRO'!$K$34*IF('IN_COST'!$E$51="SCRAP_LME",'ENG_OPS'!$K$20*'IN_COST'!$F$51*'ENG_SCEN'!$K$37,IF('IN_COST'!$E$51="PER_TON_BATT",'ENG_OPS'!$K$20*'IN_COST'!$F$51*IF('IN_COST'!$G$51="FX",'ENG_SCEN'!$K$36,IF('IN_COST'!$G$51="PPI",'ENG_SCEN'!$K$35,IF('IN_COST'!$G$51="ENERGY",'ENG_SCEN'!$K$34,IF('IN_COST'!$G$51="WAGE",'ENG_SCEN'!$K$33,IF('IN_COST'!$G$51="CPI",'ENG_SCEN'!$K$32,1))))),IF('IN_COST'!$E$51="PER_TON_PROD",'ENG_OPS'!$K$43*'IN_COST'!$F$51*IF('IN_COST'!$G$51="FX",'ENG_SCEN'!$K$36,IF('IN_COST'!$G$51="PPI",'ENG_SCEN'!$K$35,IF('IN_COST'!$G$51="ENERGY",'ENG_SCEN'!$K$34,IF('IN_COST'!$G$51="WAGE",'ENG_SCEN'!$K$33,IF('IN_COST'!$G$51="CPI",'ENG_SCEN'!$K$32,1))))),IF('IN_COST'!$E$51="PER_KWH",'ENG_OPS'!$K$63*'IN_COST'!$F$51*IF('IN_COST'!$G$51="FX",'ENG_SCEN'!$K$36,IF('IN_COST'!$G$51="PPI",'ENG_SCEN'!$K$35,IF('IN_COST'!$G$51="ENERGY",'ENG_SCEN'!$K$34,IF('IN_COST'!$G$51="WAGE",'ENG_SCEN'!$K$33,IF('IN_COST'!$G$51="CPI",'ENG_SCEN'!$K$32,1))))),IF('IN_COST'!$E$51="PER_M3",'ENG_OPS'!$K$64*'IN_COST'!$F$51*IF('IN_COST'!$G$51="FX",'ENG_SCEN'!$K$36,IF('IN_COST'!$G$51="PPI",'ENG_SCEN'!$K$35,IF('IN_COST'!$G$51="ENERGY",'ENG_SCEN'!$K$34,IF('IN_COST'!$G$51="WAGE",'ENG_SCEN'!$K$33,IF('IN_COST'!$G$51="CPI",'ENG_SCEN'!$K$32,1))))),IF('IN_COST'!$E$51="ANNUAL",'IN_COST'!$F$51*IF('IN_COST'!$G$51="FX",'ENG_SCEN'!$K$36,IF('IN_COST'!$G$51="PPI",'ENG_SCEN'!$K$35,IF('IN_COST'!$G$51="ENERGY",'ENG_SCEN'!$K$34,IF('IN_COST'!$G$51="WAGE",'ENG_SCEN'!$K$33,IF('IN_COST'!$G$51="CPI",'ENG_SCEN'!$K$32,1))))),IF('IN_COST'!$E$51="PCT_REV",'ENG_OPS'!$K$81*'IN_COST'!$F$51,IF('IN_COST'!$E$51="PCT_ASSET",'ENG_CAPEX'!$K$84*'IN_COST'!$F$51,IF('IN_COST'!$E$51="DEP",'ENG_CAPEX'!$K$81,IF('IN_COST'!$E$51="PAY",INDEX('IN_COST'!$D$15:$D$19,IFERROR(VALUE(MID('IN_COST'!$F$51,FIND(":",'IN_COST'!$F$51)+1,2)),1))*INDEX('IN_COST'!$E$15:$E$19,IFERROR(VALUE(MID('IN_COST'!$F$51,FIND(":",'IN_COST'!$F$51)+1,2)),1))*'IN_COST'!$D$10*'IN_COST'!$D$11*'ENG_SCEN'!$K$33,IF('IN_COST'!$E$51="SRV",SUM(INDEX('ENG_ALLOC'!$D$29:$P$58,(IFERROR(VALUE(MID('IN_COST'!$F$51,FIND(":",'IN_COST'!$F$51)+1,2)),1)-1)*6+1,8):INDEX('ENG_ALLOC'!$D$29:$P$58,IFERROR(VALUE(MID('IN_COST'!$F$51,FIND(":",'IN_COST'!$F$51)+1,2)),1)*6,8)),0)))))))))))*IF('IN_COST'!$E$51="DEP",'ENG_SCEN'!$G$16,IF('IN_COST'!$I$51="V",IF('IN_COST'!$E$51="SCRAP_LME",'ENG_SCEN'!$G$13,'ENG_SCEN'!$G$14),'ENG_SCEN'!$G$15))</f>
        <v/>
      </c>
      <c r="L65" s="33">
        <f>'IN_MACRO'!$L$34*IF('IN_COST'!$E$51="SCRAP_LME",'ENG_OPS'!$L$20*'IN_COST'!$F$51*'ENG_SCEN'!$L$37,IF('IN_COST'!$E$51="PER_TON_BATT",'ENG_OPS'!$L$20*'IN_COST'!$F$51*IF('IN_COST'!$G$51="FX",'ENG_SCEN'!$L$36,IF('IN_COST'!$G$51="PPI",'ENG_SCEN'!$L$35,IF('IN_COST'!$G$51="ENERGY",'ENG_SCEN'!$L$34,IF('IN_COST'!$G$51="WAGE",'ENG_SCEN'!$L$33,IF('IN_COST'!$G$51="CPI",'ENG_SCEN'!$L$32,1))))),IF('IN_COST'!$E$51="PER_TON_PROD",'ENG_OPS'!$L$43*'IN_COST'!$F$51*IF('IN_COST'!$G$51="FX",'ENG_SCEN'!$L$36,IF('IN_COST'!$G$51="PPI",'ENG_SCEN'!$L$35,IF('IN_COST'!$G$51="ENERGY",'ENG_SCEN'!$L$34,IF('IN_COST'!$G$51="WAGE",'ENG_SCEN'!$L$33,IF('IN_COST'!$G$51="CPI",'ENG_SCEN'!$L$32,1))))),IF('IN_COST'!$E$51="PER_KWH",'ENG_OPS'!$L$63*'IN_COST'!$F$51*IF('IN_COST'!$G$51="FX",'ENG_SCEN'!$L$36,IF('IN_COST'!$G$51="PPI",'ENG_SCEN'!$L$35,IF('IN_COST'!$G$51="ENERGY",'ENG_SCEN'!$L$34,IF('IN_COST'!$G$51="WAGE",'ENG_SCEN'!$L$33,IF('IN_COST'!$G$51="CPI",'ENG_SCEN'!$L$32,1))))),IF('IN_COST'!$E$51="PER_M3",'ENG_OPS'!$L$64*'IN_COST'!$F$51*IF('IN_COST'!$G$51="FX",'ENG_SCEN'!$L$36,IF('IN_COST'!$G$51="PPI",'ENG_SCEN'!$L$35,IF('IN_COST'!$G$51="ENERGY",'ENG_SCEN'!$L$34,IF('IN_COST'!$G$51="WAGE",'ENG_SCEN'!$L$33,IF('IN_COST'!$G$51="CPI",'ENG_SCEN'!$L$32,1))))),IF('IN_COST'!$E$51="ANNUAL",'IN_COST'!$F$51*IF('IN_COST'!$G$51="FX",'ENG_SCEN'!$L$36,IF('IN_COST'!$G$51="PPI",'ENG_SCEN'!$L$35,IF('IN_COST'!$G$51="ENERGY",'ENG_SCEN'!$L$34,IF('IN_COST'!$G$51="WAGE",'ENG_SCEN'!$L$33,IF('IN_COST'!$G$51="CPI",'ENG_SCEN'!$L$32,1))))),IF('IN_COST'!$E$51="PCT_REV",'ENG_OPS'!$L$81*'IN_COST'!$F$51,IF('IN_COST'!$E$51="PCT_ASSET",'ENG_CAPEX'!$L$84*'IN_COST'!$F$51,IF('IN_COST'!$E$51="DEP",'ENG_CAPEX'!$L$81,IF('IN_COST'!$E$51="PAY",INDEX('IN_COST'!$D$15:$D$19,IFERROR(VALUE(MID('IN_COST'!$F$51,FIND(":",'IN_COST'!$F$51)+1,2)),1))*INDEX('IN_COST'!$E$15:$E$19,IFERROR(VALUE(MID('IN_COST'!$F$51,FIND(":",'IN_COST'!$F$51)+1,2)),1))*'IN_COST'!$D$10*'IN_COST'!$D$11*'ENG_SCEN'!$L$33,IF('IN_COST'!$E$51="SRV",SUM(INDEX('ENG_ALLOC'!$D$29:$P$58,(IFERROR(VALUE(MID('IN_COST'!$F$51,FIND(":",'IN_COST'!$F$51)+1,2)),1)-1)*6+1,9):INDEX('ENG_ALLOC'!$D$29:$P$58,IFERROR(VALUE(MID('IN_COST'!$F$51,FIND(":",'IN_COST'!$F$51)+1,2)),1)*6,9)),0)))))))))))*IF('IN_COST'!$E$51="DEP",'ENG_SCEN'!$G$16,IF('IN_COST'!$I$51="V",IF('IN_COST'!$E$51="SCRAP_LME",'ENG_SCEN'!$G$13,'ENG_SCEN'!$G$14),'ENG_SCEN'!$G$15))</f>
        <v/>
      </c>
      <c r="M65" s="33">
        <f>'IN_MACRO'!$M$34*IF('IN_COST'!$E$51="SCRAP_LME",'ENG_OPS'!$M$20*'IN_COST'!$F$51*'ENG_SCEN'!$M$37,IF('IN_COST'!$E$51="PER_TON_BATT",'ENG_OPS'!$M$20*'IN_COST'!$F$51*IF('IN_COST'!$G$51="FX",'ENG_SCEN'!$M$36,IF('IN_COST'!$G$51="PPI",'ENG_SCEN'!$M$35,IF('IN_COST'!$G$51="ENERGY",'ENG_SCEN'!$M$34,IF('IN_COST'!$G$51="WAGE",'ENG_SCEN'!$M$33,IF('IN_COST'!$G$51="CPI",'ENG_SCEN'!$M$32,1))))),IF('IN_COST'!$E$51="PER_TON_PROD",'ENG_OPS'!$M$43*'IN_COST'!$F$51*IF('IN_COST'!$G$51="FX",'ENG_SCEN'!$M$36,IF('IN_COST'!$G$51="PPI",'ENG_SCEN'!$M$35,IF('IN_COST'!$G$51="ENERGY",'ENG_SCEN'!$M$34,IF('IN_COST'!$G$51="WAGE",'ENG_SCEN'!$M$33,IF('IN_COST'!$G$51="CPI",'ENG_SCEN'!$M$32,1))))),IF('IN_COST'!$E$51="PER_KWH",'ENG_OPS'!$M$63*'IN_COST'!$F$51*IF('IN_COST'!$G$51="FX",'ENG_SCEN'!$M$36,IF('IN_COST'!$G$51="PPI",'ENG_SCEN'!$M$35,IF('IN_COST'!$G$51="ENERGY",'ENG_SCEN'!$M$34,IF('IN_COST'!$G$51="WAGE",'ENG_SCEN'!$M$33,IF('IN_COST'!$G$51="CPI",'ENG_SCEN'!$M$32,1))))),IF('IN_COST'!$E$51="PER_M3",'ENG_OPS'!$M$64*'IN_COST'!$F$51*IF('IN_COST'!$G$51="FX",'ENG_SCEN'!$M$36,IF('IN_COST'!$G$51="PPI",'ENG_SCEN'!$M$35,IF('IN_COST'!$G$51="ENERGY",'ENG_SCEN'!$M$34,IF('IN_COST'!$G$51="WAGE",'ENG_SCEN'!$M$33,IF('IN_COST'!$G$51="CPI",'ENG_SCEN'!$M$32,1))))),IF('IN_COST'!$E$51="ANNUAL",'IN_COST'!$F$51*IF('IN_COST'!$G$51="FX",'ENG_SCEN'!$M$36,IF('IN_COST'!$G$51="PPI",'ENG_SCEN'!$M$35,IF('IN_COST'!$G$51="ENERGY",'ENG_SCEN'!$M$34,IF('IN_COST'!$G$51="WAGE",'ENG_SCEN'!$M$33,IF('IN_COST'!$G$51="CPI",'ENG_SCEN'!$M$32,1))))),IF('IN_COST'!$E$51="PCT_REV",'ENG_OPS'!$M$81*'IN_COST'!$F$51,IF('IN_COST'!$E$51="PCT_ASSET",'ENG_CAPEX'!$M$84*'IN_COST'!$F$51,IF('IN_COST'!$E$51="DEP",'ENG_CAPEX'!$M$81,IF('IN_COST'!$E$51="PAY",INDEX('IN_COST'!$D$15:$D$19,IFERROR(VALUE(MID('IN_COST'!$F$51,FIND(":",'IN_COST'!$F$51)+1,2)),1))*INDEX('IN_COST'!$E$15:$E$19,IFERROR(VALUE(MID('IN_COST'!$F$51,FIND(":",'IN_COST'!$F$51)+1,2)),1))*'IN_COST'!$D$10*'IN_COST'!$D$11*'ENG_SCEN'!$M$33,IF('IN_COST'!$E$51="SRV",SUM(INDEX('ENG_ALLOC'!$D$29:$P$58,(IFERROR(VALUE(MID('IN_COST'!$F$51,FIND(":",'IN_COST'!$F$51)+1,2)),1)-1)*6+1,10):INDEX('ENG_ALLOC'!$D$29:$P$58,IFERROR(VALUE(MID('IN_COST'!$F$51,FIND(":",'IN_COST'!$F$51)+1,2)),1)*6,10)),0)))))))))))*IF('IN_COST'!$E$51="DEP",'ENG_SCEN'!$G$16,IF('IN_COST'!$I$51="V",IF('IN_COST'!$E$51="SCRAP_LME",'ENG_SCEN'!$G$13,'ENG_SCEN'!$G$14),'ENG_SCEN'!$G$15))</f>
        <v/>
      </c>
      <c r="N65" s="33">
        <f>'IN_MACRO'!$N$34*IF('IN_COST'!$E$51="SCRAP_LME",'ENG_OPS'!$N$20*'IN_COST'!$F$51*'ENG_SCEN'!$N$37,IF('IN_COST'!$E$51="PER_TON_BATT",'ENG_OPS'!$N$20*'IN_COST'!$F$51*IF('IN_COST'!$G$51="FX",'ENG_SCEN'!$N$36,IF('IN_COST'!$G$51="PPI",'ENG_SCEN'!$N$35,IF('IN_COST'!$G$51="ENERGY",'ENG_SCEN'!$N$34,IF('IN_COST'!$G$51="WAGE",'ENG_SCEN'!$N$33,IF('IN_COST'!$G$51="CPI",'ENG_SCEN'!$N$32,1))))),IF('IN_COST'!$E$51="PER_TON_PROD",'ENG_OPS'!$N$43*'IN_COST'!$F$51*IF('IN_COST'!$G$51="FX",'ENG_SCEN'!$N$36,IF('IN_COST'!$G$51="PPI",'ENG_SCEN'!$N$35,IF('IN_COST'!$G$51="ENERGY",'ENG_SCEN'!$N$34,IF('IN_COST'!$G$51="WAGE",'ENG_SCEN'!$N$33,IF('IN_COST'!$G$51="CPI",'ENG_SCEN'!$N$32,1))))),IF('IN_COST'!$E$51="PER_KWH",'ENG_OPS'!$N$63*'IN_COST'!$F$51*IF('IN_COST'!$G$51="FX",'ENG_SCEN'!$N$36,IF('IN_COST'!$G$51="PPI",'ENG_SCEN'!$N$35,IF('IN_COST'!$G$51="ENERGY",'ENG_SCEN'!$N$34,IF('IN_COST'!$G$51="WAGE",'ENG_SCEN'!$N$33,IF('IN_COST'!$G$51="CPI",'ENG_SCEN'!$N$32,1))))),IF('IN_COST'!$E$51="PER_M3",'ENG_OPS'!$N$64*'IN_COST'!$F$51*IF('IN_COST'!$G$51="FX",'ENG_SCEN'!$N$36,IF('IN_COST'!$G$51="PPI",'ENG_SCEN'!$N$35,IF('IN_COST'!$G$51="ENERGY",'ENG_SCEN'!$N$34,IF('IN_COST'!$G$51="WAGE",'ENG_SCEN'!$N$33,IF('IN_COST'!$G$51="CPI",'ENG_SCEN'!$N$32,1))))),IF('IN_COST'!$E$51="ANNUAL",'IN_COST'!$F$51*IF('IN_COST'!$G$51="FX",'ENG_SCEN'!$N$36,IF('IN_COST'!$G$51="PPI",'ENG_SCEN'!$N$35,IF('IN_COST'!$G$51="ENERGY",'ENG_SCEN'!$N$34,IF('IN_COST'!$G$51="WAGE",'ENG_SCEN'!$N$33,IF('IN_COST'!$G$51="CPI",'ENG_SCEN'!$N$32,1))))),IF('IN_COST'!$E$51="PCT_REV",'ENG_OPS'!$N$81*'IN_COST'!$F$51,IF('IN_COST'!$E$51="PCT_ASSET",'ENG_CAPEX'!$N$84*'IN_COST'!$F$51,IF('IN_COST'!$E$51="DEP",'ENG_CAPEX'!$N$81,IF('IN_COST'!$E$51="PAY",INDEX('IN_COST'!$D$15:$D$19,IFERROR(VALUE(MID('IN_COST'!$F$51,FIND(":",'IN_COST'!$F$51)+1,2)),1))*INDEX('IN_COST'!$E$15:$E$19,IFERROR(VALUE(MID('IN_COST'!$F$51,FIND(":",'IN_COST'!$F$51)+1,2)),1))*'IN_COST'!$D$10*'IN_COST'!$D$11*'ENG_SCEN'!$N$33,IF('IN_COST'!$E$51="SRV",SUM(INDEX('ENG_ALLOC'!$D$29:$P$58,(IFERROR(VALUE(MID('IN_COST'!$F$51,FIND(":",'IN_COST'!$F$51)+1,2)),1)-1)*6+1,11):INDEX('ENG_ALLOC'!$D$29:$P$58,IFERROR(VALUE(MID('IN_COST'!$F$51,FIND(":",'IN_COST'!$F$51)+1,2)),1)*6,11)),0)))))))))))*IF('IN_COST'!$E$51="DEP",'ENG_SCEN'!$G$16,IF('IN_COST'!$I$51="V",IF('IN_COST'!$E$51="SCRAP_LME",'ENG_SCEN'!$G$13,'ENG_SCEN'!$G$14),'ENG_SCEN'!$G$15))</f>
        <v/>
      </c>
      <c r="O65" s="33">
        <f>'IN_MACRO'!$O$34*IF('IN_COST'!$E$51="SCRAP_LME",'ENG_OPS'!$O$20*'IN_COST'!$F$51*'ENG_SCEN'!$O$37,IF('IN_COST'!$E$51="PER_TON_BATT",'ENG_OPS'!$O$20*'IN_COST'!$F$51*IF('IN_COST'!$G$51="FX",'ENG_SCEN'!$O$36,IF('IN_COST'!$G$51="PPI",'ENG_SCEN'!$O$35,IF('IN_COST'!$G$51="ENERGY",'ENG_SCEN'!$O$34,IF('IN_COST'!$G$51="WAGE",'ENG_SCEN'!$O$33,IF('IN_COST'!$G$51="CPI",'ENG_SCEN'!$O$32,1))))),IF('IN_COST'!$E$51="PER_TON_PROD",'ENG_OPS'!$O$43*'IN_COST'!$F$51*IF('IN_COST'!$G$51="FX",'ENG_SCEN'!$O$36,IF('IN_COST'!$G$51="PPI",'ENG_SCEN'!$O$35,IF('IN_COST'!$G$51="ENERGY",'ENG_SCEN'!$O$34,IF('IN_COST'!$G$51="WAGE",'ENG_SCEN'!$O$33,IF('IN_COST'!$G$51="CPI",'ENG_SCEN'!$O$32,1))))),IF('IN_COST'!$E$51="PER_KWH",'ENG_OPS'!$O$63*'IN_COST'!$F$51*IF('IN_COST'!$G$51="FX",'ENG_SCEN'!$O$36,IF('IN_COST'!$G$51="PPI",'ENG_SCEN'!$O$35,IF('IN_COST'!$G$51="ENERGY",'ENG_SCEN'!$O$34,IF('IN_COST'!$G$51="WAGE",'ENG_SCEN'!$O$33,IF('IN_COST'!$G$51="CPI",'ENG_SCEN'!$O$32,1))))),IF('IN_COST'!$E$51="PER_M3",'ENG_OPS'!$O$64*'IN_COST'!$F$51*IF('IN_COST'!$G$51="FX",'ENG_SCEN'!$O$36,IF('IN_COST'!$G$51="PPI",'ENG_SCEN'!$O$35,IF('IN_COST'!$G$51="ENERGY",'ENG_SCEN'!$O$34,IF('IN_COST'!$G$51="WAGE",'ENG_SCEN'!$O$33,IF('IN_COST'!$G$51="CPI",'ENG_SCEN'!$O$32,1))))),IF('IN_COST'!$E$51="ANNUAL",'IN_COST'!$F$51*IF('IN_COST'!$G$51="FX",'ENG_SCEN'!$O$36,IF('IN_COST'!$G$51="PPI",'ENG_SCEN'!$O$35,IF('IN_COST'!$G$51="ENERGY",'ENG_SCEN'!$O$34,IF('IN_COST'!$G$51="WAGE",'ENG_SCEN'!$O$33,IF('IN_COST'!$G$51="CPI",'ENG_SCEN'!$O$32,1))))),IF('IN_COST'!$E$51="PCT_REV",'ENG_OPS'!$O$81*'IN_COST'!$F$51,IF('IN_COST'!$E$51="PCT_ASSET",'ENG_CAPEX'!$O$84*'IN_COST'!$F$51,IF('IN_COST'!$E$51="DEP",'ENG_CAPEX'!$O$81,IF('IN_COST'!$E$51="PAY",INDEX('IN_COST'!$D$15:$D$19,IFERROR(VALUE(MID('IN_COST'!$F$51,FIND(":",'IN_COST'!$F$51)+1,2)),1))*INDEX('IN_COST'!$E$15:$E$19,IFERROR(VALUE(MID('IN_COST'!$F$51,FIND(":",'IN_COST'!$F$51)+1,2)),1))*'IN_COST'!$D$10*'IN_COST'!$D$11*'ENG_SCEN'!$O$33,IF('IN_COST'!$E$51="SRV",SUM(INDEX('ENG_ALLOC'!$D$29:$P$58,(IFERROR(VALUE(MID('IN_COST'!$F$51,FIND(":",'IN_COST'!$F$51)+1,2)),1)-1)*6+1,12):INDEX('ENG_ALLOC'!$D$29:$P$58,IFERROR(VALUE(MID('IN_COST'!$F$51,FIND(":",'IN_COST'!$F$51)+1,2)),1)*6,12)),0)))))))))))*IF('IN_COST'!$E$51="DEP",'ENG_SCEN'!$G$16,IF('IN_COST'!$I$51="V",IF('IN_COST'!$E$51="SCRAP_LME",'ENG_SCEN'!$G$13,'ENG_SCEN'!$G$14),'ENG_SCEN'!$G$15))</f>
        <v/>
      </c>
      <c r="P65" s="33">
        <f>'IN_MACRO'!$P$34*IF('IN_COST'!$E$51="SCRAP_LME",'ENG_OPS'!$P$20*'IN_COST'!$F$51*'ENG_SCEN'!$P$37,IF('IN_COST'!$E$51="PER_TON_BATT",'ENG_OPS'!$P$20*'IN_COST'!$F$51*IF('IN_COST'!$G$51="FX",'ENG_SCEN'!$P$36,IF('IN_COST'!$G$51="PPI",'ENG_SCEN'!$P$35,IF('IN_COST'!$G$51="ENERGY",'ENG_SCEN'!$P$34,IF('IN_COST'!$G$51="WAGE",'ENG_SCEN'!$P$33,IF('IN_COST'!$G$51="CPI",'ENG_SCEN'!$P$32,1))))),IF('IN_COST'!$E$51="PER_TON_PROD",'ENG_OPS'!$P$43*'IN_COST'!$F$51*IF('IN_COST'!$G$51="FX",'ENG_SCEN'!$P$36,IF('IN_COST'!$G$51="PPI",'ENG_SCEN'!$P$35,IF('IN_COST'!$G$51="ENERGY",'ENG_SCEN'!$P$34,IF('IN_COST'!$G$51="WAGE",'ENG_SCEN'!$P$33,IF('IN_COST'!$G$51="CPI",'ENG_SCEN'!$P$32,1))))),IF('IN_COST'!$E$51="PER_KWH",'ENG_OPS'!$P$63*'IN_COST'!$F$51*IF('IN_COST'!$G$51="FX",'ENG_SCEN'!$P$36,IF('IN_COST'!$G$51="PPI",'ENG_SCEN'!$P$35,IF('IN_COST'!$G$51="ENERGY",'ENG_SCEN'!$P$34,IF('IN_COST'!$G$51="WAGE",'ENG_SCEN'!$P$33,IF('IN_COST'!$G$51="CPI",'ENG_SCEN'!$P$32,1))))),IF('IN_COST'!$E$51="PER_M3",'ENG_OPS'!$P$64*'IN_COST'!$F$51*IF('IN_COST'!$G$51="FX",'ENG_SCEN'!$P$36,IF('IN_COST'!$G$51="PPI",'ENG_SCEN'!$P$35,IF('IN_COST'!$G$51="ENERGY",'ENG_SCEN'!$P$34,IF('IN_COST'!$G$51="WAGE",'ENG_SCEN'!$P$33,IF('IN_COST'!$G$51="CPI",'ENG_SCEN'!$P$32,1))))),IF('IN_COST'!$E$51="ANNUAL",'IN_COST'!$F$51*IF('IN_COST'!$G$51="FX",'ENG_SCEN'!$P$36,IF('IN_COST'!$G$51="PPI",'ENG_SCEN'!$P$35,IF('IN_COST'!$G$51="ENERGY",'ENG_SCEN'!$P$34,IF('IN_COST'!$G$51="WAGE",'ENG_SCEN'!$P$33,IF('IN_COST'!$G$51="CPI",'ENG_SCEN'!$P$32,1))))),IF('IN_COST'!$E$51="PCT_REV",'ENG_OPS'!$P$81*'IN_COST'!$F$51,IF('IN_COST'!$E$51="PCT_ASSET",'ENG_CAPEX'!$P$84*'IN_COST'!$F$51,IF('IN_COST'!$E$51="DEP",'ENG_CAPEX'!$P$81,IF('IN_COST'!$E$51="PAY",INDEX('IN_COST'!$D$15:$D$19,IFERROR(VALUE(MID('IN_COST'!$F$51,FIND(":",'IN_COST'!$F$51)+1,2)),1))*INDEX('IN_COST'!$E$15:$E$19,IFERROR(VALUE(MID('IN_COST'!$F$51,FIND(":",'IN_COST'!$F$51)+1,2)),1))*'IN_COST'!$D$10*'IN_COST'!$D$11*'ENG_SCEN'!$P$33,IF('IN_COST'!$E$51="SRV",SUM(INDEX('ENG_ALLOC'!$D$29:$P$58,(IFERROR(VALUE(MID('IN_COST'!$F$51,FIND(":",'IN_COST'!$F$51)+1,2)),1)-1)*6+1,13):INDEX('ENG_ALLOC'!$D$29:$P$58,IFERROR(VALUE(MID('IN_COST'!$F$51,FIND(":",'IN_COST'!$F$51)+1,2)),1)*6,13)),0)))))))))))*IF('IN_COST'!$E$51="DEP",'ENG_SCEN'!$G$16,IF('IN_COST'!$I$51="V",IF('IN_COST'!$E$51="SCRAP_LME",'ENG_SCEN'!$G$13,'ENG_SCEN'!$G$14),'ENG_SCEN'!$G$15))</f>
        <v/>
      </c>
    </row>
    <row r="66">
      <c r="A66" s="15" t="inlineStr">
        <is>
          <t>FPC-05 | حقوق نگهداری و تعمیرات</t>
        </is>
      </c>
      <c r="B66" s="16" t="inlineStr">
        <is>
          <t>EC.tot.19</t>
        </is>
      </c>
      <c r="C66" s="17" t="inlineStr">
        <is>
          <t>میلیون ریال</t>
        </is>
      </c>
      <c r="D66" s="33">
        <f>'IN_MACRO'!$D$34*IF('IN_COST'!$E$52="SCRAP_LME",'ENG_OPS'!$D$20*'IN_COST'!$F$52*'ENG_SCEN'!$D$37,IF('IN_COST'!$E$52="PER_TON_BATT",'ENG_OPS'!$D$20*'IN_COST'!$F$52*IF('IN_COST'!$G$52="FX",'ENG_SCEN'!$D$36,IF('IN_COST'!$G$52="PPI",'ENG_SCEN'!$D$35,IF('IN_COST'!$G$52="ENERGY",'ENG_SCEN'!$D$34,IF('IN_COST'!$G$52="WAGE",'ENG_SCEN'!$D$33,IF('IN_COST'!$G$52="CPI",'ENG_SCEN'!$D$32,1))))),IF('IN_COST'!$E$52="PER_TON_PROD",'ENG_OPS'!$D$43*'IN_COST'!$F$52*IF('IN_COST'!$G$52="FX",'ENG_SCEN'!$D$36,IF('IN_COST'!$G$52="PPI",'ENG_SCEN'!$D$35,IF('IN_COST'!$G$52="ENERGY",'ENG_SCEN'!$D$34,IF('IN_COST'!$G$52="WAGE",'ENG_SCEN'!$D$33,IF('IN_COST'!$G$52="CPI",'ENG_SCEN'!$D$32,1))))),IF('IN_COST'!$E$52="PER_KWH",'ENG_OPS'!$D$63*'IN_COST'!$F$52*IF('IN_COST'!$G$52="FX",'ENG_SCEN'!$D$36,IF('IN_COST'!$G$52="PPI",'ENG_SCEN'!$D$35,IF('IN_COST'!$G$52="ENERGY",'ENG_SCEN'!$D$34,IF('IN_COST'!$G$52="WAGE",'ENG_SCEN'!$D$33,IF('IN_COST'!$G$52="CPI",'ENG_SCEN'!$D$32,1))))),IF('IN_COST'!$E$52="PER_M3",'ENG_OPS'!$D$64*'IN_COST'!$F$52*IF('IN_COST'!$G$52="FX",'ENG_SCEN'!$D$36,IF('IN_COST'!$G$52="PPI",'ENG_SCEN'!$D$35,IF('IN_COST'!$G$52="ENERGY",'ENG_SCEN'!$D$34,IF('IN_COST'!$G$52="WAGE",'ENG_SCEN'!$D$33,IF('IN_COST'!$G$52="CPI",'ENG_SCEN'!$D$32,1))))),IF('IN_COST'!$E$52="ANNUAL",'IN_COST'!$F$52*IF('IN_COST'!$G$52="FX",'ENG_SCEN'!$D$36,IF('IN_COST'!$G$52="PPI",'ENG_SCEN'!$D$35,IF('IN_COST'!$G$52="ENERGY",'ENG_SCEN'!$D$34,IF('IN_COST'!$G$52="WAGE",'ENG_SCEN'!$D$33,IF('IN_COST'!$G$52="CPI",'ENG_SCEN'!$D$32,1))))),IF('IN_COST'!$E$52="PCT_REV",'ENG_OPS'!$D$81*'IN_COST'!$F$52,IF('IN_COST'!$E$52="PCT_ASSET",'ENG_CAPEX'!$D$84*'IN_COST'!$F$52,IF('IN_COST'!$E$52="DEP",'ENG_CAPEX'!$D$81,IF('IN_COST'!$E$52="PAY",INDEX('IN_COST'!$D$15:$D$19,IFERROR(VALUE(MID('IN_COST'!$F$52,FIND(":",'IN_COST'!$F$52)+1,2)),1))*INDEX('IN_COST'!$E$15:$E$19,IFERROR(VALUE(MID('IN_COST'!$F$52,FIND(":",'IN_COST'!$F$52)+1,2)),1))*'IN_COST'!$D$10*'IN_COST'!$D$11*'ENG_SCEN'!$D$33,IF('IN_COST'!$E$52="SRV",SUM(INDEX('ENG_ALLOC'!$D$29:$P$58,(IFERROR(VALUE(MID('IN_COST'!$F$52,FIND(":",'IN_COST'!$F$52)+1,2)),1)-1)*6+1,1):INDEX('ENG_ALLOC'!$D$29:$P$58,IFERROR(VALUE(MID('IN_COST'!$F$52,FIND(":",'IN_COST'!$F$52)+1,2)),1)*6,1)),0)))))))))))*IF('IN_COST'!$E$52="DEP",'ENG_SCEN'!$G$16,IF('IN_COST'!$I$52="V",IF('IN_COST'!$E$52="SCRAP_LME",'ENG_SCEN'!$G$13,'ENG_SCEN'!$G$14),'ENG_SCEN'!$G$15))</f>
        <v/>
      </c>
      <c r="E66" s="33">
        <f>'IN_MACRO'!$E$34*IF('IN_COST'!$E$52="SCRAP_LME",'ENG_OPS'!$E$20*'IN_COST'!$F$52*'ENG_SCEN'!$E$37,IF('IN_COST'!$E$52="PER_TON_BATT",'ENG_OPS'!$E$20*'IN_COST'!$F$52*IF('IN_COST'!$G$52="FX",'ENG_SCEN'!$E$36,IF('IN_COST'!$G$52="PPI",'ENG_SCEN'!$E$35,IF('IN_COST'!$G$52="ENERGY",'ENG_SCEN'!$E$34,IF('IN_COST'!$G$52="WAGE",'ENG_SCEN'!$E$33,IF('IN_COST'!$G$52="CPI",'ENG_SCEN'!$E$32,1))))),IF('IN_COST'!$E$52="PER_TON_PROD",'ENG_OPS'!$E$43*'IN_COST'!$F$52*IF('IN_COST'!$G$52="FX",'ENG_SCEN'!$E$36,IF('IN_COST'!$G$52="PPI",'ENG_SCEN'!$E$35,IF('IN_COST'!$G$52="ENERGY",'ENG_SCEN'!$E$34,IF('IN_COST'!$G$52="WAGE",'ENG_SCEN'!$E$33,IF('IN_COST'!$G$52="CPI",'ENG_SCEN'!$E$32,1))))),IF('IN_COST'!$E$52="PER_KWH",'ENG_OPS'!$E$63*'IN_COST'!$F$52*IF('IN_COST'!$G$52="FX",'ENG_SCEN'!$E$36,IF('IN_COST'!$G$52="PPI",'ENG_SCEN'!$E$35,IF('IN_COST'!$G$52="ENERGY",'ENG_SCEN'!$E$34,IF('IN_COST'!$G$52="WAGE",'ENG_SCEN'!$E$33,IF('IN_COST'!$G$52="CPI",'ENG_SCEN'!$E$32,1))))),IF('IN_COST'!$E$52="PER_M3",'ENG_OPS'!$E$64*'IN_COST'!$F$52*IF('IN_COST'!$G$52="FX",'ENG_SCEN'!$E$36,IF('IN_COST'!$G$52="PPI",'ENG_SCEN'!$E$35,IF('IN_COST'!$G$52="ENERGY",'ENG_SCEN'!$E$34,IF('IN_COST'!$G$52="WAGE",'ENG_SCEN'!$E$33,IF('IN_COST'!$G$52="CPI",'ENG_SCEN'!$E$32,1))))),IF('IN_COST'!$E$52="ANNUAL",'IN_COST'!$F$52*IF('IN_COST'!$G$52="FX",'ENG_SCEN'!$E$36,IF('IN_COST'!$G$52="PPI",'ENG_SCEN'!$E$35,IF('IN_COST'!$G$52="ENERGY",'ENG_SCEN'!$E$34,IF('IN_COST'!$G$52="WAGE",'ENG_SCEN'!$E$33,IF('IN_COST'!$G$52="CPI",'ENG_SCEN'!$E$32,1))))),IF('IN_COST'!$E$52="PCT_REV",'ENG_OPS'!$E$81*'IN_COST'!$F$52,IF('IN_COST'!$E$52="PCT_ASSET",'ENG_CAPEX'!$E$84*'IN_COST'!$F$52,IF('IN_COST'!$E$52="DEP",'ENG_CAPEX'!$E$81,IF('IN_COST'!$E$52="PAY",INDEX('IN_COST'!$D$15:$D$19,IFERROR(VALUE(MID('IN_COST'!$F$52,FIND(":",'IN_COST'!$F$52)+1,2)),1))*INDEX('IN_COST'!$E$15:$E$19,IFERROR(VALUE(MID('IN_COST'!$F$52,FIND(":",'IN_COST'!$F$52)+1,2)),1))*'IN_COST'!$D$10*'IN_COST'!$D$11*'ENG_SCEN'!$E$33,IF('IN_COST'!$E$52="SRV",SUM(INDEX('ENG_ALLOC'!$D$29:$P$58,(IFERROR(VALUE(MID('IN_COST'!$F$52,FIND(":",'IN_COST'!$F$52)+1,2)),1)-1)*6+1,2):INDEX('ENG_ALLOC'!$D$29:$P$58,IFERROR(VALUE(MID('IN_COST'!$F$52,FIND(":",'IN_COST'!$F$52)+1,2)),1)*6,2)),0)))))))))))*IF('IN_COST'!$E$52="DEP",'ENG_SCEN'!$G$16,IF('IN_COST'!$I$52="V",IF('IN_COST'!$E$52="SCRAP_LME",'ENG_SCEN'!$G$13,'ENG_SCEN'!$G$14),'ENG_SCEN'!$G$15))</f>
        <v/>
      </c>
      <c r="F66" s="33">
        <f>'IN_MACRO'!$F$34*IF('IN_COST'!$E$52="SCRAP_LME",'ENG_OPS'!$F$20*'IN_COST'!$F$52*'ENG_SCEN'!$F$37,IF('IN_COST'!$E$52="PER_TON_BATT",'ENG_OPS'!$F$20*'IN_COST'!$F$52*IF('IN_COST'!$G$52="FX",'ENG_SCEN'!$F$36,IF('IN_COST'!$G$52="PPI",'ENG_SCEN'!$F$35,IF('IN_COST'!$G$52="ENERGY",'ENG_SCEN'!$F$34,IF('IN_COST'!$G$52="WAGE",'ENG_SCEN'!$F$33,IF('IN_COST'!$G$52="CPI",'ENG_SCEN'!$F$32,1))))),IF('IN_COST'!$E$52="PER_TON_PROD",'ENG_OPS'!$F$43*'IN_COST'!$F$52*IF('IN_COST'!$G$52="FX",'ENG_SCEN'!$F$36,IF('IN_COST'!$G$52="PPI",'ENG_SCEN'!$F$35,IF('IN_COST'!$G$52="ENERGY",'ENG_SCEN'!$F$34,IF('IN_COST'!$G$52="WAGE",'ENG_SCEN'!$F$33,IF('IN_COST'!$G$52="CPI",'ENG_SCEN'!$F$32,1))))),IF('IN_COST'!$E$52="PER_KWH",'ENG_OPS'!$F$63*'IN_COST'!$F$52*IF('IN_COST'!$G$52="FX",'ENG_SCEN'!$F$36,IF('IN_COST'!$G$52="PPI",'ENG_SCEN'!$F$35,IF('IN_COST'!$G$52="ENERGY",'ENG_SCEN'!$F$34,IF('IN_COST'!$G$52="WAGE",'ENG_SCEN'!$F$33,IF('IN_COST'!$G$52="CPI",'ENG_SCEN'!$F$32,1))))),IF('IN_COST'!$E$52="PER_M3",'ENG_OPS'!$F$64*'IN_COST'!$F$52*IF('IN_COST'!$G$52="FX",'ENG_SCEN'!$F$36,IF('IN_COST'!$G$52="PPI",'ENG_SCEN'!$F$35,IF('IN_COST'!$G$52="ENERGY",'ENG_SCEN'!$F$34,IF('IN_COST'!$G$52="WAGE",'ENG_SCEN'!$F$33,IF('IN_COST'!$G$52="CPI",'ENG_SCEN'!$F$32,1))))),IF('IN_COST'!$E$52="ANNUAL",'IN_COST'!$F$52*IF('IN_COST'!$G$52="FX",'ENG_SCEN'!$F$36,IF('IN_COST'!$G$52="PPI",'ENG_SCEN'!$F$35,IF('IN_COST'!$G$52="ENERGY",'ENG_SCEN'!$F$34,IF('IN_COST'!$G$52="WAGE",'ENG_SCEN'!$F$33,IF('IN_COST'!$G$52="CPI",'ENG_SCEN'!$F$32,1))))),IF('IN_COST'!$E$52="PCT_REV",'ENG_OPS'!$F$81*'IN_COST'!$F$52,IF('IN_COST'!$E$52="PCT_ASSET",'ENG_CAPEX'!$F$84*'IN_COST'!$F$52,IF('IN_COST'!$E$52="DEP",'ENG_CAPEX'!$F$81,IF('IN_COST'!$E$52="PAY",INDEX('IN_COST'!$D$15:$D$19,IFERROR(VALUE(MID('IN_COST'!$F$52,FIND(":",'IN_COST'!$F$52)+1,2)),1))*INDEX('IN_COST'!$E$15:$E$19,IFERROR(VALUE(MID('IN_COST'!$F$52,FIND(":",'IN_COST'!$F$52)+1,2)),1))*'IN_COST'!$D$10*'IN_COST'!$D$11*'ENG_SCEN'!$F$33,IF('IN_COST'!$E$52="SRV",SUM(INDEX('ENG_ALLOC'!$D$29:$P$58,(IFERROR(VALUE(MID('IN_COST'!$F$52,FIND(":",'IN_COST'!$F$52)+1,2)),1)-1)*6+1,3):INDEX('ENG_ALLOC'!$D$29:$P$58,IFERROR(VALUE(MID('IN_COST'!$F$52,FIND(":",'IN_COST'!$F$52)+1,2)),1)*6,3)),0)))))))))))*IF('IN_COST'!$E$52="DEP",'ENG_SCEN'!$G$16,IF('IN_COST'!$I$52="V",IF('IN_COST'!$E$52="SCRAP_LME",'ENG_SCEN'!$G$13,'ENG_SCEN'!$G$14),'ENG_SCEN'!$G$15))</f>
        <v/>
      </c>
      <c r="G66" s="33">
        <f>'IN_MACRO'!$G$34*IF('IN_COST'!$E$52="SCRAP_LME",'ENG_OPS'!$G$20*'IN_COST'!$F$52*'ENG_SCEN'!$G$37,IF('IN_COST'!$E$52="PER_TON_BATT",'ENG_OPS'!$G$20*'IN_COST'!$F$52*IF('IN_COST'!$G$52="FX",'ENG_SCEN'!$G$36,IF('IN_COST'!$G$52="PPI",'ENG_SCEN'!$G$35,IF('IN_COST'!$G$52="ENERGY",'ENG_SCEN'!$G$34,IF('IN_COST'!$G$52="WAGE",'ENG_SCEN'!$G$33,IF('IN_COST'!$G$52="CPI",'ENG_SCEN'!$G$32,1))))),IF('IN_COST'!$E$52="PER_TON_PROD",'ENG_OPS'!$G$43*'IN_COST'!$F$52*IF('IN_COST'!$G$52="FX",'ENG_SCEN'!$G$36,IF('IN_COST'!$G$52="PPI",'ENG_SCEN'!$G$35,IF('IN_COST'!$G$52="ENERGY",'ENG_SCEN'!$G$34,IF('IN_COST'!$G$52="WAGE",'ENG_SCEN'!$G$33,IF('IN_COST'!$G$52="CPI",'ENG_SCEN'!$G$32,1))))),IF('IN_COST'!$E$52="PER_KWH",'ENG_OPS'!$G$63*'IN_COST'!$F$52*IF('IN_COST'!$G$52="FX",'ENG_SCEN'!$G$36,IF('IN_COST'!$G$52="PPI",'ENG_SCEN'!$G$35,IF('IN_COST'!$G$52="ENERGY",'ENG_SCEN'!$G$34,IF('IN_COST'!$G$52="WAGE",'ENG_SCEN'!$G$33,IF('IN_COST'!$G$52="CPI",'ENG_SCEN'!$G$32,1))))),IF('IN_COST'!$E$52="PER_M3",'ENG_OPS'!$G$64*'IN_COST'!$F$52*IF('IN_COST'!$G$52="FX",'ENG_SCEN'!$G$36,IF('IN_COST'!$G$52="PPI",'ENG_SCEN'!$G$35,IF('IN_COST'!$G$52="ENERGY",'ENG_SCEN'!$G$34,IF('IN_COST'!$G$52="WAGE",'ENG_SCEN'!$G$33,IF('IN_COST'!$G$52="CPI",'ENG_SCEN'!$G$32,1))))),IF('IN_COST'!$E$52="ANNUAL",'IN_COST'!$F$52*IF('IN_COST'!$G$52="FX",'ENG_SCEN'!$G$36,IF('IN_COST'!$G$52="PPI",'ENG_SCEN'!$G$35,IF('IN_COST'!$G$52="ENERGY",'ENG_SCEN'!$G$34,IF('IN_COST'!$G$52="WAGE",'ENG_SCEN'!$G$33,IF('IN_COST'!$G$52="CPI",'ENG_SCEN'!$G$32,1))))),IF('IN_COST'!$E$52="PCT_REV",'ENG_OPS'!$G$81*'IN_COST'!$F$52,IF('IN_COST'!$E$52="PCT_ASSET",'ENG_CAPEX'!$G$84*'IN_COST'!$F$52,IF('IN_COST'!$E$52="DEP",'ENG_CAPEX'!$G$81,IF('IN_COST'!$E$52="PAY",INDEX('IN_COST'!$D$15:$D$19,IFERROR(VALUE(MID('IN_COST'!$F$52,FIND(":",'IN_COST'!$F$52)+1,2)),1))*INDEX('IN_COST'!$E$15:$E$19,IFERROR(VALUE(MID('IN_COST'!$F$52,FIND(":",'IN_COST'!$F$52)+1,2)),1))*'IN_COST'!$D$10*'IN_COST'!$D$11*'ENG_SCEN'!$G$33,IF('IN_COST'!$E$52="SRV",SUM(INDEX('ENG_ALLOC'!$D$29:$P$58,(IFERROR(VALUE(MID('IN_COST'!$F$52,FIND(":",'IN_COST'!$F$52)+1,2)),1)-1)*6+1,4):INDEX('ENG_ALLOC'!$D$29:$P$58,IFERROR(VALUE(MID('IN_COST'!$F$52,FIND(":",'IN_COST'!$F$52)+1,2)),1)*6,4)),0)))))))))))*IF('IN_COST'!$E$52="DEP",'ENG_SCEN'!$G$16,IF('IN_COST'!$I$52="V",IF('IN_COST'!$E$52="SCRAP_LME",'ENG_SCEN'!$G$13,'ENG_SCEN'!$G$14),'ENG_SCEN'!$G$15))</f>
        <v/>
      </c>
      <c r="H66" s="33">
        <f>'IN_MACRO'!$H$34*IF('IN_COST'!$E$52="SCRAP_LME",'ENG_OPS'!$H$20*'IN_COST'!$F$52*'ENG_SCEN'!$H$37,IF('IN_COST'!$E$52="PER_TON_BATT",'ENG_OPS'!$H$20*'IN_COST'!$F$52*IF('IN_COST'!$G$52="FX",'ENG_SCEN'!$H$36,IF('IN_COST'!$G$52="PPI",'ENG_SCEN'!$H$35,IF('IN_COST'!$G$52="ENERGY",'ENG_SCEN'!$H$34,IF('IN_COST'!$G$52="WAGE",'ENG_SCEN'!$H$33,IF('IN_COST'!$G$52="CPI",'ENG_SCEN'!$H$32,1))))),IF('IN_COST'!$E$52="PER_TON_PROD",'ENG_OPS'!$H$43*'IN_COST'!$F$52*IF('IN_COST'!$G$52="FX",'ENG_SCEN'!$H$36,IF('IN_COST'!$G$52="PPI",'ENG_SCEN'!$H$35,IF('IN_COST'!$G$52="ENERGY",'ENG_SCEN'!$H$34,IF('IN_COST'!$G$52="WAGE",'ENG_SCEN'!$H$33,IF('IN_COST'!$G$52="CPI",'ENG_SCEN'!$H$32,1))))),IF('IN_COST'!$E$52="PER_KWH",'ENG_OPS'!$H$63*'IN_COST'!$F$52*IF('IN_COST'!$G$52="FX",'ENG_SCEN'!$H$36,IF('IN_COST'!$G$52="PPI",'ENG_SCEN'!$H$35,IF('IN_COST'!$G$52="ENERGY",'ENG_SCEN'!$H$34,IF('IN_COST'!$G$52="WAGE",'ENG_SCEN'!$H$33,IF('IN_COST'!$G$52="CPI",'ENG_SCEN'!$H$32,1))))),IF('IN_COST'!$E$52="PER_M3",'ENG_OPS'!$H$64*'IN_COST'!$F$52*IF('IN_COST'!$G$52="FX",'ENG_SCEN'!$H$36,IF('IN_COST'!$G$52="PPI",'ENG_SCEN'!$H$35,IF('IN_COST'!$G$52="ENERGY",'ENG_SCEN'!$H$34,IF('IN_COST'!$G$52="WAGE",'ENG_SCEN'!$H$33,IF('IN_COST'!$G$52="CPI",'ENG_SCEN'!$H$32,1))))),IF('IN_COST'!$E$52="ANNUAL",'IN_COST'!$F$52*IF('IN_COST'!$G$52="FX",'ENG_SCEN'!$H$36,IF('IN_COST'!$G$52="PPI",'ENG_SCEN'!$H$35,IF('IN_COST'!$G$52="ENERGY",'ENG_SCEN'!$H$34,IF('IN_COST'!$G$52="WAGE",'ENG_SCEN'!$H$33,IF('IN_COST'!$G$52="CPI",'ENG_SCEN'!$H$32,1))))),IF('IN_COST'!$E$52="PCT_REV",'ENG_OPS'!$H$81*'IN_COST'!$F$52,IF('IN_COST'!$E$52="PCT_ASSET",'ENG_CAPEX'!$H$84*'IN_COST'!$F$52,IF('IN_COST'!$E$52="DEP",'ENG_CAPEX'!$H$81,IF('IN_COST'!$E$52="PAY",INDEX('IN_COST'!$D$15:$D$19,IFERROR(VALUE(MID('IN_COST'!$F$52,FIND(":",'IN_COST'!$F$52)+1,2)),1))*INDEX('IN_COST'!$E$15:$E$19,IFERROR(VALUE(MID('IN_COST'!$F$52,FIND(":",'IN_COST'!$F$52)+1,2)),1))*'IN_COST'!$D$10*'IN_COST'!$D$11*'ENG_SCEN'!$H$33,IF('IN_COST'!$E$52="SRV",SUM(INDEX('ENG_ALLOC'!$D$29:$P$58,(IFERROR(VALUE(MID('IN_COST'!$F$52,FIND(":",'IN_COST'!$F$52)+1,2)),1)-1)*6+1,5):INDEX('ENG_ALLOC'!$D$29:$P$58,IFERROR(VALUE(MID('IN_COST'!$F$52,FIND(":",'IN_COST'!$F$52)+1,2)),1)*6,5)),0)))))))))))*IF('IN_COST'!$E$52="DEP",'ENG_SCEN'!$G$16,IF('IN_COST'!$I$52="V",IF('IN_COST'!$E$52="SCRAP_LME",'ENG_SCEN'!$G$13,'ENG_SCEN'!$G$14),'ENG_SCEN'!$G$15))</f>
        <v/>
      </c>
      <c r="I66" s="33">
        <f>'IN_MACRO'!$I$34*IF('IN_COST'!$E$52="SCRAP_LME",'ENG_OPS'!$I$20*'IN_COST'!$F$52*'ENG_SCEN'!$I$37,IF('IN_COST'!$E$52="PER_TON_BATT",'ENG_OPS'!$I$20*'IN_COST'!$F$52*IF('IN_COST'!$G$52="FX",'ENG_SCEN'!$I$36,IF('IN_COST'!$G$52="PPI",'ENG_SCEN'!$I$35,IF('IN_COST'!$G$52="ENERGY",'ENG_SCEN'!$I$34,IF('IN_COST'!$G$52="WAGE",'ENG_SCEN'!$I$33,IF('IN_COST'!$G$52="CPI",'ENG_SCEN'!$I$32,1))))),IF('IN_COST'!$E$52="PER_TON_PROD",'ENG_OPS'!$I$43*'IN_COST'!$F$52*IF('IN_COST'!$G$52="FX",'ENG_SCEN'!$I$36,IF('IN_COST'!$G$52="PPI",'ENG_SCEN'!$I$35,IF('IN_COST'!$G$52="ENERGY",'ENG_SCEN'!$I$34,IF('IN_COST'!$G$52="WAGE",'ENG_SCEN'!$I$33,IF('IN_COST'!$G$52="CPI",'ENG_SCEN'!$I$32,1))))),IF('IN_COST'!$E$52="PER_KWH",'ENG_OPS'!$I$63*'IN_COST'!$F$52*IF('IN_COST'!$G$52="FX",'ENG_SCEN'!$I$36,IF('IN_COST'!$G$52="PPI",'ENG_SCEN'!$I$35,IF('IN_COST'!$G$52="ENERGY",'ENG_SCEN'!$I$34,IF('IN_COST'!$G$52="WAGE",'ENG_SCEN'!$I$33,IF('IN_COST'!$G$52="CPI",'ENG_SCEN'!$I$32,1))))),IF('IN_COST'!$E$52="PER_M3",'ENG_OPS'!$I$64*'IN_COST'!$F$52*IF('IN_COST'!$G$52="FX",'ENG_SCEN'!$I$36,IF('IN_COST'!$G$52="PPI",'ENG_SCEN'!$I$35,IF('IN_COST'!$G$52="ENERGY",'ENG_SCEN'!$I$34,IF('IN_COST'!$G$52="WAGE",'ENG_SCEN'!$I$33,IF('IN_COST'!$G$52="CPI",'ENG_SCEN'!$I$32,1))))),IF('IN_COST'!$E$52="ANNUAL",'IN_COST'!$F$52*IF('IN_COST'!$G$52="FX",'ENG_SCEN'!$I$36,IF('IN_COST'!$G$52="PPI",'ENG_SCEN'!$I$35,IF('IN_COST'!$G$52="ENERGY",'ENG_SCEN'!$I$34,IF('IN_COST'!$G$52="WAGE",'ENG_SCEN'!$I$33,IF('IN_COST'!$G$52="CPI",'ENG_SCEN'!$I$32,1))))),IF('IN_COST'!$E$52="PCT_REV",'ENG_OPS'!$I$81*'IN_COST'!$F$52,IF('IN_COST'!$E$52="PCT_ASSET",'ENG_CAPEX'!$I$84*'IN_COST'!$F$52,IF('IN_COST'!$E$52="DEP",'ENG_CAPEX'!$I$81,IF('IN_COST'!$E$52="PAY",INDEX('IN_COST'!$D$15:$D$19,IFERROR(VALUE(MID('IN_COST'!$F$52,FIND(":",'IN_COST'!$F$52)+1,2)),1))*INDEX('IN_COST'!$E$15:$E$19,IFERROR(VALUE(MID('IN_COST'!$F$52,FIND(":",'IN_COST'!$F$52)+1,2)),1))*'IN_COST'!$D$10*'IN_COST'!$D$11*'ENG_SCEN'!$I$33,IF('IN_COST'!$E$52="SRV",SUM(INDEX('ENG_ALLOC'!$D$29:$P$58,(IFERROR(VALUE(MID('IN_COST'!$F$52,FIND(":",'IN_COST'!$F$52)+1,2)),1)-1)*6+1,6):INDEX('ENG_ALLOC'!$D$29:$P$58,IFERROR(VALUE(MID('IN_COST'!$F$52,FIND(":",'IN_COST'!$F$52)+1,2)),1)*6,6)),0)))))))))))*IF('IN_COST'!$E$52="DEP",'ENG_SCEN'!$G$16,IF('IN_COST'!$I$52="V",IF('IN_COST'!$E$52="SCRAP_LME",'ENG_SCEN'!$G$13,'ENG_SCEN'!$G$14),'ENG_SCEN'!$G$15))</f>
        <v/>
      </c>
      <c r="J66" s="33">
        <f>'IN_MACRO'!$J$34*IF('IN_COST'!$E$52="SCRAP_LME",'ENG_OPS'!$J$20*'IN_COST'!$F$52*'ENG_SCEN'!$J$37,IF('IN_COST'!$E$52="PER_TON_BATT",'ENG_OPS'!$J$20*'IN_COST'!$F$52*IF('IN_COST'!$G$52="FX",'ENG_SCEN'!$J$36,IF('IN_COST'!$G$52="PPI",'ENG_SCEN'!$J$35,IF('IN_COST'!$G$52="ENERGY",'ENG_SCEN'!$J$34,IF('IN_COST'!$G$52="WAGE",'ENG_SCEN'!$J$33,IF('IN_COST'!$G$52="CPI",'ENG_SCEN'!$J$32,1))))),IF('IN_COST'!$E$52="PER_TON_PROD",'ENG_OPS'!$J$43*'IN_COST'!$F$52*IF('IN_COST'!$G$52="FX",'ENG_SCEN'!$J$36,IF('IN_COST'!$G$52="PPI",'ENG_SCEN'!$J$35,IF('IN_COST'!$G$52="ENERGY",'ENG_SCEN'!$J$34,IF('IN_COST'!$G$52="WAGE",'ENG_SCEN'!$J$33,IF('IN_COST'!$G$52="CPI",'ENG_SCEN'!$J$32,1))))),IF('IN_COST'!$E$52="PER_KWH",'ENG_OPS'!$J$63*'IN_COST'!$F$52*IF('IN_COST'!$G$52="FX",'ENG_SCEN'!$J$36,IF('IN_COST'!$G$52="PPI",'ENG_SCEN'!$J$35,IF('IN_COST'!$G$52="ENERGY",'ENG_SCEN'!$J$34,IF('IN_COST'!$G$52="WAGE",'ENG_SCEN'!$J$33,IF('IN_COST'!$G$52="CPI",'ENG_SCEN'!$J$32,1))))),IF('IN_COST'!$E$52="PER_M3",'ENG_OPS'!$J$64*'IN_COST'!$F$52*IF('IN_COST'!$G$52="FX",'ENG_SCEN'!$J$36,IF('IN_COST'!$G$52="PPI",'ENG_SCEN'!$J$35,IF('IN_COST'!$G$52="ENERGY",'ENG_SCEN'!$J$34,IF('IN_COST'!$G$52="WAGE",'ENG_SCEN'!$J$33,IF('IN_COST'!$G$52="CPI",'ENG_SCEN'!$J$32,1))))),IF('IN_COST'!$E$52="ANNUAL",'IN_COST'!$F$52*IF('IN_COST'!$G$52="FX",'ENG_SCEN'!$J$36,IF('IN_COST'!$G$52="PPI",'ENG_SCEN'!$J$35,IF('IN_COST'!$G$52="ENERGY",'ENG_SCEN'!$J$34,IF('IN_COST'!$G$52="WAGE",'ENG_SCEN'!$J$33,IF('IN_COST'!$G$52="CPI",'ENG_SCEN'!$J$32,1))))),IF('IN_COST'!$E$52="PCT_REV",'ENG_OPS'!$J$81*'IN_COST'!$F$52,IF('IN_COST'!$E$52="PCT_ASSET",'ENG_CAPEX'!$J$84*'IN_COST'!$F$52,IF('IN_COST'!$E$52="DEP",'ENG_CAPEX'!$J$81,IF('IN_COST'!$E$52="PAY",INDEX('IN_COST'!$D$15:$D$19,IFERROR(VALUE(MID('IN_COST'!$F$52,FIND(":",'IN_COST'!$F$52)+1,2)),1))*INDEX('IN_COST'!$E$15:$E$19,IFERROR(VALUE(MID('IN_COST'!$F$52,FIND(":",'IN_COST'!$F$52)+1,2)),1))*'IN_COST'!$D$10*'IN_COST'!$D$11*'ENG_SCEN'!$J$33,IF('IN_COST'!$E$52="SRV",SUM(INDEX('ENG_ALLOC'!$D$29:$P$58,(IFERROR(VALUE(MID('IN_COST'!$F$52,FIND(":",'IN_COST'!$F$52)+1,2)),1)-1)*6+1,7):INDEX('ENG_ALLOC'!$D$29:$P$58,IFERROR(VALUE(MID('IN_COST'!$F$52,FIND(":",'IN_COST'!$F$52)+1,2)),1)*6,7)),0)))))))))))*IF('IN_COST'!$E$52="DEP",'ENG_SCEN'!$G$16,IF('IN_COST'!$I$52="V",IF('IN_COST'!$E$52="SCRAP_LME",'ENG_SCEN'!$G$13,'ENG_SCEN'!$G$14),'ENG_SCEN'!$G$15))</f>
        <v/>
      </c>
      <c r="K66" s="33">
        <f>'IN_MACRO'!$K$34*IF('IN_COST'!$E$52="SCRAP_LME",'ENG_OPS'!$K$20*'IN_COST'!$F$52*'ENG_SCEN'!$K$37,IF('IN_COST'!$E$52="PER_TON_BATT",'ENG_OPS'!$K$20*'IN_COST'!$F$52*IF('IN_COST'!$G$52="FX",'ENG_SCEN'!$K$36,IF('IN_COST'!$G$52="PPI",'ENG_SCEN'!$K$35,IF('IN_COST'!$G$52="ENERGY",'ENG_SCEN'!$K$34,IF('IN_COST'!$G$52="WAGE",'ENG_SCEN'!$K$33,IF('IN_COST'!$G$52="CPI",'ENG_SCEN'!$K$32,1))))),IF('IN_COST'!$E$52="PER_TON_PROD",'ENG_OPS'!$K$43*'IN_COST'!$F$52*IF('IN_COST'!$G$52="FX",'ENG_SCEN'!$K$36,IF('IN_COST'!$G$52="PPI",'ENG_SCEN'!$K$35,IF('IN_COST'!$G$52="ENERGY",'ENG_SCEN'!$K$34,IF('IN_COST'!$G$52="WAGE",'ENG_SCEN'!$K$33,IF('IN_COST'!$G$52="CPI",'ENG_SCEN'!$K$32,1))))),IF('IN_COST'!$E$52="PER_KWH",'ENG_OPS'!$K$63*'IN_COST'!$F$52*IF('IN_COST'!$G$52="FX",'ENG_SCEN'!$K$36,IF('IN_COST'!$G$52="PPI",'ENG_SCEN'!$K$35,IF('IN_COST'!$G$52="ENERGY",'ENG_SCEN'!$K$34,IF('IN_COST'!$G$52="WAGE",'ENG_SCEN'!$K$33,IF('IN_COST'!$G$52="CPI",'ENG_SCEN'!$K$32,1))))),IF('IN_COST'!$E$52="PER_M3",'ENG_OPS'!$K$64*'IN_COST'!$F$52*IF('IN_COST'!$G$52="FX",'ENG_SCEN'!$K$36,IF('IN_COST'!$G$52="PPI",'ENG_SCEN'!$K$35,IF('IN_COST'!$G$52="ENERGY",'ENG_SCEN'!$K$34,IF('IN_COST'!$G$52="WAGE",'ENG_SCEN'!$K$33,IF('IN_COST'!$G$52="CPI",'ENG_SCEN'!$K$32,1))))),IF('IN_COST'!$E$52="ANNUAL",'IN_COST'!$F$52*IF('IN_COST'!$G$52="FX",'ENG_SCEN'!$K$36,IF('IN_COST'!$G$52="PPI",'ENG_SCEN'!$K$35,IF('IN_COST'!$G$52="ENERGY",'ENG_SCEN'!$K$34,IF('IN_COST'!$G$52="WAGE",'ENG_SCEN'!$K$33,IF('IN_COST'!$G$52="CPI",'ENG_SCEN'!$K$32,1))))),IF('IN_COST'!$E$52="PCT_REV",'ENG_OPS'!$K$81*'IN_COST'!$F$52,IF('IN_COST'!$E$52="PCT_ASSET",'ENG_CAPEX'!$K$84*'IN_COST'!$F$52,IF('IN_COST'!$E$52="DEP",'ENG_CAPEX'!$K$81,IF('IN_COST'!$E$52="PAY",INDEX('IN_COST'!$D$15:$D$19,IFERROR(VALUE(MID('IN_COST'!$F$52,FIND(":",'IN_COST'!$F$52)+1,2)),1))*INDEX('IN_COST'!$E$15:$E$19,IFERROR(VALUE(MID('IN_COST'!$F$52,FIND(":",'IN_COST'!$F$52)+1,2)),1))*'IN_COST'!$D$10*'IN_COST'!$D$11*'ENG_SCEN'!$K$33,IF('IN_COST'!$E$52="SRV",SUM(INDEX('ENG_ALLOC'!$D$29:$P$58,(IFERROR(VALUE(MID('IN_COST'!$F$52,FIND(":",'IN_COST'!$F$52)+1,2)),1)-1)*6+1,8):INDEX('ENG_ALLOC'!$D$29:$P$58,IFERROR(VALUE(MID('IN_COST'!$F$52,FIND(":",'IN_COST'!$F$52)+1,2)),1)*6,8)),0)))))))))))*IF('IN_COST'!$E$52="DEP",'ENG_SCEN'!$G$16,IF('IN_COST'!$I$52="V",IF('IN_COST'!$E$52="SCRAP_LME",'ENG_SCEN'!$G$13,'ENG_SCEN'!$G$14),'ENG_SCEN'!$G$15))</f>
        <v/>
      </c>
      <c r="L66" s="33">
        <f>'IN_MACRO'!$L$34*IF('IN_COST'!$E$52="SCRAP_LME",'ENG_OPS'!$L$20*'IN_COST'!$F$52*'ENG_SCEN'!$L$37,IF('IN_COST'!$E$52="PER_TON_BATT",'ENG_OPS'!$L$20*'IN_COST'!$F$52*IF('IN_COST'!$G$52="FX",'ENG_SCEN'!$L$36,IF('IN_COST'!$G$52="PPI",'ENG_SCEN'!$L$35,IF('IN_COST'!$G$52="ENERGY",'ENG_SCEN'!$L$34,IF('IN_COST'!$G$52="WAGE",'ENG_SCEN'!$L$33,IF('IN_COST'!$G$52="CPI",'ENG_SCEN'!$L$32,1))))),IF('IN_COST'!$E$52="PER_TON_PROD",'ENG_OPS'!$L$43*'IN_COST'!$F$52*IF('IN_COST'!$G$52="FX",'ENG_SCEN'!$L$36,IF('IN_COST'!$G$52="PPI",'ENG_SCEN'!$L$35,IF('IN_COST'!$G$52="ENERGY",'ENG_SCEN'!$L$34,IF('IN_COST'!$G$52="WAGE",'ENG_SCEN'!$L$33,IF('IN_COST'!$G$52="CPI",'ENG_SCEN'!$L$32,1))))),IF('IN_COST'!$E$52="PER_KWH",'ENG_OPS'!$L$63*'IN_COST'!$F$52*IF('IN_COST'!$G$52="FX",'ENG_SCEN'!$L$36,IF('IN_COST'!$G$52="PPI",'ENG_SCEN'!$L$35,IF('IN_COST'!$G$52="ENERGY",'ENG_SCEN'!$L$34,IF('IN_COST'!$G$52="WAGE",'ENG_SCEN'!$L$33,IF('IN_COST'!$G$52="CPI",'ENG_SCEN'!$L$32,1))))),IF('IN_COST'!$E$52="PER_M3",'ENG_OPS'!$L$64*'IN_COST'!$F$52*IF('IN_COST'!$G$52="FX",'ENG_SCEN'!$L$36,IF('IN_COST'!$G$52="PPI",'ENG_SCEN'!$L$35,IF('IN_COST'!$G$52="ENERGY",'ENG_SCEN'!$L$34,IF('IN_COST'!$G$52="WAGE",'ENG_SCEN'!$L$33,IF('IN_COST'!$G$52="CPI",'ENG_SCEN'!$L$32,1))))),IF('IN_COST'!$E$52="ANNUAL",'IN_COST'!$F$52*IF('IN_COST'!$G$52="FX",'ENG_SCEN'!$L$36,IF('IN_COST'!$G$52="PPI",'ENG_SCEN'!$L$35,IF('IN_COST'!$G$52="ENERGY",'ENG_SCEN'!$L$34,IF('IN_COST'!$G$52="WAGE",'ENG_SCEN'!$L$33,IF('IN_COST'!$G$52="CPI",'ENG_SCEN'!$L$32,1))))),IF('IN_COST'!$E$52="PCT_REV",'ENG_OPS'!$L$81*'IN_COST'!$F$52,IF('IN_COST'!$E$52="PCT_ASSET",'ENG_CAPEX'!$L$84*'IN_COST'!$F$52,IF('IN_COST'!$E$52="DEP",'ENG_CAPEX'!$L$81,IF('IN_COST'!$E$52="PAY",INDEX('IN_COST'!$D$15:$D$19,IFERROR(VALUE(MID('IN_COST'!$F$52,FIND(":",'IN_COST'!$F$52)+1,2)),1))*INDEX('IN_COST'!$E$15:$E$19,IFERROR(VALUE(MID('IN_COST'!$F$52,FIND(":",'IN_COST'!$F$52)+1,2)),1))*'IN_COST'!$D$10*'IN_COST'!$D$11*'ENG_SCEN'!$L$33,IF('IN_COST'!$E$52="SRV",SUM(INDEX('ENG_ALLOC'!$D$29:$P$58,(IFERROR(VALUE(MID('IN_COST'!$F$52,FIND(":",'IN_COST'!$F$52)+1,2)),1)-1)*6+1,9):INDEX('ENG_ALLOC'!$D$29:$P$58,IFERROR(VALUE(MID('IN_COST'!$F$52,FIND(":",'IN_COST'!$F$52)+1,2)),1)*6,9)),0)))))))))))*IF('IN_COST'!$E$52="DEP",'ENG_SCEN'!$G$16,IF('IN_COST'!$I$52="V",IF('IN_COST'!$E$52="SCRAP_LME",'ENG_SCEN'!$G$13,'ENG_SCEN'!$G$14),'ENG_SCEN'!$G$15))</f>
        <v/>
      </c>
      <c r="M66" s="33">
        <f>'IN_MACRO'!$M$34*IF('IN_COST'!$E$52="SCRAP_LME",'ENG_OPS'!$M$20*'IN_COST'!$F$52*'ENG_SCEN'!$M$37,IF('IN_COST'!$E$52="PER_TON_BATT",'ENG_OPS'!$M$20*'IN_COST'!$F$52*IF('IN_COST'!$G$52="FX",'ENG_SCEN'!$M$36,IF('IN_COST'!$G$52="PPI",'ENG_SCEN'!$M$35,IF('IN_COST'!$G$52="ENERGY",'ENG_SCEN'!$M$34,IF('IN_COST'!$G$52="WAGE",'ENG_SCEN'!$M$33,IF('IN_COST'!$G$52="CPI",'ENG_SCEN'!$M$32,1))))),IF('IN_COST'!$E$52="PER_TON_PROD",'ENG_OPS'!$M$43*'IN_COST'!$F$52*IF('IN_COST'!$G$52="FX",'ENG_SCEN'!$M$36,IF('IN_COST'!$G$52="PPI",'ENG_SCEN'!$M$35,IF('IN_COST'!$G$52="ENERGY",'ENG_SCEN'!$M$34,IF('IN_COST'!$G$52="WAGE",'ENG_SCEN'!$M$33,IF('IN_COST'!$G$52="CPI",'ENG_SCEN'!$M$32,1))))),IF('IN_COST'!$E$52="PER_KWH",'ENG_OPS'!$M$63*'IN_COST'!$F$52*IF('IN_COST'!$G$52="FX",'ENG_SCEN'!$M$36,IF('IN_COST'!$G$52="PPI",'ENG_SCEN'!$M$35,IF('IN_COST'!$G$52="ENERGY",'ENG_SCEN'!$M$34,IF('IN_COST'!$G$52="WAGE",'ENG_SCEN'!$M$33,IF('IN_COST'!$G$52="CPI",'ENG_SCEN'!$M$32,1))))),IF('IN_COST'!$E$52="PER_M3",'ENG_OPS'!$M$64*'IN_COST'!$F$52*IF('IN_COST'!$G$52="FX",'ENG_SCEN'!$M$36,IF('IN_COST'!$G$52="PPI",'ENG_SCEN'!$M$35,IF('IN_COST'!$G$52="ENERGY",'ENG_SCEN'!$M$34,IF('IN_COST'!$G$52="WAGE",'ENG_SCEN'!$M$33,IF('IN_COST'!$G$52="CPI",'ENG_SCEN'!$M$32,1))))),IF('IN_COST'!$E$52="ANNUAL",'IN_COST'!$F$52*IF('IN_COST'!$G$52="FX",'ENG_SCEN'!$M$36,IF('IN_COST'!$G$52="PPI",'ENG_SCEN'!$M$35,IF('IN_COST'!$G$52="ENERGY",'ENG_SCEN'!$M$34,IF('IN_COST'!$G$52="WAGE",'ENG_SCEN'!$M$33,IF('IN_COST'!$G$52="CPI",'ENG_SCEN'!$M$32,1))))),IF('IN_COST'!$E$52="PCT_REV",'ENG_OPS'!$M$81*'IN_COST'!$F$52,IF('IN_COST'!$E$52="PCT_ASSET",'ENG_CAPEX'!$M$84*'IN_COST'!$F$52,IF('IN_COST'!$E$52="DEP",'ENG_CAPEX'!$M$81,IF('IN_COST'!$E$52="PAY",INDEX('IN_COST'!$D$15:$D$19,IFERROR(VALUE(MID('IN_COST'!$F$52,FIND(":",'IN_COST'!$F$52)+1,2)),1))*INDEX('IN_COST'!$E$15:$E$19,IFERROR(VALUE(MID('IN_COST'!$F$52,FIND(":",'IN_COST'!$F$52)+1,2)),1))*'IN_COST'!$D$10*'IN_COST'!$D$11*'ENG_SCEN'!$M$33,IF('IN_COST'!$E$52="SRV",SUM(INDEX('ENG_ALLOC'!$D$29:$P$58,(IFERROR(VALUE(MID('IN_COST'!$F$52,FIND(":",'IN_COST'!$F$52)+1,2)),1)-1)*6+1,10):INDEX('ENG_ALLOC'!$D$29:$P$58,IFERROR(VALUE(MID('IN_COST'!$F$52,FIND(":",'IN_COST'!$F$52)+1,2)),1)*6,10)),0)))))))))))*IF('IN_COST'!$E$52="DEP",'ENG_SCEN'!$G$16,IF('IN_COST'!$I$52="V",IF('IN_COST'!$E$52="SCRAP_LME",'ENG_SCEN'!$G$13,'ENG_SCEN'!$G$14),'ENG_SCEN'!$G$15))</f>
        <v/>
      </c>
      <c r="N66" s="33">
        <f>'IN_MACRO'!$N$34*IF('IN_COST'!$E$52="SCRAP_LME",'ENG_OPS'!$N$20*'IN_COST'!$F$52*'ENG_SCEN'!$N$37,IF('IN_COST'!$E$52="PER_TON_BATT",'ENG_OPS'!$N$20*'IN_COST'!$F$52*IF('IN_COST'!$G$52="FX",'ENG_SCEN'!$N$36,IF('IN_COST'!$G$52="PPI",'ENG_SCEN'!$N$35,IF('IN_COST'!$G$52="ENERGY",'ENG_SCEN'!$N$34,IF('IN_COST'!$G$52="WAGE",'ENG_SCEN'!$N$33,IF('IN_COST'!$G$52="CPI",'ENG_SCEN'!$N$32,1))))),IF('IN_COST'!$E$52="PER_TON_PROD",'ENG_OPS'!$N$43*'IN_COST'!$F$52*IF('IN_COST'!$G$52="FX",'ENG_SCEN'!$N$36,IF('IN_COST'!$G$52="PPI",'ENG_SCEN'!$N$35,IF('IN_COST'!$G$52="ENERGY",'ENG_SCEN'!$N$34,IF('IN_COST'!$G$52="WAGE",'ENG_SCEN'!$N$33,IF('IN_COST'!$G$52="CPI",'ENG_SCEN'!$N$32,1))))),IF('IN_COST'!$E$52="PER_KWH",'ENG_OPS'!$N$63*'IN_COST'!$F$52*IF('IN_COST'!$G$52="FX",'ENG_SCEN'!$N$36,IF('IN_COST'!$G$52="PPI",'ENG_SCEN'!$N$35,IF('IN_COST'!$G$52="ENERGY",'ENG_SCEN'!$N$34,IF('IN_COST'!$G$52="WAGE",'ENG_SCEN'!$N$33,IF('IN_COST'!$G$52="CPI",'ENG_SCEN'!$N$32,1))))),IF('IN_COST'!$E$52="PER_M3",'ENG_OPS'!$N$64*'IN_COST'!$F$52*IF('IN_COST'!$G$52="FX",'ENG_SCEN'!$N$36,IF('IN_COST'!$G$52="PPI",'ENG_SCEN'!$N$35,IF('IN_COST'!$G$52="ENERGY",'ENG_SCEN'!$N$34,IF('IN_COST'!$G$52="WAGE",'ENG_SCEN'!$N$33,IF('IN_COST'!$G$52="CPI",'ENG_SCEN'!$N$32,1))))),IF('IN_COST'!$E$52="ANNUAL",'IN_COST'!$F$52*IF('IN_COST'!$G$52="FX",'ENG_SCEN'!$N$36,IF('IN_COST'!$G$52="PPI",'ENG_SCEN'!$N$35,IF('IN_COST'!$G$52="ENERGY",'ENG_SCEN'!$N$34,IF('IN_COST'!$G$52="WAGE",'ENG_SCEN'!$N$33,IF('IN_COST'!$G$52="CPI",'ENG_SCEN'!$N$32,1))))),IF('IN_COST'!$E$52="PCT_REV",'ENG_OPS'!$N$81*'IN_COST'!$F$52,IF('IN_COST'!$E$52="PCT_ASSET",'ENG_CAPEX'!$N$84*'IN_COST'!$F$52,IF('IN_COST'!$E$52="DEP",'ENG_CAPEX'!$N$81,IF('IN_COST'!$E$52="PAY",INDEX('IN_COST'!$D$15:$D$19,IFERROR(VALUE(MID('IN_COST'!$F$52,FIND(":",'IN_COST'!$F$52)+1,2)),1))*INDEX('IN_COST'!$E$15:$E$19,IFERROR(VALUE(MID('IN_COST'!$F$52,FIND(":",'IN_COST'!$F$52)+1,2)),1))*'IN_COST'!$D$10*'IN_COST'!$D$11*'ENG_SCEN'!$N$33,IF('IN_COST'!$E$52="SRV",SUM(INDEX('ENG_ALLOC'!$D$29:$P$58,(IFERROR(VALUE(MID('IN_COST'!$F$52,FIND(":",'IN_COST'!$F$52)+1,2)),1)-1)*6+1,11):INDEX('ENG_ALLOC'!$D$29:$P$58,IFERROR(VALUE(MID('IN_COST'!$F$52,FIND(":",'IN_COST'!$F$52)+1,2)),1)*6,11)),0)))))))))))*IF('IN_COST'!$E$52="DEP",'ENG_SCEN'!$G$16,IF('IN_COST'!$I$52="V",IF('IN_COST'!$E$52="SCRAP_LME",'ENG_SCEN'!$G$13,'ENG_SCEN'!$G$14),'ENG_SCEN'!$G$15))</f>
        <v/>
      </c>
      <c r="O66" s="33">
        <f>'IN_MACRO'!$O$34*IF('IN_COST'!$E$52="SCRAP_LME",'ENG_OPS'!$O$20*'IN_COST'!$F$52*'ENG_SCEN'!$O$37,IF('IN_COST'!$E$52="PER_TON_BATT",'ENG_OPS'!$O$20*'IN_COST'!$F$52*IF('IN_COST'!$G$52="FX",'ENG_SCEN'!$O$36,IF('IN_COST'!$G$52="PPI",'ENG_SCEN'!$O$35,IF('IN_COST'!$G$52="ENERGY",'ENG_SCEN'!$O$34,IF('IN_COST'!$G$52="WAGE",'ENG_SCEN'!$O$33,IF('IN_COST'!$G$52="CPI",'ENG_SCEN'!$O$32,1))))),IF('IN_COST'!$E$52="PER_TON_PROD",'ENG_OPS'!$O$43*'IN_COST'!$F$52*IF('IN_COST'!$G$52="FX",'ENG_SCEN'!$O$36,IF('IN_COST'!$G$52="PPI",'ENG_SCEN'!$O$35,IF('IN_COST'!$G$52="ENERGY",'ENG_SCEN'!$O$34,IF('IN_COST'!$G$52="WAGE",'ENG_SCEN'!$O$33,IF('IN_COST'!$G$52="CPI",'ENG_SCEN'!$O$32,1))))),IF('IN_COST'!$E$52="PER_KWH",'ENG_OPS'!$O$63*'IN_COST'!$F$52*IF('IN_COST'!$G$52="FX",'ENG_SCEN'!$O$36,IF('IN_COST'!$G$52="PPI",'ENG_SCEN'!$O$35,IF('IN_COST'!$G$52="ENERGY",'ENG_SCEN'!$O$34,IF('IN_COST'!$G$52="WAGE",'ENG_SCEN'!$O$33,IF('IN_COST'!$G$52="CPI",'ENG_SCEN'!$O$32,1))))),IF('IN_COST'!$E$52="PER_M3",'ENG_OPS'!$O$64*'IN_COST'!$F$52*IF('IN_COST'!$G$52="FX",'ENG_SCEN'!$O$36,IF('IN_COST'!$G$52="PPI",'ENG_SCEN'!$O$35,IF('IN_COST'!$G$52="ENERGY",'ENG_SCEN'!$O$34,IF('IN_COST'!$G$52="WAGE",'ENG_SCEN'!$O$33,IF('IN_COST'!$G$52="CPI",'ENG_SCEN'!$O$32,1))))),IF('IN_COST'!$E$52="ANNUAL",'IN_COST'!$F$52*IF('IN_COST'!$G$52="FX",'ENG_SCEN'!$O$36,IF('IN_COST'!$G$52="PPI",'ENG_SCEN'!$O$35,IF('IN_COST'!$G$52="ENERGY",'ENG_SCEN'!$O$34,IF('IN_COST'!$G$52="WAGE",'ENG_SCEN'!$O$33,IF('IN_COST'!$G$52="CPI",'ENG_SCEN'!$O$32,1))))),IF('IN_COST'!$E$52="PCT_REV",'ENG_OPS'!$O$81*'IN_COST'!$F$52,IF('IN_COST'!$E$52="PCT_ASSET",'ENG_CAPEX'!$O$84*'IN_COST'!$F$52,IF('IN_COST'!$E$52="DEP",'ENG_CAPEX'!$O$81,IF('IN_COST'!$E$52="PAY",INDEX('IN_COST'!$D$15:$D$19,IFERROR(VALUE(MID('IN_COST'!$F$52,FIND(":",'IN_COST'!$F$52)+1,2)),1))*INDEX('IN_COST'!$E$15:$E$19,IFERROR(VALUE(MID('IN_COST'!$F$52,FIND(":",'IN_COST'!$F$52)+1,2)),1))*'IN_COST'!$D$10*'IN_COST'!$D$11*'ENG_SCEN'!$O$33,IF('IN_COST'!$E$52="SRV",SUM(INDEX('ENG_ALLOC'!$D$29:$P$58,(IFERROR(VALUE(MID('IN_COST'!$F$52,FIND(":",'IN_COST'!$F$52)+1,2)),1)-1)*6+1,12):INDEX('ENG_ALLOC'!$D$29:$P$58,IFERROR(VALUE(MID('IN_COST'!$F$52,FIND(":",'IN_COST'!$F$52)+1,2)),1)*6,12)),0)))))))))))*IF('IN_COST'!$E$52="DEP",'ENG_SCEN'!$G$16,IF('IN_COST'!$I$52="V",IF('IN_COST'!$E$52="SCRAP_LME",'ENG_SCEN'!$G$13,'ENG_SCEN'!$G$14),'ENG_SCEN'!$G$15))</f>
        <v/>
      </c>
      <c r="P66" s="33">
        <f>'IN_MACRO'!$P$34*IF('IN_COST'!$E$52="SCRAP_LME",'ENG_OPS'!$P$20*'IN_COST'!$F$52*'ENG_SCEN'!$P$37,IF('IN_COST'!$E$52="PER_TON_BATT",'ENG_OPS'!$P$20*'IN_COST'!$F$52*IF('IN_COST'!$G$52="FX",'ENG_SCEN'!$P$36,IF('IN_COST'!$G$52="PPI",'ENG_SCEN'!$P$35,IF('IN_COST'!$G$52="ENERGY",'ENG_SCEN'!$P$34,IF('IN_COST'!$G$52="WAGE",'ENG_SCEN'!$P$33,IF('IN_COST'!$G$52="CPI",'ENG_SCEN'!$P$32,1))))),IF('IN_COST'!$E$52="PER_TON_PROD",'ENG_OPS'!$P$43*'IN_COST'!$F$52*IF('IN_COST'!$G$52="FX",'ENG_SCEN'!$P$36,IF('IN_COST'!$G$52="PPI",'ENG_SCEN'!$P$35,IF('IN_COST'!$G$52="ENERGY",'ENG_SCEN'!$P$34,IF('IN_COST'!$G$52="WAGE",'ENG_SCEN'!$P$33,IF('IN_COST'!$G$52="CPI",'ENG_SCEN'!$P$32,1))))),IF('IN_COST'!$E$52="PER_KWH",'ENG_OPS'!$P$63*'IN_COST'!$F$52*IF('IN_COST'!$G$52="FX",'ENG_SCEN'!$P$36,IF('IN_COST'!$G$52="PPI",'ENG_SCEN'!$P$35,IF('IN_COST'!$G$52="ENERGY",'ENG_SCEN'!$P$34,IF('IN_COST'!$G$52="WAGE",'ENG_SCEN'!$P$33,IF('IN_COST'!$G$52="CPI",'ENG_SCEN'!$P$32,1))))),IF('IN_COST'!$E$52="PER_M3",'ENG_OPS'!$P$64*'IN_COST'!$F$52*IF('IN_COST'!$G$52="FX",'ENG_SCEN'!$P$36,IF('IN_COST'!$G$52="PPI",'ENG_SCEN'!$P$35,IF('IN_COST'!$G$52="ENERGY",'ENG_SCEN'!$P$34,IF('IN_COST'!$G$52="WAGE",'ENG_SCEN'!$P$33,IF('IN_COST'!$G$52="CPI",'ENG_SCEN'!$P$32,1))))),IF('IN_COST'!$E$52="ANNUAL",'IN_COST'!$F$52*IF('IN_COST'!$G$52="FX",'ENG_SCEN'!$P$36,IF('IN_COST'!$G$52="PPI",'ENG_SCEN'!$P$35,IF('IN_COST'!$G$52="ENERGY",'ENG_SCEN'!$P$34,IF('IN_COST'!$G$52="WAGE",'ENG_SCEN'!$P$33,IF('IN_COST'!$G$52="CPI",'ENG_SCEN'!$P$32,1))))),IF('IN_COST'!$E$52="PCT_REV",'ENG_OPS'!$P$81*'IN_COST'!$F$52,IF('IN_COST'!$E$52="PCT_ASSET",'ENG_CAPEX'!$P$84*'IN_COST'!$F$52,IF('IN_COST'!$E$52="DEP",'ENG_CAPEX'!$P$81,IF('IN_COST'!$E$52="PAY",INDEX('IN_COST'!$D$15:$D$19,IFERROR(VALUE(MID('IN_COST'!$F$52,FIND(":",'IN_COST'!$F$52)+1,2)),1))*INDEX('IN_COST'!$E$15:$E$19,IFERROR(VALUE(MID('IN_COST'!$F$52,FIND(":",'IN_COST'!$F$52)+1,2)),1))*'IN_COST'!$D$10*'IN_COST'!$D$11*'ENG_SCEN'!$P$33,IF('IN_COST'!$E$52="SRV",SUM(INDEX('ENG_ALLOC'!$D$29:$P$58,(IFERROR(VALUE(MID('IN_COST'!$F$52,FIND(":",'IN_COST'!$F$52)+1,2)),1)-1)*6+1,13):INDEX('ENG_ALLOC'!$D$29:$P$58,IFERROR(VALUE(MID('IN_COST'!$F$52,FIND(":",'IN_COST'!$F$52)+1,2)),1)*6,13)),0)))))))))))*IF('IN_COST'!$E$52="DEP",'ENG_SCEN'!$G$16,IF('IN_COST'!$I$52="V",IF('IN_COST'!$E$52="SCRAP_LME",'ENG_SCEN'!$G$13,'ENG_SCEN'!$G$14),'ENG_SCEN'!$G$15))</f>
        <v/>
      </c>
    </row>
    <row r="67">
      <c r="A67" s="15" t="inlineStr">
        <is>
          <t>FPC-06 | حقوق اداری و مالی</t>
        </is>
      </c>
      <c r="B67" s="16" t="inlineStr">
        <is>
          <t>EC.tot.20</t>
        </is>
      </c>
      <c r="C67" s="17" t="inlineStr">
        <is>
          <t>میلیون ریال</t>
        </is>
      </c>
      <c r="D67" s="33">
        <f>'IN_MACRO'!$D$34*IF('IN_COST'!$E$53="SCRAP_LME",'ENG_OPS'!$D$20*'IN_COST'!$F$53*'ENG_SCEN'!$D$37,IF('IN_COST'!$E$53="PER_TON_BATT",'ENG_OPS'!$D$20*'IN_COST'!$F$53*IF('IN_COST'!$G$53="FX",'ENG_SCEN'!$D$36,IF('IN_COST'!$G$53="PPI",'ENG_SCEN'!$D$35,IF('IN_COST'!$G$53="ENERGY",'ENG_SCEN'!$D$34,IF('IN_COST'!$G$53="WAGE",'ENG_SCEN'!$D$33,IF('IN_COST'!$G$53="CPI",'ENG_SCEN'!$D$32,1))))),IF('IN_COST'!$E$53="PER_TON_PROD",'ENG_OPS'!$D$43*'IN_COST'!$F$53*IF('IN_COST'!$G$53="FX",'ENG_SCEN'!$D$36,IF('IN_COST'!$G$53="PPI",'ENG_SCEN'!$D$35,IF('IN_COST'!$G$53="ENERGY",'ENG_SCEN'!$D$34,IF('IN_COST'!$G$53="WAGE",'ENG_SCEN'!$D$33,IF('IN_COST'!$G$53="CPI",'ENG_SCEN'!$D$32,1))))),IF('IN_COST'!$E$53="PER_KWH",'ENG_OPS'!$D$63*'IN_COST'!$F$53*IF('IN_COST'!$G$53="FX",'ENG_SCEN'!$D$36,IF('IN_COST'!$G$53="PPI",'ENG_SCEN'!$D$35,IF('IN_COST'!$G$53="ENERGY",'ENG_SCEN'!$D$34,IF('IN_COST'!$G$53="WAGE",'ENG_SCEN'!$D$33,IF('IN_COST'!$G$53="CPI",'ENG_SCEN'!$D$32,1))))),IF('IN_COST'!$E$53="PER_M3",'ENG_OPS'!$D$64*'IN_COST'!$F$53*IF('IN_COST'!$G$53="FX",'ENG_SCEN'!$D$36,IF('IN_COST'!$G$53="PPI",'ENG_SCEN'!$D$35,IF('IN_COST'!$G$53="ENERGY",'ENG_SCEN'!$D$34,IF('IN_COST'!$G$53="WAGE",'ENG_SCEN'!$D$33,IF('IN_COST'!$G$53="CPI",'ENG_SCEN'!$D$32,1))))),IF('IN_COST'!$E$53="ANNUAL",'IN_COST'!$F$53*IF('IN_COST'!$G$53="FX",'ENG_SCEN'!$D$36,IF('IN_COST'!$G$53="PPI",'ENG_SCEN'!$D$35,IF('IN_COST'!$G$53="ENERGY",'ENG_SCEN'!$D$34,IF('IN_COST'!$G$53="WAGE",'ENG_SCEN'!$D$33,IF('IN_COST'!$G$53="CPI",'ENG_SCEN'!$D$32,1))))),IF('IN_COST'!$E$53="PCT_REV",'ENG_OPS'!$D$81*'IN_COST'!$F$53,IF('IN_COST'!$E$53="PCT_ASSET",'ENG_CAPEX'!$D$84*'IN_COST'!$F$53,IF('IN_COST'!$E$53="DEP",'ENG_CAPEX'!$D$81,IF('IN_COST'!$E$53="PAY",INDEX('IN_COST'!$D$15:$D$19,IFERROR(VALUE(MID('IN_COST'!$F$53,FIND(":",'IN_COST'!$F$53)+1,2)),1))*INDEX('IN_COST'!$E$15:$E$19,IFERROR(VALUE(MID('IN_COST'!$F$53,FIND(":",'IN_COST'!$F$53)+1,2)),1))*'IN_COST'!$D$10*'IN_COST'!$D$11*'ENG_SCEN'!$D$33,IF('IN_COST'!$E$53="SRV",SUM(INDEX('ENG_ALLOC'!$D$29:$P$58,(IFERROR(VALUE(MID('IN_COST'!$F$53,FIND(":",'IN_COST'!$F$53)+1,2)),1)-1)*6+1,1):INDEX('ENG_ALLOC'!$D$29:$P$58,IFERROR(VALUE(MID('IN_COST'!$F$53,FIND(":",'IN_COST'!$F$53)+1,2)),1)*6,1)),0)))))))))))*IF('IN_COST'!$E$53="DEP",'ENG_SCEN'!$G$16,IF('IN_COST'!$I$53="V",IF('IN_COST'!$E$53="SCRAP_LME",'ENG_SCEN'!$G$13,'ENG_SCEN'!$G$14),'ENG_SCEN'!$G$15))</f>
        <v/>
      </c>
      <c r="E67" s="33">
        <f>'IN_MACRO'!$E$34*IF('IN_COST'!$E$53="SCRAP_LME",'ENG_OPS'!$E$20*'IN_COST'!$F$53*'ENG_SCEN'!$E$37,IF('IN_COST'!$E$53="PER_TON_BATT",'ENG_OPS'!$E$20*'IN_COST'!$F$53*IF('IN_COST'!$G$53="FX",'ENG_SCEN'!$E$36,IF('IN_COST'!$G$53="PPI",'ENG_SCEN'!$E$35,IF('IN_COST'!$G$53="ENERGY",'ENG_SCEN'!$E$34,IF('IN_COST'!$G$53="WAGE",'ENG_SCEN'!$E$33,IF('IN_COST'!$G$53="CPI",'ENG_SCEN'!$E$32,1))))),IF('IN_COST'!$E$53="PER_TON_PROD",'ENG_OPS'!$E$43*'IN_COST'!$F$53*IF('IN_COST'!$G$53="FX",'ENG_SCEN'!$E$36,IF('IN_COST'!$G$53="PPI",'ENG_SCEN'!$E$35,IF('IN_COST'!$G$53="ENERGY",'ENG_SCEN'!$E$34,IF('IN_COST'!$G$53="WAGE",'ENG_SCEN'!$E$33,IF('IN_COST'!$G$53="CPI",'ENG_SCEN'!$E$32,1))))),IF('IN_COST'!$E$53="PER_KWH",'ENG_OPS'!$E$63*'IN_COST'!$F$53*IF('IN_COST'!$G$53="FX",'ENG_SCEN'!$E$36,IF('IN_COST'!$G$53="PPI",'ENG_SCEN'!$E$35,IF('IN_COST'!$G$53="ENERGY",'ENG_SCEN'!$E$34,IF('IN_COST'!$G$53="WAGE",'ENG_SCEN'!$E$33,IF('IN_COST'!$G$53="CPI",'ENG_SCEN'!$E$32,1))))),IF('IN_COST'!$E$53="PER_M3",'ENG_OPS'!$E$64*'IN_COST'!$F$53*IF('IN_COST'!$G$53="FX",'ENG_SCEN'!$E$36,IF('IN_COST'!$G$53="PPI",'ENG_SCEN'!$E$35,IF('IN_COST'!$G$53="ENERGY",'ENG_SCEN'!$E$34,IF('IN_COST'!$G$53="WAGE",'ENG_SCEN'!$E$33,IF('IN_COST'!$G$53="CPI",'ENG_SCEN'!$E$32,1))))),IF('IN_COST'!$E$53="ANNUAL",'IN_COST'!$F$53*IF('IN_COST'!$G$53="FX",'ENG_SCEN'!$E$36,IF('IN_COST'!$G$53="PPI",'ENG_SCEN'!$E$35,IF('IN_COST'!$G$53="ENERGY",'ENG_SCEN'!$E$34,IF('IN_COST'!$G$53="WAGE",'ENG_SCEN'!$E$33,IF('IN_COST'!$G$53="CPI",'ENG_SCEN'!$E$32,1))))),IF('IN_COST'!$E$53="PCT_REV",'ENG_OPS'!$E$81*'IN_COST'!$F$53,IF('IN_COST'!$E$53="PCT_ASSET",'ENG_CAPEX'!$E$84*'IN_COST'!$F$53,IF('IN_COST'!$E$53="DEP",'ENG_CAPEX'!$E$81,IF('IN_COST'!$E$53="PAY",INDEX('IN_COST'!$D$15:$D$19,IFERROR(VALUE(MID('IN_COST'!$F$53,FIND(":",'IN_COST'!$F$53)+1,2)),1))*INDEX('IN_COST'!$E$15:$E$19,IFERROR(VALUE(MID('IN_COST'!$F$53,FIND(":",'IN_COST'!$F$53)+1,2)),1))*'IN_COST'!$D$10*'IN_COST'!$D$11*'ENG_SCEN'!$E$33,IF('IN_COST'!$E$53="SRV",SUM(INDEX('ENG_ALLOC'!$D$29:$P$58,(IFERROR(VALUE(MID('IN_COST'!$F$53,FIND(":",'IN_COST'!$F$53)+1,2)),1)-1)*6+1,2):INDEX('ENG_ALLOC'!$D$29:$P$58,IFERROR(VALUE(MID('IN_COST'!$F$53,FIND(":",'IN_COST'!$F$53)+1,2)),1)*6,2)),0)))))))))))*IF('IN_COST'!$E$53="DEP",'ENG_SCEN'!$G$16,IF('IN_COST'!$I$53="V",IF('IN_COST'!$E$53="SCRAP_LME",'ENG_SCEN'!$G$13,'ENG_SCEN'!$G$14),'ENG_SCEN'!$G$15))</f>
        <v/>
      </c>
      <c r="F67" s="33">
        <f>'IN_MACRO'!$F$34*IF('IN_COST'!$E$53="SCRAP_LME",'ENG_OPS'!$F$20*'IN_COST'!$F$53*'ENG_SCEN'!$F$37,IF('IN_COST'!$E$53="PER_TON_BATT",'ENG_OPS'!$F$20*'IN_COST'!$F$53*IF('IN_COST'!$G$53="FX",'ENG_SCEN'!$F$36,IF('IN_COST'!$G$53="PPI",'ENG_SCEN'!$F$35,IF('IN_COST'!$G$53="ENERGY",'ENG_SCEN'!$F$34,IF('IN_COST'!$G$53="WAGE",'ENG_SCEN'!$F$33,IF('IN_COST'!$G$53="CPI",'ENG_SCEN'!$F$32,1))))),IF('IN_COST'!$E$53="PER_TON_PROD",'ENG_OPS'!$F$43*'IN_COST'!$F$53*IF('IN_COST'!$G$53="FX",'ENG_SCEN'!$F$36,IF('IN_COST'!$G$53="PPI",'ENG_SCEN'!$F$35,IF('IN_COST'!$G$53="ENERGY",'ENG_SCEN'!$F$34,IF('IN_COST'!$G$53="WAGE",'ENG_SCEN'!$F$33,IF('IN_COST'!$G$53="CPI",'ENG_SCEN'!$F$32,1))))),IF('IN_COST'!$E$53="PER_KWH",'ENG_OPS'!$F$63*'IN_COST'!$F$53*IF('IN_COST'!$G$53="FX",'ENG_SCEN'!$F$36,IF('IN_COST'!$G$53="PPI",'ENG_SCEN'!$F$35,IF('IN_COST'!$G$53="ENERGY",'ENG_SCEN'!$F$34,IF('IN_COST'!$G$53="WAGE",'ENG_SCEN'!$F$33,IF('IN_COST'!$G$53="CPI",'ENG_SCEN'!$F$32,1))))),IF('IN_COST'!$E$53="PER_M3",'ENG_OPS'!$F$64*'IN_COST'!$F$53*IF('IN_COST'!$G$53="FX",'ENG_SCEN'!$F$36,IF('IN_COST'!$G$53="PPI",'ENG_SCEN'!$F$35,IF('IN_COST'!$G$53="ENERGY",'ENG_SCEN'!$F$34,IF('IN_COST'!$G$53="WAGE",'ENG_SCEN'!$F$33,IF('IN_COST'!$G$53="CPI",'ENG_SCEN'!$F$32,1))))),IF('IN_COST'!$E$53="ANNUAL",'IN_COST'!$F$53*IF('IN_COST'!$G$53="FX",'ENG_SCEN'!$F$36,IF('IN_COST'!$G$53="PPI",'ENG_SCEN'!$F$35,IF('IN_COST'!$G$53="ENERGY",'ENG_SCEN'!$F$34,IF('IN_COST'!$G$53="WAGE",'ENG_SCEN'!$F$33,IF('IN_COST'!$G$53="CPI",'ENG_SCEN'!$F$32,1))))),IF('IN_COST'!$E$53="PCT_REV",'ENG_OPS'!$F$81*'IN_COST'!$F$53,IF('IN_COST'!$E$53="PCT_ASSET",'ENG_CAPEX'!$F$84*'IN_COST'!$F$53,IF('IN_COST'!$E$53="DEP",'ENG_CAPEX'!$F$81,IF('IN_COST'!$E$53="PAY",INDEX('IN_COST'!$D$15:$D$19,IFERROR(VALUE(MID('IN_COST'!$F$53,FIND(":",'IN_COST'!$F$53)+1,2)),1))*INDEX('IN_COST'!$E$15:$E$19,IFERROR(VALUE(MID('IN_COST'!$F$53,FIND(":",'IN_COST'!$F$53)+1,2)),1))*'IN_COST'!$D$10*'IN_COST'!$D$11*'ENG_SCEN'!$F$33,IF('IN_COST'!$E$53="SRV",SUM(INDEX('ENG_ALLOC'!$D$29:$P$58,(IFERROR(VALUE(MID('IN_COST'!$F$53,FIND(":",'IN_COST'!$F$53)+1,2)),1)-1)*6+1,3):INDEX('ENG_ALLOC'!$D$29:$P$58,IFERROR(VALUE(MID('IN_COST'!$F$53,FIND(":",'IN_COST'!$F$53)+1,2)),1)*6,3)),0)))))))))))*IF('IN_COST'!$E$53="DEP",'ENG_SCEN'!$G$16,IF('IN_COST'!$I$53="V",IF('IN_COST'!$E$53="SCRAP_LME",'ENG_SCEN'!$G$13,'ENG_SCEN'!$G$14),'ENG_SCEN'!$G$15))</f>
        <v/>
      </c>
      <c r="G67" s="33">
        <f>'IN_MACRO'!$G$34*IF('IN_COST'!$E$53="SCRAP_LME",'ENG_OPS'!$G$20*'IN_COST'!$F$53*'ENG_SCEN'!$G$37,IF('IN_COST'!$E$53="PER_TON_BATT",'ENG_OPS'!$G$20*'IN_COST'!$F$53*IF('IN_COST'!$G$53="FX",'ENG_SCEN'!$G$36,IF('IN_COST'!$G$53="PPI",'ENG_SCEN'!$G$35,IF('IN_COST'!$G$53="ENERGY",'ENG_SCEN'!$G$34,IF('IN_COST'!$G$53="WAGE",'ENG_SCEN'!$G$33,IF('IN_COST'!$G$53="CPI",'ENG_SCEN'!$G$32,1))))),IF('IN_COST'!$E$53="PER_TON_PROD",'ENG_OPS'!$G$43*'IN_COST'!$F$53*IF('IN_COST'!$G$53="FX",'ENG_SCEN'!$G$36,IF('IN_COST'!$G$53="PPI",'ENG_SCEN'!$G$35,IF('IN_COST'!$G$53="ENERGY",'ENG_SCEN'!$G$34,IF('IN_COST'!$G$53="WAGE",'ENG_SCEN'!$G$33,IF('IN_COST'!$G$53="CPI",'ENG_SCEN'!$G$32,1))))),IF('IN_COST'!$E$53="PER_KWH",'ENG_OPS'!$G$63*'IN_COST'!$F$53*IF('IN_COST'!$G$53="FX",'ENG_SCEN'!$G$36,IF('IN_COST'!$G$53="PPI",'ENG_SCEN'!$G$35,IF('IN_COST'!$G$53="ENERGY",'ENG_SCEN'!$G$34,IF('IN_COST'!$G$53="WAGE",'ENG_SCEN'!$G$33,IF('IN_COST'!$G$53="CPI",'ENG_SCEN'!$G$32,1))))),IF('IN_COST'!$E$53="PER_M3",'ENG_OPS'!$G$64*'IN_COST'!$F$53*IF('IN_COST'!$G$53="FX",'ENG_SCEN'!$G$36,IF('IN_COST'!$G$53="PPI",'ENG_SCEN'!$G$35,IF('IN_COST'!$G$53="ENERGY",'ENG_SCEN'!$G$34,IF('IN_COST'!$G$53="WAGE",'ENG_SCEN'!$G$33,IF('IN_COST'!$G$53="CPI",'ENG_SCEN'!$G$32,1))))),IF('IN_COST'!$E$53="ANNUAL",'IN_COST'!$F$53*IF('IN_COST'!$G$53="FX",'ENG_SCEN'!$G$36,IF('IN_COST'!$G$53="PPI",'ENG_SCEN'!$G$35,IF('IN_COST'!$G$53="ENERGY",'ENG_SCEN'!$G$34,IF('IN_COST'!$G$53="WAGE",'ENG_SCEN'!$G$33,IF('IN_COST'!$G$53="CPI",'ENG_SCEN'!$G$32,1))))),IF('IN_COST'!$E$53="PCT_REV",'ENG_OPS'!$G$81*'IN_COST'!$F$53,IF('IN_COST'!$E$53="PCT_ASSET",'ENG_CAPEX'!$G$84*'IN_COST'!$F$53,IF('IN_COST'!$E$53="DEP",'ENG_CAPEX'!$G$81,IF('IN_COST'!$E$53="PAY",INDEX('IN_COST'!$D$15:$D$19,IFERROR(VALUE(MID('IN_COST'!$F$53,FIND(":",'IN_COST'!$F$53)+1,2)),1))*INDEX('IN_COST'!$E$15:$E$19,IFERROR(VALUE(MID('IN_COST'!$F$53,FIND(":",'IN_COST'!$F$53)+1,2)),1))*'IN_COST'!$D$10*'IN_COST'!$D$11*'ENG_SCEN'!$G$33,IF('IN_COST'!$E$53="SRV",SUM(INDEX('ENG_ALLOC'!$D$29:$P$58,(IFERROR(VALUE(MID('IN_COST'!$F$53,FIND(":",'IN_COST'!$F$53)+1,2)),1)-1)*6+1,4):INDEX('ENG_ALLOC'!$D$29:$P$58,IFERROR(VALUE(MID('IN_COST'!$F$53,FIND(":",'IN_COST'!$F$53)+1,2)),1)*6,4)),0)))))))))))*IF('IN_COST'!$E$53="DEP",'ENG_SCEN'!$G$16,IF('IN_COST'!$I$53="V",IF('IN_COST'!$E$53="SCRAP_LME",'ENG_SCEN'!$G$13,'ENG_SCEN'!$G$14),'ENG_SCEN'!$G$15))</f>
        <v/>
      </c>
      <c r="H67" s="33">
        <f>'IN_MACRO'!$H$34*IF('IN_COST'!$E$53="SCRAP_LME",'ENG_OPS'!$H$20*'IN_COST'!$F$53*'ENG_SCEN'!$H$37,IF('IN_COST'!$E$53="PER_TON_BATT",'ENG_OPS'!$H$20*'IN_COST'!$F$53*IF('IN_COST'!$G$53="FX",'ENG_SCEN'!$H$36,IF('IN_COST'!$G$53="PPI",'ENG_SCEN'!$H$35,IF('IN_COST'!$G$53="ENERGY",'ENG_SCEN'!$H$34,IF('IN_COST'!$G$53="WAGE",'ENG_SCEN'!$H$33,IF('IN_COST'!$G$53="CPI",'ENG_SCEN'!$H$32,1))))),IF('IN_COST'!$E$53="PER_TON_PROD",'ENG_OPS'!$H$43*'IN_COST'!$F$53*IF('IN_COST'!$G$53="FX",'ENG_SCEN'!$H$36,IF('IN_COST'!$G$53="PPI",'ENG_SCEN'!$H$35,IF('IN_COST'!$G$53="ENERGY",'ENG_SCEN'!$H$34,IF('IN_COST'!$G$53="WAGE",'ENG_SCEN'!$H$33,IF('IN_COST'!$G$53="CPI",'ENG_SCEN'!$H$32,1))))),IF('IN_COST'!$E$53="PER_KWH",'ENG_OPS'!$H$63*'IN_COST'!$F$53*IF('IN_COST'!$G$53="FX",'ENG_SCEN'!$H$36,IF('IN_COST'!$G$53="PPI",'ENG_SCEN'!$H$35,IF('IN_COST'!$G$53="ENERGY",'ENG_SCEN'!$H$34,IF('IN_COST'!$G$53="WAGE",'ENG_SCEN'!$H$33,IF('IN_COST'!$G$53="CPI",'ENG_SCEN'!$H$32,1))))),IF('IN_COST'!$E$53="PER_M3",'ENG_OPS'!$H$64*'IN_COST'!$F$53*IF('IN_COST'!$G$53="FX",'ENG_SCEN'!$H$36,IF('IN_COST'!$G$53="PPI",'ENG_SCEN'!$H$35,IF('IN_COST'!$G$53="ENERGY",'ENG_SCEN'!$H$34,IF('IN_COST'!$G$53="WAGE",'ENG_SCEN'!$H$33,IF('IN_COST'!$G$53="CPI",'ENG_SCEN'!$H$32,1))))),IF('IN_COST'!$E$53="ANNUAL",'IN_COST'!$F$53*IF('IN_COST'!$G$53="FX",'ENG_SCEN'!$H$36,IF('IN_COST'!$G$53="PPI",'ENG_SCEN'!$H$35,IF('IN_COST'!$G$53="ENERGY",'ENG_SCEN'!$H$34,IF('IN_COST'!$G$53="WAGE",'ENG_SCEN'!$H$33,IF('IN_COST'!$G$53="CPI",'ENG_SCEN'!$H$32,1))))),IF('IN_COST'!$E$53="PCT_REV",'ENG_OPS'!$H$81*'IN_COST'!$F$53,IF('IN_COST'!$E$53="PCT_ASSET",'ENG_CAPEX'!$H$84*'IN_COST'!$F$53,IF('IN_COST'!$E$53="DEP",'ENG_CAPEX'!$H$81,IF('IN_COST'!$E$53="PAY",INDEX('IN_COST'!$D$15:$D$19,IFERROR(VALUE(MID('IN_COST'!$F$53,FIND(":",'IN_COST'!$F$53)+1,2)),1))*INDEX('IN_COST'!$E$15:$E$19,IFERROR(VALUE(MID('IN_COST'!$F$53,FIND(":",'IN_COST'!$F$53)+1,2)),1))*'IN_COST'!$D$10*'IN_COST'!$D$11*'ENG_SCEN'!$H$33,IF('IN_COST'!$E$53="SRV",SUM(INDEX('ENG_ALLOC'!$D$29:$P$58,(IFERROR(VALUE(MID('IN_COST'!$F$53,FIND(":",'IN_COST'!$F$53)+1,2)),1)-1)*6+1,5):INDEX('ENG_ALLOC'!$D$29:$P$58,IFERROR(VALUE(MID('IN_COST'!$F$53,FIND(":",'IN_COST'!$F$53)+1,2)),1)*6,5)),0)))))))))))*IF('IN_COST'!$E$53="DEP",'ENG_SCEN'!$G$16,IF('IN_COST'!$I$53="V",IF('IN_COST'!$E$53="SCRAP_LME",'ENG_SCEN'!$G$13,'ENG_SCEN'!$G$14),'ENG_SCEN'!$G$15))</f>
        <v/>
      </c>
      <c r="I67" s="33">
        <f>'IN_MACRO'!$I$34*IF('IN_COST'!$E$53="SCRAP_LME",'ENG_OPS'!$I$20*'IN_COST'!$F$53*'ENG_SCEN'!$I$37,IF('IN_COST'!$E$53="PER_TON_BATT",'ENG_OPS'!$I$20*'IN_COST'!$F$53*IF('IN_COST'!$G$53="FX",'ENG_SCEN'!$I$36,IF('IN_COST'!$G$53="PPI",'ENG_SCEN'!$I$35,IF('IN_COST'!$G$53="ENERGY",'ENG_SCEN'!$I$34,IF('IN_COST'!$G$53="WAGE",'ENG_SCEN'!$I$33,IF('IN_COST'!$G$53="CPI",'ENG_SCEN'!$I$32,1))))),IF('IN_COST'!$E$53="PER_TON_PROD",'ENG_OPS'!$I$43*'IN_COST'!$F$53*IF('IN_COST'!$G$53="FX",'ENG_SCEN'!$I$36,IF('IN_COST'!$G$53="PPI",'ENG_SCEN'!$I$35,IF('IN_COST'!$G$53="ENERGY",'ENG_SCEN'!$I$34,IF('IN_COST'!$G$53="WAGE",'ENG_SCEN'!$I$33,IF('IN_COST'!$G$53="CPI",'ENG_SCEN'!$I$32,1))))),IF('IN_COST'!$E$53="PER_KWH",'ENG_OPS'!$I$63*'IN_COST'!$F$53*IF('IN_COST'!$G$53="FX",'ENG_SCEN'!$I$36,IF('IN_COST'!$G$53="PPI",'ENG_SCEN'!$I$35,IF('IN_COST'!$G$53="ENERGY",'ENG_SCEN'!$I$34,IF('IN_COST'!$G$53="WAGE",'ENG_SCEN'!$I$33,IF('IN_COST'!$G$53="CPI",'ENG_SCEN'!$I$32,1))))),IF('IN_COST'!$E$53="PER_M3",'ENG_OPS'!$I$64*'IN_COST'!$F$53*IF('IN_COST'!$G$53="FX",'ENG_SCEN'!$I$36,IF('IN_COST'!$G$53="PPI",'ENG_SCEN'!$I$35,IF('IN_COST'!$G$53="ENERGY",'ENG_SCEN'!$I$34,IF('IN_COST'!$G$53="WAGE",'ENG_SCEN'!$I$33,IF('IN_COST'!$G$53="CPI",'ENG_SCEN'!$I$32,1))))),IF('IN_COST'!$E$53="ANNUAL",'IN_COST'!$F$53*IF('IN_COST'!$G$53="FX",'ENG_SCEN'!$I$36,IF('IN_COST'!$G$53="PPI",'ENG_SCEN'!$I$35,IF('IN_COST'!$G$53="ENERGY",'ENG_SCEN'!$I$34,IF('IN_COST'!$G$53="WAGE",'ENG_SCEN'!$I$33,IF('IN_COST'!$G$53="CPI",'ENG_SCEN'!$I$32,1))))),IF('IN_COST'!$E$53="PCT_REV",'ENG_OPS'!$I$81*'IN_COST'!$F$53,IF('IN_COST'!$E$53="PCT_ASSET",'ENG_CAPEX'!$I$84*'IN_COST'!$F$53,IF('IN_COST'!$E$53="DEP",'ENG_CAPEX'!$I$81,IF('IN_COST'!$E$53="PAY",INDEX('IN_COST'!$D$15:$D$19,IFERROR(VALUE(MID('IN_COST'!$F$53,FIND(":",'IN_COST'!$F$53)+1,2)),1))*INDEX('IN_COST'!$E$15:$E$19,IFERROR(VALUE(MID('IN_COST'!$F$53,FIND(":",'IN_COST'!$F$53)+1,2)),1))*'IN_COST'!$D$10*'IN_COST'!$D$11*'ENG_SCEN'!$I$33,IF('IN_COST'!$E$53="SRV",SUM(INDEX('ENG_ALLOC'!$D$29:$P$58,(IFERROR(VALUE(MID('IN_COST'!$F$53,FIND(":",'IN_COST'!$F$53)+1,2)),1)-1)*6+1,6):INDEX('ENG_ALLOC'!$D$29:$P$58,IFERROR(VALUE(MID('IN_COST'!$F$53,FIND(":",'IN_COST'!$F$53)+1,2)),1)*6,6)),0)))))))))))*IF('IN_COST'!$E$53="DEP",'ENG_SCEN'!$G$16,IF('IN_COST'!$I$53="V",IF('IN_COST'!$E$53="SCRAP_LME",'ENG_SCEN'!$G$13,'ENG_SCEN'!$G$14),'ENG_SCEN'!$G$15))</f>
        <v/>
      </c>
      <c r="J67" s="33">
        <f>'IN_MACRO'!$J$34*IF('IN_COST'!$E$53="SCRAP_LME",'ENG_OPS'!$J$20*'IN_COST'!$F$53*'ENG_SCEN'!$J$37,IF('IN_COST'!$E$53="PER_TON_BATT",'ENG_OPS'!$J$20*'IN_COST'!$F$53*IF('IN_COST'!$G$53="FX",'ENG_SCEN'!$J$36,IF('IN_COST'!$G$53="PPI",'ENG_SCEN'!$J$35,IF('IN_COST'!$G$53="ENERGY",'ENG_SCEN'!$J$34,IF('IN_COST'!$G$53="WAGE",'ENG_SCEN'!$J$33,IF('IN_COST'!$G$53="CPI",'ENG_SCEN'!$J$32,1))))),IF('IN_COST'!$E$53="PER_TON_PROD",'ENG_OPS'!$J$43*'IN_COST'!$F$53*IF('IN_COST'!$G$53="FX",'ENG_SCEN'!$J$36,IF('IN_COST'!$G$53="PPI",'ENG_SCEN'!$J$35,IF('IN_COST'!$G$53="ENERGY",'ENG_SCEN'!$J$34,IF('IN_COST'!$G$53="WAGE",'ENG_SCEN'!$J$33,IF('IN_COST'!$G$53="CPI",'ENG_SCEN'!$J$32,1))))),IF('IN_COST'!$E$53="PER_KWH",'ENG_OPS'!$J$63*'IN_COST'!$F$53*IF('IN_COST'!$G$53="FX",'ENG_SCEN'!$J$36,IF('IN_COST'!$G$53="PPI",'ENG_SCEN'!$J$35,IF('IN_COST'!$G$53="ENERGY",'ENG_SCEN'!$J$34,IF('IN_COST'!$G$53="WAGE",'ENG_SCEN'!$J$33,IF('IN_COST'!$G$53="CPI",'ENG_SCEN'!$J$32,1))))),IF('IN_COST'!$E$53="PER_M3",'ENG_OPS'!$J$64*'IN_COST'!$F$53*IF('IN_COST'!$G$53="FX",'ENG_SCEN'!$J$36,IF('IN_COST'!$G$53="PPI",'ENG_SCEN'!$J$35,IF('IN_COST'!$G$53="ENERGY",'ENG_SCEN'!$J$34,IF('IN_COST'!$G$53="WAGE",'ENG_SCEN'!$J$33,IF('IN_COST'!$G$53="CPI",'ENG_SCEN'!$J$32,1))))),IF('IN_COST'!$E$53="ANNUAL",'IN_COST'!$F$53*IF('IN_COST'!$G$53="FX",'ENG_SCEN'!$J$36,IF('IN_COST'!$G$53="PPI",'ENG_SCEN'!$J$35,IF('IN_COST'!$G$53="ENERGY",'ENG_SCEN'!$J$34,IF('IN_COST'!$G$53="WAGE",'ENG_SCEN'!$J$33,IF('IN_COST'!$G$53="CPI",'ENG_SCEN'!$J$32,1))))),IF('IN_COST'!$E$53="PCT_REV",'ENG_OPS'!$J$81*'IN_COST'!$F$53,IF('IN_COST'!$E$53="PCT_ASSET",'ENG_CAPEX'!$J$84*'IN_COST'!$F$53,IF('IN_COST'!$E$53="DEP",'ENG_CAPEX'!$J$81,IF('IN_COST'!$E$53="PAY",INDEX('IN_COST'!$D$15:$D$19,IFERROR(VALUE(MID('IN_COST'!$F$53,FIND(":",'IN_COST'!$F$53)+1,2)),1))*INDEX('IN_COST'!$E$15:$E$19,IFERROR(VALUE(MID('IN_COST'!$F$53,FIND(":",'IN_COST'!$F$53)+1,2)),1))*'IN_COST'!$D$10*'IN_COST'!$D$11*'ENG_SCEN'!$J$33,IF('IN_COST'!$E$53="SRV",SUM(INDEX('ENG_ALLOC'!$D$29:$P$58,(IFERROR(VALUE(MID('IN_COST'!$F$53,FIND(":",'IN_COST'!$F$53)+1,2)),1)-1)*6+1,7):INDEX('ENG_ALLOC'!$D$29:$P$58,IFERROR(VALUE(MID('IN_COST'!$F$53,FIND(":",'IN_COST'!$F$53)+1,2)),1)*6,7)),0)))))))))))*IF('IN_COST'!$E$53="DEP",'ENG_SCEN'!$G$16,IF('IN_COST'!$I$53="V",IF('IN_COST'!$E$53="SCRAP_LME",'ENG_SCEN'!$G$13,'ENG_SCEN'!$G$14),'ENG_SCEN'!$G$15))</f>
        <v/>
      </c>
      <c r="K67" s="33">
        <f>'IN_MACRO'!$K$34*IF('IN_COST'!$E$53="SCRAP_LME",'ENG_OPS'!$K$20*'IN_COST'!$F$53*'ENG_SCEN'!$K$37,IF('IN_COST'!$E$53="PER_TON_BATT",'ENG_OPS'!$K$20*'IN_COST'!$F$53*IF('IN_COST'!$G$53="FX",'ENG_SCEN'!$K$36,IF('IN_COST'!$G$53="PPI",'ENG_SCEN'!$K$35,IF('IN_COST'!$G$53="ENERGY",'ENG_SCEN'!$K$34,IF('IN_COST'!$G$53="WAGE",'ENG_SCEN'!$K$33,IF('IN_COST'!$G$53="CPI",'ENG_SCEN'!$K$32,1))))),IF('IN_COST'!$E$53="PER_TON_PROD",'ENG_OPS'!$K$43*'IN_COST'!$F$53*IF('IN_COST'!$G$53="FX",'ENG_SCEN'!$K$36,IF('IN_COST'!$G$53="PPI",'ENG_SCEN'!$K$35,IF('IN_COST'!$G$53="ENERGY",'ENG_SCEN'!$K$34,IF('IN_COST'!$G$53="WAGE",'ENG_SCEN'!$K$33,IF('IN_COST'!$G$53="CPI",'ENG_SCEN'!$K$32,1))))),IF('IN_COST'!$E$53="PER_KWH",'ENG_OPS'!$K$63*'IN_COST'!$F$53*IF('IN_COST'!$G$53="FX",'ENG_SCEN'!$K$36,IF('IN_COST'!$G$53="PPI",'ENG_SCEN'!$K$35,IF('IN_COST'!$G$53="ENERGY",'ENG_SCEN'!$K$34,IF('IN_COST'!$G$53="WAGE",'ENG_SCEN'!$K$33,IF('IN_COST'!$G$53="CPI",'ENG_SCEN'!$K$32,1))))),IF('IN_COST'!$E$53="PER_M3",'ENG_OPS'!$K$64*'IN_COST'!$F$53*IF('IN_COST'!$G$53="FX",'ENG_SCEN'!$K$36,IF('IN_COST'!$G$53="PPI",'ENG_SCEN'!$K$35,IF('IN_COST'!$G$53="ENERGY",'ENG_SCEN'!$K$34,IF('IN_COST'!$G$53="WAGE",'ENG_SCEN'!$K$33,IF('IN_COST'!$G$53="CPI",'ENG_SCEN'!$K$32,1))))),IF('IN_COST'!$E$53="ANNUAL",'IN_COST'!$F$53*IF('IN_COST'!$G$53="FX",'ENG_SCEN'!$K$36,IF('IN_COST'!$G$53="PPI",'ENG_SCEN'!$K$35,IF('IN_COST'!$G$53="ENERGY",'ENG_SCEN'!$K$34,IF('IN_COST'!$G$53="WAGE",'ENG_SCEN'!$K$33,IF('IN_COST'!$G$53="CPI",'ENG_SCEN'!$K$32,1))))),IF('IN_COST'!$E$53="PCT_REV",'ENG_OPS'!$K$81*'IN_COST'!$F$53,IF('IN_COST'!$E$53="PCT_ASSET",'ENG_CAPEX'!$K$84*'IN_COST'!$F$53,IF('IN_COST'!$E$53="DEP",'ENG_CAPEX'!$K$81,IF('IN_COST'!$E$53="PAY",INDEX('IN_COST'!$D$15:$D$19,IFERROR(VALUE(MID('IN_COST'!$F$53,FIND(":",'IN_COST'!$F$53)+1,2)),1))*INDEX('IN_COST'!$E$15:$E$19,IFERROR(VALUE(MID('IN_COST'!$F$53,FIND(":",'IN_COST'!$F$53)+1,2)),1))*'IN_COST'!$D$10*'IN_COST'!$D$11*'ENG_SCEN'!$K$33,IF('IN_COST'!$E$53="SRV",SUM(INDEX('ENG_ALLOC'!$D$29:$P$58,(IFERROR(VALUE(MID('IN_COST'!$F$53,FIND(":",'IN_COST'!$F$53)+1,2)),1)-1)*6+1,8):INDEX('ENG_ALLOC'!$D$29:$P$58,IFERROR(VALUE(MID('IN_COST'!$F$53,FIND(":",'IN_COST'!$F$53)+1,2)),1)*6,8)),0)))))))))))*IF('IN_COST'!$E$53="DEP",'ENG_SCEN'!$G$16,IF('IN_COST'!$I$53="V",IF('IN_COST'!$E$53="SCRAP_LME",'ENG_SCEN'!$G$13,'ENG_SCEN'!$G$14),'ENG_SCEN'!$G$15))</f>
        <v/>
      </c>
      <c r="L67" s="33">
        <f>'IN_MACRO'!$L$34*IF('IN_COST'!$E$53="SCRAP_LME",'ENG_OPS'!$L$20*'IN_COST'!$F$53*'ENG_SCEN'!$L$37,IF('IN_COST'!$E$53="PER_TON_BATT",'ENG_OPS'!$L$20*'IN_COST'!$F$53*IF('IN_COST'!$G$53="FX",'ENG_SCEN'!$L$36,IF('IN_COST'!$G$53="PPI",'ENG_SCEN'!$L$35,IF('IN_COST'!$G$53="ENERGY",'ENG_SCEN'!$L$34,IF('IN_COST'!$G$53="WAGE",'ENG_SCEN'!$L$33,IF('IN_COST'!$G$53="CPI",'ENG_SCEN'!$L$32,1))))),IF('IN_COST'!$E$53="PER_TON_PROD",'ENG_OPS'!$L$43*'IN_COST'!$F$53*IF('IN_COST'!$G$53="FX",'ENG_SCEN'!$L$36,IF('IN_COST'!$G$53="PPI",'ENG_SCEN'!$L$35,IF('IN_COST'!$G$53="ENERGY",'ENG_SCEN'!$L$34,IF('IN_COST'!$G$53="WAGE",'ENG_SCEN'!$L$33,IF('IN_COST'!$G$53="CPI",'ENG_SCEN'!$L$32,1))))),IF('IN_COST'!$E$53="PER_KWH",'ENG_OPS'!$L$63*'IN_COST'!$F$53*IF('IN_COST'!$G$53="FX",'ENG_SCEN'!$L$36,IF('IN_COST'!$G$53="PPI",'ENG_SCEN'!$L$35,IF('IN_COST'!$G$53="ENERGY",'ENG_SCEN'!$L$34,IF('IN_COST'!$G$53="WAGE",'ENG_SCEN'!$L$33,IF('IN_COST'!$G$53="CPI",'ENG_SCEN'!$L$32,1))))),IF('IN_COST'!$E$53="PER_M3",'ENG_OPS'!$L$64*'IN_COST'!$F$53*IF('IN_COST'!$G$53="FX",'ENG_SCEN'!$L$36,IF('IN_COST'!$G$53="PPI",'ENG_SCEN'!$L$35,IF('IN_COST'!$G$53="ENERGY",'ENG_SCEN'!$L$34,IF('IN_COST'!$G$53="WAGE",'ENG_SCEN'!$L$33,IF('IN_COST'!$G$53="CPI",'ENG_SCEN'!$L$32,1))))),IF('IN_COST'!$E$53="ANNUAL",'IN_COST'!$F$53*IF('IN_COST'!$G$53="FX",'ENG_SCEN'!$L$36,IF('IN_COST'!$G$53="PPI",'ENG_SCEN'!$L$35,IF('IN_COST'!$G$53="ENERGY",'ENG_SCEN'!$L$34,IF('IN_COST'!$G$53="WAGE",'ENG_SCEN'!$L$33,IF('IN_COST'!$G$53="CPI",'ENG_SCEN'!$L$32,1))))),IF('IN_COST'!$E$53="PCT_REV",'ENG_OPS'!$L$81*'IN_COST'!$F$53,IF('IN_COST'!$E$53="PCT_ASSET",'ENG_CAPEX'!$L$84*'IN_COST'!$F$53,IF('IN_COST'!$E$53="DEP",'ENG_CAPEX'!$L$81,IF('IN_COST'!$E$53="PAY",INDEX('IN_COST'!$D$15:$D$19,IFERROR(VALUE(MID('IN_COST'!$F$53,FIND(":",'IN_COST'!$F$53)+1,2)),1))*INDEX('IN_COST'!$E$15:$E$19,IFERROR(VALUE(MID('IN_COST'!$F$53,FIND(":",'IN_COST'!$F$53)+1,2)),1))*'IN_COST'!$D$10*'IN_COST'!$D$11*'ENG_SCEN'!$L$33,IF('IN_COST'!$E$53="SRV",SUM(INDEX('ENG_ALLOC'!$D$29:$P$58,(IFERROR(VALUE(MID('IN_COST'!$F$53,FIND(":",'IN_COST'!$F$53)+1,2)),1)-1)*6+1,9):INDEX('ENG_ALLOC'!$D$29:$P$58,IFERROR(VALUE(MID('IN_COST'!$F$53,FIND(":",'IN_COST'!$F$53)+1,2)),1)*6,9)),0)))))))))))*IF('IN_COST'!$E$53="DEP",'ENG_SCEN'!$G$16,IF('IN_COST'!$I$53="V",IF('IN_COST'!$E$53="SCRAP_LME",'ENG_SCEN'!$G$13,'ENG_SCEN'!$G$14),'ENG_SCEN'!$G$15))</f>
        <v/>
      </c>
      <c r="M67" s="33">
        <f>'IN_MACRO'!$M$34*IF('IN_COST'!$E$53="SCRAP_LME",'ENG_OPS'!$M$20*'IN_COST'!$F$53*'ENG_SCEN'!$M$37,IF('IN_COST'!$E$53="PER_TON_BATT",'ENG_OPS'!$M$20*'IN_COST'!$F$53*IF('IN_COST'!$G$53="FX",'ENG_SCEN'!$M$36,IF('IN_COST'!$G$53="PPI",'ENG_SCEN'!$M$35,IF('IN_COST'!$G$53="ENERGY",'ENG_SCEN'!$M$34,IF('IN_COST'!$G$53="WAGE",'ENG_SCEN'!$M$33,IF('IN_COST'!$G$53="CPI",'ENG_SCEN'!$M$32,1))))),IF('IN_COST'!$E$53="PER_TON_PROD",'ENG_OPS'!$M$43*'IN_COST'!$F$53*IF('IN_COST'!$G$53="FX",'ENG_SCEN'!$M$36,IF('IN_COST'!$G$53="PPI",'ENG_SCEN'!$M$35,IF('IN_COST'!$G$53="ENERGY",'ENG_SCEN'!$M$34,IF('IN_COST'!$G$53="WAGE",'ENG_SCEN'!$M$33,IF('IN_COST'!$G$53="CPI",'ENG_SCEN'!$M$32,1))))),IF('IN_COST'!$E$53="PER_KWH",'ENG_OPS'!$M$63*'IN_COST'!$F$53*IF('IN_COST'!$G$53="FX",'ENG_SCEN'!$M$36,IF('IN_COST'!$G$53="PPI",'ENG_SCEN'!$M$35,IF('IN_COST'!$G$53="ENERGY",'ENG_SCEN'!$M$34,IF('IN_COST'!$G$53="WAGE",'ENG_SCEN'!$M$33,IF('IN_COST'!$G$53="CPI",'ENG_SCEN'!$M$32,1))))),IF('IN_COST'!$E$53="PER_M3",'ENG_OPS'!$M$64*'IN_COST'!$F$53*IF('IN_COST'!$G$53="FX",'ENG_SCEN'!$M$36,IF('IN_COST'!$G$53="PPI",'ENG_SCEN'!$M$35,IF('IN_COST'!$G$53="ENERGY",'ENG_SCEN'!$M$34,IF('IN_COST'!$G$53="WAGE",'ENG_SCEN'!$M$33,IF('IN_COST'!$G$53="CPI",'ENG_SCEN'!$M$32,1))))),IF('IN_COST'!$E$53="ANNUAL",'IN_COST'!$F$53*IF('IN_COST'!$G$53="FX",'ENG_SCEN'!$M$36,IF('IN_COST'!$G$53="PPI",'ENG_SCEN'!$M$35,IF('IN_COST'!$G$53="ENERGY",'ENG_SCEN'!$M$34,IF('IN_COST'!$G$53="WAGE",'ENG_SCEN'!$M$33,IF('IN_COST'!$G$53="CPI",'ENG_SCEN'!$M$32,1))))),IF('IN_COST'!$E$53="PCT_REV",'ENG_OPS'!$M$81*'IN_COST'!$F$53,IF('IN_COST'!$E$53="PCT_ASSET",'ENG_CAPEX'!$M$84*'IN_COST'!$F$53,IF('IN_COST'!$E$53="DEP",'ENG_CAPEX'!$M$81,IF('IN_COST'!$E$53="PAY",INDEX('IN_COST'!$D$15:$D$19,IFERROR(VALUE(MID('IN_COST'!$F$53,FIND(":",'IN_COST'!$F$53)+1,2)),1))*INDEX('IN_COST'!$E$15:$E$19,IFERROR(VALUE(MID('IN_COST'!$F$53,FIND(":",'IN_COST'!$F$53)+1,2)),1))*'IN_COST'!$D$10*'IN_COST'!$D$11*'ENG_SCEN'!$M$33,IF('IN_COST'!$E$53="SRV",SUM(INDEX('ENG_ALLOC'!$D$29:$P$58,(IFERROR(VALUE(MID('IN_COST'!$F$53,FIND(":",'IN_COST'!$F$53)+1,2)),1)-1)*6+1,10):INDEX('ENG_ALLOC'!$D$29:$P$58,IFERROR(VALUE(MID('IN_COST'!$F$53,FIND(":",'IN_COST'!$F$53)+1,2)),1)*6,10)),0)))))))))))*IF('IN_COST'!$E$53="DEP",'ENG_SCEN'!$G$16,IF('IN_COST'!$I$53="V",IF('IN_COST'!$E$53="SCRAP_LME",'ENG_SCEN'!$G$13,'ENG_SCEN'!$G$14),'ENG_SCEN'!$G$15))</f>
        <v/>
      </c>
      <c r="N67" s="33">
        <f>'IN_MACRO'!$N$34*IF('IN_COST'!$E$53="SCRAP_LME",'ENG_OPS'!$N$20*'IN_COST'!$F$53*'ENG_SCEN'!$N$37,IF('IN_COST'!$E$53="PER_TON_BATT",'ENG_OPS'!$N$20*'IN_COST'!$F$53*IF('IN_COST'!$G$53="FX",'ENG_SCEN'!$N$36,IF('IN_COST'!$G$53="PPI",'ENG_SCEN'!$N$35,IF('IN_COST'!$G$53="ENERGY",'ENG_SCEN'!$N$34,IF('IN_COST'!$G$53="WAGE",'ENG_SCEN'!$N$33,IF('IN_COST'!$G$53="CPI",'ENG_SCEN'!$N$32,1))))),IF('IN_COST'!$E$53="PER_TON_PROD",'ENG_OPS'!$N$43*'IN_COST'!$F$53*IF('IN_COST'!$G$53="FX",'ENG_SCEN'!$N$36,IF('IN_COST'!$G$53="PPI",'ENG_SCEN'!$N$35,IF('IN_COST'!$G$53="ENERGY",'ENG_SCEN'!$N$34,IF('IN_COST'!$G$53="WAGE",'ENG_SCEN'!$N$33,IF('IN_COST'!$G$53="CPI",'ENG_SCEN'!$N$32,1))))),IF('IN_COST'!$E$53="PER_KWH",'ENG_OPS'!$N$63*'IN_COST'!$F$53*IF('IN_COST'!$G$53="FX",'ENG_SCEN'!$N$36,IF('IN_COST'!$G$53="PPI",'ENG_SCEN'!$N$35,IF('IN_COST'!$G$53="ENERGY",'ENG_SCEN'!$N$34,IF('IN_COST'!$G$53="WAGE",'ENG_SCEN'!$N$33,IF('IN_COST'!$G$53="CPI",'ENG_SCEN'!$N$32,1))))),IF('IN_COST'!$E$53="PER_M3",'ENG_OPS'!$N$64*'IN_COST'!$F$53*IF('IN_COST'!$G$53="FX",'ENG_SCEN'!$N$36,IF('IN_COST'!$G$53="PPI",'ENG_SCEN'!$N$35,IF('IN_COST'!$G$53="ENERGY",'ENG_SCEN'!$N$34,IF('IN_COST'!$G$53="WAGE",'ENG_SCEN'!$N$33,IF('IN_COST'!$G$53="CPI",'ENG_SCEN'!$N$32,1))))),IF('IN_COST'!$E$53="ANNUAL",'IN_COST'!$F$53*IF('IN_COST'!$G$53="FX",'ENG_SCEN'!$N$36,IF('IN_COST'!$G$53="PPI",'ENG_SCEN'!$N$35,IF('IN_COST'!$G$53="ENERGY",'ENG_SCEN'!$N$34,IF('IN_COST'!$G$53="WAGE",'ENG_SCEN'!$N$33,IF('IN_COST'!$G$53="CPI",'ENG_SCEN'!$N$32,1))))),IF('IN_COST'!$E$53="PCT_REV",'ENG_OPS'!$N$81*'IN_COST'!$F$53,IF('IN_COST'!$E$53="PCT_ASSET",'ENG_CAPEX'!$N$84*'IN_COST'!$F$53,IF('IN_COST'!$E$53="DEP",'ENG_CAPEX'!$N$81,IF('IN_COST'!$E$53="PAY",INDEX('IN_COST'!$D$15:$D$19,IFERROR(VALUE(MID('IN_COST'!$F$53,FIND(":",'IN_COST'!$F$53)+1,2)),1))*INDEX('IN_COST'!$E$15:$E$19,IFERROR(VALUE(MID('IN_COST'!$F$53,FIND(":",'IN_COST'!$F$53)+1,2)),1))*'IN_COST'!$D$10*'IN_COST'!$D$11*'ENG_SCEN'!$N$33,IF('IN_COST'!$E$53="SRV",SUM(INDEX('ENG_ALLOC'!$D$29:$P$58,(IFERROR(VALUE(MID('IN_COST'!$F$53,FIND(":",'IN_COST'!$F$53)+1,2)),1)-1)*6+1,11):INDEX('ENG_ALLOC'!$D$29:$P$58,IFERROR(VALUE(MID('IN_COST'!$F$53,FIND(":",'IN_COST'!$F$53)+1,2)),1)*6,11)),0)))))))))))*IF('IN_COST'!$E$53="DEP",'ENG_SCEN'!$G$16,IF('IN_COST'!$I$53="V",IF('IN_COST'!$E$53="SCRAP_LME",'ENG_SCEN'!$G$13,'ENG_SCEN'!$G$14),'ENG_SCEN'!$G$15))</f>
        <v/>
      </c>
      <c r="O67" s="33">
        <f>'IN_MACRO'!$O$34*IF('IN_COST'!$E$53="SCRAP_LME",'ENG_OPS'!$O$20*'IN_COST'!$F$53*'ENG_SCEN'!$O$37,IF('IN_COST'!$E$53="PER_TON_BATT",'ENG_OPS'!$O$20*'IN_COST'!$F$53*IF('IN_COST'!$G$53="FX",'ENG_SCEN'!$O$36,IF('IN_COST'!$G$53="PPI",'ENG_SCEN'!$O$35,IF('IN_COST'!$G$53="ENERGY",'ENG_SCEN'!$O$34,IF('IN_COST'!$G$53="WAGE",'ENG_SCEN'!$O$33,IF('IN_COST'!$G$53="CPI",'ENG_SCEN'!$O$32,1))))),IF('IN_COST'!$E$53="PER_TON_PROD",'ENG_OPS'!$O$43*'IN_COST'!$F$53*IF('IN_COST'!$G$53="FX",'ENG_SCEN'!$O$36,IF('IN_COST'!$G$53="PPI",'ENG_SCEN'!$O$35,IF('IN_COST'!$G$53="ENERGY",'ENG_SCEN'!$O$34,IF('IN_COST'!$G$53="WAGE",'ENG_SCEN'!$O$33,IF('IN_COST'!$G$53="CPI",'ENG_SCEN'!$O$32,1))))),IF('IN_COST'!$E$53="PER_KWH",'ENG_OPS'!$O$63*'IN_COST'!$F$53*IF('IN_COST'!$G$53="FX",'ENG_SCEN'!$O$36,IF('IN_COST'!$G$53="PPI",'ENG_SCEN'!$O$35,IF('IN_COST'!$G$53="ENERGY",'ENG_SCEN'!$O$34,IF('IN_COST'!$G$53="WAGE",'ENG_SCEN'!$O$33,IF('IN_COST'!$G$53="CPI",'ENG_SCEN'!$O$32,1))))),IF('IN_COST'!$E$53="PER_M3",'ENG_OPS'!$O$64*'IN_COST'!$F$53*IF('IN_COST'!$G$53="FX",'ENG_SCEN'!$O$36,IF('IN_COST'!$G$53="PPI",'ENG_SCEN'!$O$35,IF('IN_COST'!$G$53="ENERGY",'ENG_SCEN'!$O$34,IF('IN_COST'!$G$53="WAGE",'ENG_SCEN'!$O$33,IF('IN_COST'!$G$53="CPI",'ENG_SCEN'!$O$32,1))))),IF('IN_COST'!$E$53="ANNUAL",'IN_COST'!$F$53*IF('IN_COST'!$G$53="FX",'ENG_SCEN'!$O$36,IF('IN_COST'!$G$53="PPI",'ENG_SCEN'!$O$35,IF('IN_COST'!$G$53="ENERGY",'ENG_SCEN'!$O$34,IF('IN_COST'!$G$53="WAGE",'ENG_SCEN'!$O$33,IF('IN_COST'!$G$53="CPI",'ENG_SCEN'!$O$32,1))))),IF('IN_COST'!$E$53="PCT_REV",'ENG_OPS'!$O$81*'IN_COST'!$F$53,IF('IN_COST'!$E$53="PCT_ASSET",'ENG_CAPEX'!$O$84*'IN_COST'!$F$53,IF('IN_COST'!$E$53="DEP",'ENG_CAPEX'!$O$81,IF('IN_COST'!$E$53="PAY",INDEX('IN_COST'!$D$15:$D$19,IFERROR(VALUE(MID('IN_COST'!$F$53,FIND(":",'IN_COST'!$F$53)+1,2)),1))*INDEX('IN_COST'!$E$15:$E$19,IFERROR(VALUE(MID('IN_COST'!$F$53,FIND(":",'IN_COST'!$F$53)+1,2)),1))*'IN_COST'!$D$10*'IN_COST'!$D$11*'ENG_SCEN'!$O$33,IF('IN_COST'!$E$53="SRV",SUM(INDEX('ENG_ALLOC'!$D$29:$P$58,(IFERROR(VALUE(MID('IN_COST'!$F$53,FIND(":",'IN_COST'!$F$53)+1,2)),1)-1)*6+1,12):INDEX('ENG_ALLOC'!$D$29:$P$58,IFERROR(VALUE(MID('IN_COST'!$F$53,FIND(":",'IN_COST'!$F$53)+1,2)),1)*6,12)),0)))))))))))*IF('IN_COST'!$E$53="DEP",'ENG_SCEN'!$G$16,IF('IN_COST'!$I$53="V",IF('IN_COST'!$E$53="SCRAP_LME",'ENG_SCEN'!$G$13,'ENG_SCEN'!$G$14),'ENG_SCEN'!$G$15))</f>
        <v/>
      </c>
      <c r="P67" s="33">
        <f>'IN_MACRO'!$P$34*IF('IN_COST'!$E$53="SCRAP_LME",'ENG_OPS'!$P$20*'IN_COST'!$F$53*'ENG_SCEN'!$P$37,IF('IN_COST'!$E$53="PER_TON_BATT",'ENG_OPS'!$P$20*'IN_COST'!$F$53*IF('IN_COST'!$G$53="FX",'ENG_SCEN'!$P$36,IF('IN_COST'!$G$53="PPI",'ENG_SCEN'!$P$35,IF('IN_COST'!$G$53="ENERGY",'ENG_SCEN'!$P$34,IF('IN_COST'!$G$53="WAGE",'ENG_SCEN'!$P$33,IF('IN_COST'!$G$53="CPI",'ENG_SCEN'!$P$32,1))))),IF('IN_COST'!$E$53="PER_TON_PROD",'ENG_OPS'!$P$43*'IN_COST'!$F$53*IF('IN_COST'!$G$53="FX",'ENG_SCEN'!$P$36,IF('IN_COST'!$G$53="PPI",'ENG_SCEN'!$P$35,IF('IN_COST'!$G$53="ENERGY",'ENG_SCEN'!$P$34,IF('IN_COST'!$G$53="WAGE",'ENG_SCEN'!$P$33,IF('IN_COST'!$G$53="CPI",'ENG_SCEN'!$P$32,1))))),IF('IN_COST'!$E$53="PER_KWH",'ENG_OPS'!$P$63*'IN_COST'!$F$53*IF('IN_COST'!$G$53="FX",'ENG_SCEN'!$P$36,IF('IN_COST'!$G$53="PPI",'ENG_SCEN'!$P$35,IF('IN_COST'!$G$53="ENERGY",'ENG_SCEN'!$P$34,IF('IN_COST'!$G$53="WAGE",'ENG_SCEN'!$P$33,IF('IN_COST'!$G$53="CPI",'ENG_SCEN'!$P$32,1))))),IF('IN_COST'!$E$53="PER_M3",'ENG_OPS'!$P$64*'IN_COST'!$F$53*IF('IN_COST'!$G$53="FX",'ENG_SCEN'!$P$36,IF('IN_COST'!$G$53="PPI",'ENG_SCEN'!$P$35,IF('IN_COST'!$G$53="ENERGY",'ENG_SCEN'!$P$34,IF('IN_COST'!$G$53="WAGE",'ENG_SCEN'!$P$33,IF('IN_COST'!$G$53="CPI",'ENG_SCEN'!$P$32,1))))),IF('IN_COST'!$E$53="ANNUAL",'IN_COST'!$F$53*IF('IN_COST'!$G$53="FX",'ENG_SCEN'!$P$36,IF('IN_COST'!$G$53="PPI",'ENG_SCEN'!$P$35,IF('IN_COST'!$G$53="ENERGY",'ENG_SCEN'!$P$34,IF('IN_COST'!$G$53="WAGE",'ENG_SCEN'!$P$33,IF('IN_COST'!$G$53="CPI",'ENG_SCEN'!$P$32,1))))),IF('IN_COST'!$E$53="PCT_REV",'ENG_OPS'!$P$81*'IN_COST'!$F$53,IF('IN_COST'!$E$53="PCT_ASSET",'ENG_CAPEX'!$P$84*'IN_COST'!$F$53,IF('IN_COST'!$E$53="DEP",'ENG_CAPEX'!$P$81,IF('IN_COST'!$E$53="PAY",INDEX('IN_COST'!$D$15:$D$19,IFERROR(VALUE(MID('IN_COST'!$F$53,FIND(":",'IN_COST'!$F$53)+1,2)),1))*INDEX('IN_COST'!$E$15:$E$19,IFERROR(VALUE(MID('IN_COST'!$F$53,FIND(":",'IN_COST'!$F$53)+1,2)),1))*'IN_COST'!$D$10*'IN_COST'!$D$11*'ENG_SCEN'!$P$33,IF('IN_COST'!$E$53="SRV",SUM(INDEX('ENG_ALLOC'!$D$29:$P$58,(IFERROR(VALUE(MID('IN_COST'!$F$53,FIND(":",'IN_COST'!$F$53)+1,2)),1)-1)*6+1,13):INDEX('ENG_ALLOC'!$D$29:$P$58,IFERROR(VALUE(MID('IN_COST'!$F$53,FIND(":",'IN_COST'!$F$53)+1,2)),1)*6,13)),0)))))))))))*IF('IN_COST'!$E$53="DEP",'ENG_SCEN'!$G$16,IF('IN_COST'!$I$53="V",IF('IN_COST'!$E$53="SCRAP_LME",'ENG_SCEN'!$G$13,'ENG_SCEN'!$G$14),'ENG_SCEN'!$G$15))</f>
        <v/>
      </c>
    </row>
    <row r="68">
      <c r="A68" s="15" t="inlineStr">
        <is>
          <t>FPC-07 | حقوق فروش و بازاریابی</t>
        </is>
      </c>
      <c r="B68" s="16" t="inlineStr">
        <is>
          <t>EC.tot.21</t>
        </is>
      </c>
      <c r="C68" s="17" t="inlineStr">
        <is>
          <t>میلیون ریال</t>
        </is>
      </c>
      <c r="D68" s="33">
        <f>'IN_MACRO'!$D$34*IF('IN_COST'!$E$54="SCRAP_LME",'ENG_OPS'!$D$20*'IN_COST'!$F$54*'ENG_SCEN'!$D$37,IF('IN_COST'!$E$54="PER_TON_BATT",'ENG_OPS'!$D$20*'IN_COST'!$F$54*IF('IN_COST'!$G$54="FX",'ENG_SCEN'!$D$36,IF('IN_COST'!$G$54="PPI",'ENG_SCEN'!$D$35,IF('IN_COST'!$G$54="ENERGY",'ENG_SCEN'!$D$34,IF('IN_COST'!$G$54="WAGE",'ENG_SCEN'!$D$33,IF('IN_COST'!$G$54="CPI",'ENG_SCEN'!$D$32,1))))),IF('IN_COST'!$E$54="PER_TON_PROD",'ENG_OPS'!$D$43*'IN_COST'!$F$54*IF('IN_COST'!$G$54="FX",'ENG_SCEN'!$D$36,IF('IN_COST'!$G$54="PPI",'ENG_SCEN'!$D$35,IF('IN_COST'!$G$54="ENERGY",'ENG_SCEN'!$D$34,IF('IN_COST'!$G$54="WAGE",'ENG_SCEN'!$D$33,IF('IN_COST'!$G$54="CPI",'ENG_SCEN'!$D$32,1))))),IF('IN_COST'!$E$54="PER_KWH",'ENG_OPS'!$D$63*'IN_COST'!$F$54*IF('IN_COST'!$G$54="FX",'ENG_SCEN'!$D$36,IF('IN_COST'!$G$54="PPI",'ENG_SCEN'!$D$35,IF('IN_COST'!$G$54="ENERGY",'ENG_SCEN'!$D$34,IF('IN_COST'!$G$54="WAGE",'ENG_SCEN'!$D$33,IF('IN_COST'!$G$54="CPI",'ENG_SCEN'!$D$32,1))))),IF('IN_COST'!$E$54="PER_M3",'ENG_OPS'!$D$64*'IN_COST'!$F$54*IF('IN_COST'!$G$54="FX",'ENG_SCEN'!$D$36,IF('IN_COST'!$G$54="PPI",'ENG_SCEN'!$D$35,IF('IN_COST'!$G$54="ENERGY",'ENG_SCEN'!$D$34,IF('IN_COST'!$G$54="WAGE",'ENG_SCEN'!$D$33,IF('IN_COST'!$G$54="CPI",'ENG_SCEN'!$D$32,1))))),IF('IN_COST'!$E$54="ANNUAL",'IN_COST'!$F$54*IF('IN_COST'!$G$54="FX",'ENG_SCEN'!$D$36,IF('IN_COST'!$G$54="PPI",'ENG_SCEN'!$D$35,IF('IN_COST'!$G$54="ENERGY",'ENG_SCEN'!$D$34,IF('IN_COST'!$G$54="WAGE",'ENG_SCEN'!$D$33,IF('IN_COST'!$G$54="CPI",'ENG_SCEN'!$D$32,1))))),IF('IN_COST'!$E$54="PCT_REV",'ENG_OPS'!$D$81*'IN_COST'!$F$54,IF('IN_COST'!$E$54="PCT_ASSET",'ENG_CAPEX'!$D$84*'IN_COST'!$F$54,IF('IN_COST'!$E$54="DEP",'ENG_CAPEX'!$D$81,IF('IN_COST'!$E$54="PAY",INDEX('IN_COST'!$D$15:$D$19,IFERROR(VALUE(MID('IN_COST'!$F$54,FIND(":",'IN_COST'!$F$54)+1,2)),1))*INDEX('IN_COST'!$E$15:$E$19,IFERROR(VALUE(MID('IN_COST'!$F$54,FIND(":",'IN_COST'!$F$54)+1,2)),1))*'IN_COST'!$D$10*'IN_COST'!$D$11*'ENG_SCEN'!$D$33,IF('IN_COST'!$E$54="SRV",SUM(INDEX('ENG_ALLOC'!$D$29:$P$58,(IFERROR(VALUE(MID('IN_COST'!$F$54,FIND(":",'IN_COST'!$F$54)+1,2)),1)-1)*6+1,1):INDEX('ENG_ALLOC'!$D$29:$P$58,IFERROR(VALUE(MID('IN_COST'!$F$54,FIND(":",'IN_COST'!$F$54)+1,2)),1)*6,1)),0)))))))))))*IF('IN_COST'!$E$54="DEP",'ENG_SCEN'!$G$16,IF('IN_COST'!$I$54="V",IF('IN_COST'!$E$54="SCRAP_LME",'ENG_SCEN'!$G$13,'ENG_SCEN'!$G$14),'ENG_SCEN'!$G$15))</f>
        <v/>
      </c>
      <c r="E68" s="33">
        <f>'IN_MACRO'!$E$34*IF('IN_COST'!$E$54="SCRAP_LME",'ENG_OPS'!$E$20*'IN_COST'!$F$54*'ENG_SCEN'!$E$37,IF('IN_COST'!$E$54="PER_TON_BATT",'ENG_OPS'!$E$20*'IN_COST'!$F$54*IF('IN_COST'!$G$54="FX",'ENG_SCEN'!$E$36,IF('IN_COST'!$G$54="PPI",'ENG_SCEN'!$E$35,IF('IN_COST'!$G$54="ENERGY",'ENG_SCEN'!$E$34,IF('IN_COST'!$G$54="WAGE",'ENG_SCEN'!$E$33,IF('IN_COST'!$G$54="CPI",'ENG_SCEN'!$E$32,1))))),IF('IN_COST'!$E$54="PER_TON_PROD",'ENG_OPS'!$E$43*'IN_COST'!$F$54*IF('IN_COST'!$G$54="FX",'ENG_SCEN'!$E$36,IF('IN_COST'!$G$54="PPI",'ENG_SCEN'!$E$35,IF('IN_COST'!$G$54="ENERGY",'ENG_SCEN'!$E$34,IF('IN_COST'!$G$54="WAGE",'ENG_SCEN'!$E$33,IF('IN_COST'!$G$54="CPI",'ENG_SCEN'!$E$32,1))))),IF('IN_COST'!$E$54="PER_KWH",'ENG_OPS'!$E$63*'IN_COST'!$F$54*IF('IN_COST'!$G$54="FX",'ENG_SCEN'!$E$36,IF('IN_COST'!$G$54="PPI",'ENG_SCEN'!$E$35,IF('IN_COST'!$G$54="ENERGY",'ENG_SCEN'!$E$34,IF('IN_COST'!$G$54="WAGE",'ENG_SCEN'!$E$33,IF('IN_COST'!$G$54="CPI",'ENG_SCEN'!$E$32,1))))),IF('IN_COST'!$E$54="PER_M3",'ENG_OPS'!$E$64*'IN_COST'!$F$54*IF('IN_COST'!$G$54="FX",'ENG_SCEN'!$E$36,IF('IN_COST'!$G$54="PPI",'ENG_SCEN'!$E$35,IF('IN_COST'!$G$54="ENERGY",'ENG_SCEN'!$E$34,IF('IN_COST'!$G$54="WAGE",'ENG_SCEN'!$E$33,IF('IN_COST'!$G$54="CPI",'ENG_SCEN'!$E$32,1))))),IF('IN_COST'!$E$54="ANNUAL",'IN_COST'!$F$54*IF('IN_COST'!$G$54="FX",'ENG_SCEN'!$E$36,IF('IN_COST'!$G$54="PPI",'ENG_SCEN'!$E$35,IF('IN_COST'!$G$54="ENERGY",'ENG_SCEN'!$E$34,IF('IN_COST'!$G$54="WAGE",'ENG_SCEN'!$E$33,IF('IN_COST'!$G$54="CPI",'ENG_SCEN'!$E$32,1))))),IF('IN_COST'!$E$54="PCT_REV",'ENG_OPS'!$E$81*'IN_COST'!$F$54,IF('IN_COST'!$E$54="PCT_ASSET",'ENG_CAPEX'!$E$84*'IN_COST'!$F$54,IF('IN_COST'!$E$54="DEP",'ENG_CAPEX'!$E$81,IF('IN_COST'!$E$54="PAY",INDEX('IN_COST'!$D$15:$D$19,IFERROR(VALUE(MID('IN_COST'!$F$54,FIND(":",'IN_COST'!$F$54)+1,2)),1))*INDEX('IN_COST'!$E$15:$E$19,IFERROR(VALUE(MID('IN_COST'!$F$54,FIND(":",'IN_COST'!$F$54)+1,2)),1))*'IN_COST'!$D$10*'IN_COST'!$D$11*'ENG_SCEN'!$E$33,IF('IN_COST'!$E$54="SRV",SUM(INDEX('ENG_ALLOC'!$D$29:$P$58,(IFERROR(VALUE(MID('IN_COST'!$F$54,FIND(":",'IN_COST'!$F$54)+1,2)),1)-1)*6+1,2):INDEX('ENG_ALLOC'!$D$29:$P$58,IFERROR(VALUE(MID('IN_COST'!$F$54,FIND(":",'IN_COST'!$F$54)+1,2)),1)*6,2)),0)))))))))))*IF('IN_COST'!$E$54="DEP",'ENG_SCEN'!$G$16,IF('IN_COST'!$I$54="V",IF('IN_COST'!$E$54="SCRAP_LME",'ENG_SCEN'!$G$13,'ENG_SCEN'!$G$14),'ENG_SCEN'!$G$15))</f>
        <v/>
      </c>
      <c r="F68" s="33">
        <f>'IN_MACRO'!$F$34*IF('IN_COST'!$E$54="SCRAP_LME",'ENG_OPS'!$F$20*'IN_COST'!$F$54*'ENG_SCEN'!$F$37,IF('IN_COST'!$E$54="PER_TON_BATT",'ENG_OPS'!$F$20*'IN_COST'!$F$54*IF('IN_COST'!$G$54="FX",'ENG_SCEN'!$F$36,IF('IN_COST'!$G$54="PPI",'ENG_SCEN'!$F$35,IF('IN_COST'!$G$54="ENERGY",'ENG_SCEN'!$F$34,IF('IN_COST'!$G$54="WAGE",'ENG_SCEN'!$F$33,IF('IN_COST'!$G$54="CPI",'ENG_SCEN'!$F$32,1))))),IF('IN_COST'!$E$54="PER_TON_PROD",'ENG_OPS'!$F$43*'IN_COST'!$F$54*IF('IN_COST'!$G$54="FX",'ENG_SCEN'!$F$36,IF('IN_COST'!$G$54="PPI",'ENG_SCEN'!$F$35,IF('IN_COST'!$G$54="ENERGY",'ENG_SCEN'!$F$34,IF('IN_COST'!$G$54="WAGE",'ENG_SCEN'!$F$33,IF('IN_COST'!$G$54="CPI",'ENG_SCEN'!$F$32,1))))),IF('IN_COST'!$E$54="PER_KWH",'ENG_OPS'!$F$63*'IN_COST'!$F$54*IF('IN_COST'!$G$54="FX",'ENG_SCEN'!$F$36,IF('IN_COST'!$G$54="PPI",'ENG_SCEN'!$F$35,IF('IN_COST'!$G$54="ENERGY",'ENG_SCEN'!$F$34,IF('IN_COST'!$G$54="WAGE",'ENG_SCEN'!$F$33,IF('IN_COST'!$G$54="CPI",'ENG_SCEN'!$F$32,1))))),IF('IN_COST'!$E$54="PER_M3",'ENG_OPS'!$F$64*'IN_COST'!$F$54*IF('IN_COST'!$G$54="FX",'ENG_SCEN'!$F$36,IF('IN_COST'!$G$54="PPI",'ENG_SCEN'!$F$35,IF('IN_COST'!$G$54="ENERGY",'ENG_SCEN'!$F$34,IF('IN_COST'!$G$54="WAGE",'ENG_SCEN'!$F$33,IF('IN_COST'!$G$54="CPI",'ENG_SCEN'!$F$32,1))))),IF('IN_COST'!$E$54="ANNUAL",'IN_COST'!$F$54*IF('IN_COST'!$G$54="FX",'ENG_SCEN'!$F$36,IF('IN_COST'!$G$54="PPI",'ENG_SCEN'!$F$35,IF('IN_COST'!$G$54="ENERGY",'ENG_SCEN'!$F$34,IF('IN_COST'!$G$54="WAGE",'ENG_SCEN'!$F$33,IF('IN_COST'!$G$54="CPI",'ENG_SCEN'!$F$32,1))))),IF('IN_COST'!$E$54="PCT_REV",'ENG_OPS'!$F$81*'IN_COST'!$F$54,IF('IN_COST'!$E$54="PCT_ASSET",'ENG_CAPEX'!$F$84*'IN_COST'!$F$54,IF('IN_COST'!$E$54="DEP",'ENG_CAPEX'!$F$81,IF('IN_COST'!$E$54="PAY",INDEX('IN_COST'!$D$15:$D$19,IFERROR(VALUE(MID('IN_COST'!$F$54,FIND(":",'IN_COST'!$F$54)+1,2)),1))*INDEX('IN_COST'!$E$15:$E$19,IFERROR(VALUE(MID('IN_COST'!$F$54,FIND(":",'IN_COST'!$F$54)+1,2)),1))*'IN_COST'!$D$10*'IN_COST'!$D$11*'ENG_SCEN'!$F$33,IF('IN_COST'!$E$54="SRV",SUM(INDEX('ENG_ALLOC'!$D$29:$P$58,(IFERROR(VALUE(MID('IN_COST'!$F$54,FIND(":",'IN_COST'!$F$54)+1,2)),1)-1)*6+1,3):INDEX('ENG_ALLOC'!$D$29:$P$58,IFERROR(VALUE(MID('IN_COST'!$F$54,FIND(":",'IN_COST'!$F$54)+1,2)),1)*6,3)),0)))))))))))*IF('IN_COST'!$E$54="DEP",'ENG_SCEN'!$G$16,IF('IN_COST'!$I$54="V",IF('IN_COST'!$E$54="SCRAP_LME",'ENG_SCEN'!$G$13,'ENG_SCEN'!$G$14),'ENG_SCEN'!$G$15))</f>
        <v/>
      </c>
      <c r="G68" s="33">
        <f>'IN_MACRO'!$G$34*IF('IN_COST'!$E$54="SCRAP_LME",'ENG_OPS'!$G$20*'IN_COST'!$F$54*'ENG_SCEN'!$G$37,IF('IN_COST'!$E$54="PER_TON_BATT",'ENG_OPS'!$G$20*'IN_COST'!$F$54*IF('IN_COST'!$G$54="FX",'ENG_SCEN'!$G$36,IF('IN_COST'!$G$54="PPI",'ENG_SCEN'!$G$35,IF('IN_COST'!$G$54="ENERGY",'ENG_SCEN'!$G$34,IF('IN_COST'!$G$54="WAGE",'ENG_SCEN'!$G$33,IF('IN_COST'!$G$54="CPI",'ENG_SCEN'!$G$32,1))))),IF('IN_COST'!$E$54="PER_TON_PROD",'ENG_OPS'!$G$43*'IN_COST'!$F$54*IF('IN_COST'!$G$54="FX",'ENG_SCEN'!$G$36,IF('IN_COST'!$G$54="PPI",'ENG_SCEN'!$G$35,IF('IN_COST'!$G$54="ENERGY",'ENG_SCEN'!$G$34,IF('IN_COST'!$G$54="WAGE",'ENG_SCEN'!$G$33,IF('IN_COST'!$G$54="CPI",'ENG_SCEN'!$G$32,1))))),IF('IN_COST'!$E$54="PER_KWH",'ENG_OPS'!$G$63*'IN_COST'!$F$54*IF('IN_COST'!$G$54="FX",'ENG_SCEN'!$G$36,IF('IN_COST'!$G$54="PPI",'ENG_SCEN'!$G$35,IF('IN_COST'!$G$54="ENERGY",'ENG_SCEN'!$G$34,IF('IN_COST'!$G$54="WAGE",'ENG_SCEN'!$G$33,IF('IN_COST'!$G$54="CPI",'ENG_SCEN'!$G$32,1))))),IF('IN_COST'!$E$54="PER_M3",'ENG_OPS'!$G$64*'IN_COST'!$F$54*IF('IN_COST'!$G$54="FX",'ENG_SCEN'!$G$36,IF('IN_COST'!$G$54="PPI",'ENG_SCEN'!$G$35,IF('IN_COST'!$G$54="ENERGY",'ENG_SCEN'!$G$34,IF('IN_COST'!$G$54="WAGE",'ENG_SCEN'!$G$33,IF('IN_COST'!$G$54="CPI",'ENG_SCEN'!$G$32,1))))),IF('IN_COST'!$E$54="ANNUAL",'IN_COST'!$F$54*IF('IN_COST'!$G$54="FX",'ENG_SCEN'!$G$36,IF('IN_COST'!$G$54="PPI",'ENG_SCEN'!$G$35,IF('IN_COST'!$G$54="ENERGY",'ENG_SCEN'!$G$34,IF('IN_COST'!$G$54="WAGE",'ENG_SCEN'!$G$33,IF('IN_COST'!$G$54="CPI",'ENG_SCEN'!$G$32,1))))),IF('IN_COST'!$E$54="PCT_REV",'ENG_OPS'!$G$81*'IN_COST'!$F$54,IF('IN_COST'!$E$54="PCT_ASSET",'ENG_CAPEX'!$G$84*'IN_COST'!$F$54,IF('IN_COST'!$E$54="DEP",'ENG_CAPEX'!$G$81,IF('IN_COST'!$E$54="PAY",INDEX('IN_COST'!$D$15:$D$19,IFERROR(VALUE(MID('IN_COST'!$F$54,FIND(":",'IN_COST'!$F$54)+1,2)),1))*INDEX('IN_COST'!$E$15:$E$19,IFERROR(VALUE(MID('IN_COST'!$F$54,FIND(":",'IN_COST'!$F$54)+1,2)),1))*'IN_COST'!$D$10*'IN_COST'!$D$11*'ENG_SCEN'!$G$33,IF('IN_COST'!$E$54="SRV",SUM(INDEX('ENG_ALLOC'!$D$29:$P$58,(IFERROR(VALUE(MID('IN_COST'!$F$54,FIND(":",'IN_COST'!$F$54)+1,2)),1)-1)*6+1,4):INDEX('ENG_ALLOC'!$D$29:$P$58,IFERROR(VALUE(MID('IN_COST'!$F$54,FIND(":",'IN_COST'!$F$54)+1,2)),1)*6,4)),0)))))))))))*IF('IN_COST'!$E$54="DEP",'ENG_SCEN'!$G$16,IF('IN_COST'!$I$54="V",IF('IN_COST'!$E$54="SCRAP_LME",'ENG_SCEN'!$G$13,'ENG_SCEN'!$G$14),'ENG_SCEN'!$G$15))</f>
        <v/>
      </c>
      <c r="H68" s="33">
        <f>'IN_MACRO'!$H$34*IF('IN_COST'!$E$54="SCRAP_LME",'ENG_OPS'!$H$20*'IN_COST'!$F$54*'ENG_SCEN'!$H$37,IF('IN_COST'!$E$54="PER_TON_BATT",'ENG_OPS'!$H$20*'IN_COST'!$F$54*IF('IN_COST'!$G$54="FX",'ENG_SCEN'!$H$36,IF('IN_COST'!$G$54="PPI",'ENG_SCEN'!$H$35,IF('IN_COST'!$G$54="ENERGY",'ENG_SCEN'!$H$34,IF('IN_COST'!$G$54="WAGE",'ENG_SCEN'!$H$33,IF('IN_COST'!$G$54="CPI",'ENG_SCEN'!$H$32,1))))),IF('IN_COST'!$E$54="PER_TON_PROD",'ENG_OPS'!$H$43*'IN_COST'!$F$54*IF('IN_COST'!$G$54="FX",'ENG_SCEN'!$H$36,IF('IN_COST'!$G$54="PPI",'ENG_SCEN'!$H$35,IF('IN_COST'!$G$54="ENERGY",'ENG_SCEN'!$H$34,IF('IN_COST'!$G$54="WAGE",'ENG_SCEN'!$H$33,IF('IN_COST'!$G$54="CPI",'ENG_SCEN'!$H$32,1))))),IF('IN_COST'!$E$54="PER_KWH",'ENG_OPS'!$H$63*'IN_COST'!$F$54*IF('IN_COST'!$G$54="FX",'ENG_SCEN'!$H$36,IF('IN_COST'!$G$54="PPI",'ENG_SCEN'!$H$35,IF('IN_COST'!$G$54="ENERGY",'ENG_SCEN'!$H$34,IF('IN_COST'!$G$54="WAGE",'ENG_SCEN'!$H$33,IF('IN_COST'!$G$54="CPI",'ENG_SCEN'!$H$32,1))))),IF('IN_COST'!$E$54="PER_M3",'ENG_OPS'!$H$64*'IN_COST'!$F$54*IF('IN_COST'!$G$54="FX",'ENG_SCEN'!$H$36,IF('IN_COST'!$G$54="PPI",'ENG_SCEN'!$H$35,IF('IN_COST'!$G$54="ENERGY",'ENG_SCEN'!$H$34,IF('IN_COST'!$G$54="WAGE",'ENG_SCEN'!$H$33,IF('IN_COST'!$G$54="CPI",'ENG_SCEN'!$H$32,1))))),IF('IN_COST'!$E$54="ANNUAL",'IN_COST'!$F$54*IF('IN_COST'!$G$54="FX",'ENG_SCEN'!$H$36,IF('IN_COST'!$G$54="PPI",'ENG_SCEN'!$H$35,IF('IN_COST'!$G$54="ENERGY",'ENG_SCEN'!$H$34,IF('IN_COST'!$G$54="WAGE",'ENG_SCEN'!$H$33,IF('IN_COST'!$G$54="CPI",'ENG_SCEN'!$H$32,1))))),IF('IN_COST'!$E$54="PCT_REV",'ENG_OPS'!$H$81*'IN_COST'!$F$54,IF('IN_COST'!$E$54="PCT_ASSET",'ENG_CAPEX'!$H$84*'IN_COST'!$F$54,IF('IN_COST'!$E$54="DEP",'ENG_CAPEX'!$H$81,IF('IN_COST'!$E$54="PAY",INDEX('IN_COST'!$D$15:$D$19,IFERROR(VALUE(MID('IN_COST'!$F$54,FIND(":",'IN_COST'!$F$54)+1,2)),1))*INDEX('IN_COST'!$E$15:$E$19,IFERROR(VALUE(MID('IN_COST'!$F$54,FIND(":",'IN_COST'!$F$54)+1,2)),1))*'IN_COST'!$D$10*'IN_COST'!$D$11*'ENG_SCEN'!$H$33,IF('IN_COST'!$E$54="SRV",SUM(INDEX('ENG_ALLOC'!$D$29:$P$58,(IFERROR(VALUE(MID('IN_COST'!$F$54,FIND(":",'IN_COST'!$F$54)+1,2)),1)-1)*6+1,5):INDEX('ENG_ALLOC'!$D$29:$P$58,IFERROR(VALUE(MID('IN_COST'!$F$54,FIND(":",'IN_COST'!$F$54)+1,2)),1)*6,5)),0)))))))))))*IF('IN_COST'!$E$54="DEP",'ENG_SCEN'!$G$16,IF('IN_COST'!$I$54="V",IF('IN_COST'!$E$54="SCRAP_LME",'ENG_SCEN'!$G$13,'ENG_SCEN'!$G$14),'ENG_SCEN'!$G$15))</f>
        <v/>
      </c>
      <c r="I68" s="33">
        <f>'IN_MACRO'!$I$34*IF('IN_COST'!$E$54="SCRAP_LME",'ENG_OPS'!$I$20*'IN_COST'!$F$54*'ENG_SCEN'!$I$37,IF('IN_COST'!$E$54="PER_TON_BATT",'ENG_OPS'!$I$20*'IN_COST'!$F$54*IF('IN_COST'!$G$54="FX",'ENG_SCEN'!$I$36,IF('IN_COST'!$G$54="PPI",'ENG_SCEN'!$I$35,IF('IN_COST'!$G$54="ENERGY",'ENG_SCEN'!$I$34,IF('IN_COST'!$G$54="WAGE",'ENG_SCEN'!$I$33,IF('IN_COST'!$G$54="CPI",'ENG_SCEN'!$I$32,1))))),IF('IN_COST'!$E$54="PER_TON_PROD",'ENG_OPS'!$I$43*'IN_COST'!$F$54*IF('IN_COST'!$G$54="FX",'ENG_SCEN'!$I$36,IF('IN_COST'!$G$54="PPI",'ENG_SCEN'!$I$35,IF('IN_COST'!$G$54="ENERGY",'ENG_SCEN'!$I$34,IF('IN_COST'!$G$54="WAGE",'ENG_SCEN'!$I$33,IF('IN_COST'!$G$54="CPI",'ENG_SCEN'!$I$32,1))))),IF('IN_COST'!$E$54="PER_KWH",'ENG_OPS'!$I$63*'IN_COST'!$F$54*IF('IN_COST'!$G$54="FX",'ENG_SCEN'!$I$36,IF('IN_COST'!$G$54="PPI",'ENG_SCEN'!$I$35,IF('IN_COST'!$G$54="ENERGY",'ENG_SCEN'!$I$34,IF('IN_COST'!$G$54="WAGE",'ENG_SCEN'!$I$33,IF('IN_COST'!$G$54="CPI",'ENG_SCEN'!$I$32,1))))),IF('IN_COST'!$E$54="PER_M3",'ENG_OPS'!$I$64*'IN_COST'!$F$54*IF('IN_COST'!$G$54="FX",'ENG_SCEN'!$I$36,IF('IN_COST'!$G$54="PPI",'ENG_SCEN'!$I$35,IF('IN_COST'!$G$54="ENERGY",'ENG_SCEN'!$I$34,IF('IN_COST'!$G$54="WAGE",'ENG_SCEN'!$I$33,IF('IN_COST'!$G$54="CPI",'ENG_SCEN'!$I$32,1))))),IF('IN_COST'!$E$54="ANNUAL",'IN_COST'!$F$54*IF('IN_COST'!$G$54="FX",'ENG_SCEN'!$I$36,IF('IN_COST'!$G$54="PPI",'ENG_SCEN'!$I$35,IF('IN_COST'!$G$54="ENERGY",'ENG_SCEN'!$I$34,IF('IN_COST'!$G$54="WAGE",'ENG_SCEN'!$I$33,IF('IN_COST'!$G$54="CPI",'ENG_SCEN'!$I$32,1))))),IF('IN_COST'!$E$54="PCT_REV",'ENG_OPS'!$I$81*'IN_COST'!$F$54,IF('IN_COST'!$E$54="PCT_ASSET",'ENG_CAPEX'!$I$84*'IN_COST'!$F$54,IF('IN_COST'!$E$54="DEP",'ENG_CAPEX'!$I$81,IF('IN_COST'!$E$54="PAY",INDEX('IN_COST'!$D$15:$D$19,IFERROR(VALUE(MID('IN_COST'!$F$54,FIND(":",'IN_COST'!$F$54)+1,2)),1))*INDEX('IN_COST'!$E$15:$E$19,IFERROR(VALUE(MID('IN_COST'!$F$54,FIND(":",'IN_COST'!$F$54)+1,2)),1))*'IN_COST'!$D$10*'IN_COST'!$D$11*'ENG_SCEN'!$I$33,IF('IN_COST'!$E$54="SRV",SUM(INDEX('ENG_ALLOC'!$D$29:$P$58,(IFERROR(VALUE(MID('IN_COST'!$F$54,FIND(":",'IN_COST'!$F$54)+1,2)),1)-1)*6+1,6):INDEX('ENG_ALLOC'!$D$29:$P$58,IFERROR(VALUE(MID('IN_COST'!$F$54,FIND(":",'IN_COST'!$F$54)+1,2)),1)*6,6)),0)))))))))))*IF('IN_COST'!$E$54="DEP",'ENG_SCEN'!$G$16,IF('IN_COST'!$I$54="V",IF('IN_COST'!$E$54="SCRAP_LME",'ENG_SCEN'!$G$13,'ENG_SCEN'!$G$14),'ENG_SCEN'!$G$15))</f>
        <v/>
      </c>
      <c r="J68" s="33">
        <f>'IN_MACRO'!$J$34*IF('IN_COST'!$E$54="SCRAP_LME",'ENG_OPS'!$J$20*'IN_COST'!$F$54*'ENG_SCEN'!$J$37,IF('IN_COST'!$E$54="PER_TON_BATT",'ENG_OPS'!$J$20*'IN_COST'!$F$54*IF('IN_COST'!$G$54="FX",'ENG_SCEN'!$J$36,IF('IN_COST'!$G$54="PPI",'ENG_SCEN'!$J$35,IF('IN_COST'!$G$54="ENERGY",'ENG_SCEN'!$J$34,IF('IN_COST'!$G$54="WAGE",'ENG_SCEN'!$J$33,IF('IN_COST'!$G$54="CPI",'ENG_SCEN'!$J$32,1))))),IF('IN_COST'!$E$54="PER_TON_PROD",'ENG_OPS'!$J$43*'IN_COST'!$F$54*IF('IN_COST'!$G$54="FX",'ENG_SCEN'!$J$36,IF('IN_COST'!$G$54="PPI",'ENG_SCEN'!$J$35,IF('IN_COST'!$G$54="ENERGY",'ENG_SCEN'!$J$34,IF('IN_COST'!$G$54="WAGE",'ENG_SCEN'!$J$33,IF('IN_COST'!$G$54="CPI",'ENG_SCEN'!$J$32,1))))),IF('IN_COST'!$E$54="PER_KWH",'ENG_OPS'!$J$63*'IN_COST'!$F$54*IF('IN_COST'!$G$54="FX",'ENG_SCEN'!$J$36,IF('IN_COST'!$G$54="PPI",'ENG_SCEN'!$J$35,IF('IN_COST'!$G$54="ENERGY",'ENG_SCEN'!$J$34,IF('IN_COST'!$G$54="WAGE",'ENG_SCEN'!$J$33,IF('IN_COST'!$G$54="CPI",'ENG_SCEN'!$J$32,1))))),IF('IN_COST'!$E$54="PER_M3",'ENG_OPS'!$J$64*'IN_COST'!$F$54*IF('IN_COST'!$G$54="FX",'ENG_SCEN'!$J$36,IF('IN_COST'!$G$54="PPI",'ENG_SCEN'!$J$35,IF('IN_COST'!$G$54="ENERGY",'ENG_SCEN'!$J$34,IF('IN_COST'!$G$54="WAGE",'ENG_SCEN'!$J$33,IF('IN_COST'!$G$54="CPI",'ENG_SCEN'!$J$32,1))))),IF('IN_COST'!$E$54="ANNUAL",'IN_COST'!$F$54*IF('IN_COST'!$G$54="FX",'ENG_SCEN'!$J$36,IF('IN_COST'!$G$54="PPI",'ENG_SCEN'!$J$35,IF('IN_COST'!$G$54="ENERGY",'ENG_SCEN'!$J$34,IF('IN_COST'!$G$54="WAGE",'ENG_SCEN'!$J$33,IF('IN_COST'!$G$54="CPI",'ENG_SCEN'!$J$32,1))))),IF('IN_COST'!$E$54="PCT_REV",'ENG_OPS'!$J$81*'IN_COST'!$F$54,IF('IN_COST'!$E$54="PCT_ASSET",'ENG_CAPEX'!$J$84*'IN_COST'!$F$54,IF('IN_COST'!$E$54="DEP",'ENG_CAPEX'!$J$81,IF('IN_COST'!$E$54="PAY",INDEX('IN_COST'!$D$15:$D$19,IFERROR(VALUE(MID('IN_COST'!$F$54,FIND(":",'IN_COST'!$F$54)+1,2)),1))*INDEX('IN_COST'!$E$15:$E$19,IFERROR(VALUE(MID('IN_COST'!$F$54,FIND(":",'IN_COST'!$F$54)+1,2)),1))*'IN_COST'!$D$10*'IN_COST'!$D$11*'ENG_SCEN'!$J$33,IF('IN_COST'!$E$54="SRV",SUM(INDEX('ENG_ALLOC'!$D$29:$P$58,(IFERROR(VALUE(MID('IN_COST'!$F$54,FIND(":",'IN_COST'!$F$54)+1,2)),1)-1)*6+1,7):INDEX('ENG_ALLOC'!$D$29:$P$58,IFERROR(VALUE(MID('IN_COST'!$F$54,FIND(":",'IN_COST'!$F$54)+1,2)),1)*6,7)),0)))))))))))*IF('IN_COST'!$E$54="DEP",'ENG_SCEN'!$G$16,IF('IN_COST'!$I$54="V",IF('IN_COST'!$E$54="SCRAP_LME",'ENG_SCEN'!$G$13,'ENG_SCEN'!$G$14),'ENG_SCEN'!$G$15))</f>
        <v/>
      </c>
      <c r="K68" s="33">
        <f>'IN_MACRO'!$K$34*IF('IN_COST'!$E$54="SCRAP_LME",'ENG_OPS'!$K$20*'IN_COST'!$F$54*'ENG_SCEN'!$K$37,IF('IN_COST'!$E$54="PER_TON_BATT",'ENG_OPS'!$K$20*'IN_COST'!$F$54*IF('IN_COST'!$G$54="FX",'ENG_SCEN'!$K$36,IF('IN_COST'!$G$54="PPI",'ENG_SCEN'!$K$35,IF('IN_COST'!$G$54="ENERGY",'ENG_SCEN'!$K$34,IF('IN_COST'!$G$54="WAGE",'ENG_SCEN'!$K$33,IF('IN_COST'!$G$54="CPI",'ENG_SCEN'!$K$32,1))))),IF('IN_COST'!$E$54="PER_TON_PROD",'ENG_OPS'!$K$43*'IN_COST'!$F$54*IF('IN_COST'!$G$54="FX",'ENG_SCEN'!$K$36,IF('IN_COST'!$G$54="PPI",'ENG_SCEN'!$K$35,IF('IN_COST'!$G$54="ENERGY",'ENG_SCEN'!$K$34,IF('IN_COST'!$G$54="WAGE",'ENG_SCEN'!$K$33,IF('IN_COST'!$G$54="CPI",'ENG_SCEN'!$K$32,1))))),IF('IN_COST'!$E$54="PER_KWH",'ENG_OPS'!$K$63*'IN_COST'!$F$54*IF('IN_COST'!$G$54="FX",'ENG_SCEN'!$K$36,IF('IN_COST'!$G$54="PPI",'ENG_SCEN'!$K$35,IF('IN_COST'!$G$54="ENERGY",'ENG_SCEN'!$K$34,IF('IN_COST'!$G$54="WAGE",'ENG_SCEN'!$K$33,IF('IN_COST'!$G$54="CPI",'ENG_SCEN'!$K$32,1))))),IF('IN_COST'!$E$54="PER_M3",'ENG_OPS'!$K$64*'IN_COST'!$F$54*IF('IN_COST'!$G$54="FX",'ENG_SCEN'!$K$36,IF('IN_COST'!$G$54="PPI",'ENG_SCEN'!$K$35,IF('IN_COST'!$G$54="ENERGY",'ENG_SCEN'!$K$34,IF('IN_COST'!$G$54="WAGE",'ENG_SCEN'!$K$33,IF('IN_COST'!$G$54="CPI",'ENG_SCEN'!$K$32,1))))),IF('IN_COST'!$E$54="ANNUAL",'IN_COST'!$F$54*IF('IN_COST'!$G$54="FX",'ENG_SCEN'!$K$36,IF('IN_COST'!$G$54="PPI",'ENG_SCEN'!$K$35,IF('IN_COST'!$G$54="ENERGY",'ENG_SCEN'!$K$34,IF('IN_COST'!$G$54="WAGE",'ENG_SCEN'!$K$33,IF('IN_COST'!$G$54="CPI",'ENG_SCEN'!$K$32,1))))),IF('IN_COST'!$E$54="PCT_REV",'ENG_OPS'!$K$81*'IN_COST'!$F$54,IF('IN_COST'!$E$54="PCT_ASSET",'ENG_CAPEX'!$K$84*'IN_COST'!$F$54,IF('IN_COST'!$E$54="DEP",'ENG_CAPEX'!$K$81,IF('IN_COST'!$E$54="PAY",INDEX('IN_COST'!$D$15:$D$19,IFERROR(VALUE(MID('IN_COST'!$F$54,FIND(":",'IN_COST'!$F$54)+1,2)),1))*INDEX('IN_COST'!$E$15:$E$19,IFERROR(VALUE(MID('IN_COST'!$F$54,FIND(":",'IN_COST'!$F$54)+1,2)),1))*'IN_COST'!$D$10*'IN_COST'!$D$11*'ENG_SCEN'!$K$33,IF('IN_COST'!$E$54="SRV",SUM(INDEX('ENG_ALLOC'!$D$29:$P$58,(IFERROR(VALUE(MID('IN_COST'!$F$54,FIND(":",'IN_COST'!$F$54)+1,2)),1)-1)*6+1,8):INDEX('ENG_ALLOC'!$D$29:$P$58,IFERROR(VALUE(MID('IN_COST'!$F$54,FIND(":",'IN_COST'!$F$54)+1,2)),1)*6,8)),0)))))))))))*IF('IN_COST'!$E$54="DEP",'ENG_SCEN'!$G$16,IF('IN_COST'!$I$54="V",IF('IN_COST'!$E$54="SCRAP_LME",'ENG_SCEN'!$G$13,'ENG_SCEN'!$G$14),'ENG_SCEN'!$G$15))</f>
        <v/>
      </c>
      <c r="L68" s="33">
        <f>'IN_MACRO'!$L$34*IF('IN_COST'!$E$54="SCRAP_LME",'ENG_OPS'!$L$20*'IN_COST'!$F$54*'ENG_SCEN'!$L$37,IF('IN_COST'!$E$54="PER_TON_BATT",'ENG_OPS'!$L$20*'IN_COST'!$F$54*IF('IN_COST'!$G$54="FX",'ENG_SCEN'!$L$36,IF('IN_COST'!$G$54="PPI",'ENG_SCEN'!$L$35,IF('IN_COST'!$G$54="ENERGY",'ENG_SCEN'!$L$34,IF('IN_COST'!$G$54="WAGE",'ENG_SCEN'!$L$33,IF('IN_COST'!$G$54="CPI",'ENG_SCEN'!$L$32,1))))),IF('IN_COST'!$E$54="PER_TON_PROD",'ENG_OPS'!$L$43*'IN_COST'!$F$54*IF('IN_COST'!$G$54="FX",'ENG_SCEN'!$L$36,IF('IN_COST'!$G$54="PPI",'ENG_SCEN'!$L$35,IF('IN_COST'!$G$54="ENERGY",'ENG_SCEN'!$L$34,IF('IN_COST'!$G$54="WAGE",'ENG_SCEN'!$L$33,IF('IN_COST'!$G$54="CPI",'ENG_SCEN'!$L$32,1))))),IF('IN_COST'!$E$54="PER_KWH",'ENG_OPS'!$L$63*'IN_COST'!$F$54*IF('IN_COST'!$G$54="FX",'ENG_SCEN'!$L$36,IF('IN_COST'!$G$54="PPI",'ENG_SCEN'!$L$35,IF('IN_COST'!$G$54="ENERGY",'ENG_SCEN'!$L$34,IF('IN_COST'!$G$54="WAGE",'ENG_SCEN'!$L$33,IF('IN_COST'!$G$54="CPI",'ENG_SCEN'!$L$32,1))))),IF('IN_COST'!$E$54="PER_M3",'ENG_OPS'!$L$64*'IN_COST'!$F$54*IF('IN_COST'!$G$54="FX",'ENG_SCEN'!$L$36,IF('IN_COST'!$G$54="PPI",'ENG_SCEN'!$L$35,IF('IN_COST'!$G$54="ENERGY",'ENG_SCEN'!$L$34,IF('IN_COST'!$G$54="WAGE",'ENG_SCEN'!$L$33,IF('IN_COST'!$G$54="CPI",'ENG_SCEN'!$L$32,1))))),IF('IN_COST'!$E$54="ANNUAL",'IN_COST'!$F$54*IF('IN_COST'!$G$54="FX",'ENG_SCEN'!$L$36,IF('IN_COST'!$G$54="PPI",'ENG_SCEN'!$L$35,IF('IN_COST'!$G$54="ENERGY",'ENG_SCEN'!$L$34,IF('IN_COST'!$G$54="WAGE",'ENG_SCEN'!$L$33,IF('IN_COST'!$G$54="CPI",'ENG_SCEN'!$L$32,1))))),IF('IN_COST'!$E$54="PCT_REV",'ENG_OPS'!$L$81*'IN_COST'!$F$54,IF('IN_COST'!$E$54="PCT_ASSET",'ENG_CAPEX'!$L$84*'IN_COST'!$F$54,IF('IN_COST'!$E$54="DEP",'ENG_CAPEX'!$L$81,IF('IN_COST'!$E$54="PAY",INDEX('IN_COST'!$D$15:$D$19,IFERROR(VALUE(MID('IN_COST'!$F$54,FIND(":",'IN_COST'!$F$54)+1,2)),1))*INDEX('IN_COST'!$E$15:$E$19,IFERROR(VALUE(MID('IN_COST'!$F$54,FIND(":",'IN_COST'!$F$54)+1,2)),1))*'IN_COST'!$D$10*'IN_COST'!$D$11*'ENG_SCEN'!$L$33,IF('IN_COST'!$E$54="SRV",SUM(INDEX('ENG_ALLOC'!$D$29:$P$58,(IFERROR(VALUE(MID('IN_COST'!$F$54,FIND(":",'IN_COST'!$F$54)+1,2)),1)-1)*6+1,9):INDEX('ENG_ALLOC'!$D$29:$P$58,IFERROR(VALUE(MID('IN_COST'!$F$54,FIND(":",'IN_COST'!$F$54)+1,2)),1)*6,9)),0)))))))))))*IF('IN_COST'!$E$54="DEP",'ENG_SCEN'!$G$16,IF('IN_COST'!$I$54="V",IF('IN_COST'!$E$54="SCRAP_LME",'ENG_SCEN'!$G$13,'ENG_SCEN'!$G$14),'ENG_SCEN'!$G$15))</f>
        <v/>
      </c>
      <c r="M68" s="33">
        <f>'IN_MACRO'!$M$34*IF('IN_COST'!$E$54="SCRAP_LME",'ENG_OPS'!$M$20*'IN_COST'!$F$54*'ENG_SCEN'!$M$37,IF('IN_COST'!$E$54="PER_TON_BATT",'ENG_OPS'!$M$20*'IN_COST'!$F$54*IF('IN_COST'!$G$54="FX",'ENG_SCEN'!$M$36,IF('IN_COST'!$G$54="PPI",'ENG_SCEN'!$M$35,IF('IN_COST'!$G$54="ENERGY",'ENG_SCEN'!$M$34,IF('IN_COST'!$G$54="WAGE",'ENG_SCEN'!$M$33,IF('IN_COST'!$G$54="CPI",'ENG_SCEN'!$M$32,1))))),IF('IN_COST'!$E$54="PER_TON_PROD",'ENG_OPS'!$M$43*'IN_COST'!$F$54*IF('IN_COST'!$G$54="FX",'ENG_SCEN'!$M$36,IF('IN_COST'!$G$54="PPI",'ENG_SCEN'!$M$35,IF('IN_COST'!$G$54="ENERGY",'ENG_SCEN'!$M$34,IF('IN_COST'!$G$54="WAGE",'ENG_SCEN'!$M$33,IF('IN_COST'!$G$54="CPI",'ENG_SCEN'!$M$32,1))))),IF('IN_COST'!$E$54="PER_KWH",'ENG_OPS'!$M$63*'IN_COST'!$F$54*IF('IN_COST'!$G$54="FX",'ENG_SCEN'!$M$36,IF('IN_COST'!$G$54="PPI",'ENG_SCEN'!$M$35,IF('IN_COST'!$G$54="ENERGY",'ENG_SCEN'!$M$34,IF('IN_COST'!$G$54="WAGE",'ENG_SCEN'!$M$33,IF('IN_COST'!$G$54="CPI",'ENG_SCEN'!$M$32,1))))),IF('IN_COST'!$E$54="PER_M3",'ENG_OPS'!$M$64*'IN_COST'!$F$54*IF('IN_COST'!$G$54="FX",'ENG_SCEN'!$M$36,IF('IN_COST'!$G$54="PPI",'ENG_SCEN'!$M$35,IF('IN_COST'!$G$54="ENERGY",'ENG_SCEN'!$M$34,IF('IN_COST'!$G$54="WAGE",'ENG_SCEN'!$M$33,IF('IN_COST'!$G$54="CPI",'ENG_SCEN'!$M$32,1))))),IF('IN_COST'!$E$54="ANNUAL",'IN_COST'!$F$54*IF('IN_COST'!$G$54="FX",'ENG_SCEN'!$M$36,IF('IN_COST'!$G$54="PPI",'ENG_SCEN'!$M$35,IF('IN_COST'!$G$54="ENERGY",'ENG_SCEN'!$M$34,IF('IN_COST'!$G$54="WAGE",'ENG_SCEN'!$M$33,IF('IN_COST'!$G$54="CPI",'ENG_SCEN'!$M$32,1))))),IF('IN_COST'!$E$54="PCT_REV",'ENG_OPS'!$M$81*'IN_COST'!$F$54,IF('IN_COST'!$E$54="PCT_ASSET",'ENG_CAPEX'!$M$84*'IN_COST'!$F$54,IF('IN_COST'!$E$54="DEP",'ENG_CAPEX'!$M$81,IF('IN_COST'!$E$54="PAY",INDEX('IN_COST'!$D$15:$D$19,IFERROR(VALUE(MID('IN_COST'!$F$54,FIND(":",'IN_COST'!$F$54)+1,2)),1))*INDEX('IN_COST'!$E$15:$E$19,IFERROR(VALUE(MID('IN_COST'!$F$54,FIND(":",'IN_COST'!$F$54)+1,2)),1))*'IN_COST'!$D$10*'IN_COST'!$D$11*'ENG_SCEN'!$M$33,IF('IN_COST'!$E$54="SRV",SUM(INDEX('ENG_ALLOC'!$D$29:$P$58,(IFERROR(VALUE(MID('IN_COST'!$F$54,FIND(":",'IN_COST'!$F$54)+1,2)),1)-1)*6+1,10):INDEX('ENG_ALLOC'!$D$29:$P$58,IFERROR(VALUE(MID('IN_COST'!$F$54,FIND(":",'IN_COST'!$F$54)+1,2)),1)*6,10)),0)))))))))))*IF('IN_COST'!$E$54="DEP",'ENG_SCEN'!$G$16,IF('IN_COST'!$I$54="V",IF('IN_COST'!$E$54="SCRAP_LME",'ENG_SCEN'!$G$13,'ENG_SCEN'!$G$14),'ENG_SCEN'!$G$15))</f>
        <v/>
      </c>
      <c r="N68" s="33">
        <f>'IN_MACRO'!$N$34*IF('IN_COST'!$E$54="SCRAP_LME",'ENG_OPS'!$N$20*'IN_COST'!$F$54*'ENG_SCEN'!$N$37,IF('IN_COST'!$E$54="PER_TON_BATT",'ENG_OPS'!$N$20*'IN_COST'!$F$54*IF('IN_COST'!$G$54="FX",'ENG_SCEN'!$N$36,IF('IN_COST'!$G$54="PPI",'ENG_SCEN'!$N$35,IF('IN_COST'!$G$54="ENERGY",'ENG_SCEN'!$N$34,IF('IN_COST'!$G$54="WAGE",'ENG_SCEN'!$N$33,IF('IN_COST'!$G$54="CPI",'ENG_SCEN'!$N$32,1))))),IF('IN_COST'!$E$54="PER_TON_PROD",'ENG_OPS'!$N$43*'IN_COST'!$F$54*IF('IN_COST'!$G$54="FX",'ENG_SCEN'!$N$36,IF('IN_COST'!$G$54="PPI",'ENG_SCEN'!$N$35,IF('IN_COST'!$G$54="ENERGY",'ENG_SCEN'!$N$34,IF('IN_COST'!$G$54="WAGE",'ENG_SCEN'!$N$33,IF('IN_COST'!$G$54="CPI",'ENG_SCEN'!$N$32,1))))),IF('IN_COST'!$E$54="PER_KWH",'ENG_OPS'!$N$63*'IN_COST'!$F$54*IF('IN_COST'!$G$54="FX",'ENG_SCEN'!$N$36,IF('IN_COST'!$G$54="PPI",'ENG_SCEN'!$N$35,IF('IN_COST'!$G$54="ENERGY",'ENG_SCEN'!$N$34,IF('IN_COST'!$G$54="WAGE",'ENG_SCEN'!$N$33,IF('IN_COST'!$G$54="CPI",'ENG_SCEN'!$N$32,1))))),IF('IN_COST'!$E$54="PER_M3",'ENG_OPS'!$N$64*'IN_COST'!$F$54*IF('IN_COST'!$G$54="FX",'ENG_SCEN'!$N$36,IF('IN_COST'!$G$54="PPI",'ENG_SCEN'!$N$35,IF('IN_COST'!$G$54="ENERGY",'ENG_SCEN'!$N$34,IF('IN_COST'!$G$54="WAGE",'ENG_SCEN'!$N$33,IF('IN_COST'!$G$54="CPI",'ENG_SCEN'!$N$32,1))))),IF('IN_COST'!$E$54="ANNUAL",'IN_COST'!$F$54*IF('IN_COST'!$G$54="FX",'ENG_SCEN'!$N$36,IF('IN_COST'!$G$54="PPI",'ENG_SCEN'!$N$35,IF('IN_COST'!$G$54="ENERGY",'ENG_SCEN'!$N$34,IF('IN_COST'!$G$54="WAGE",'ENG_SCEN'!$N$33,IF('IN_COST'!$G$54="CPI",'ENG_SCEN'!$N$32,1))))),IF('IN_COST'!$E$54="PCT_REV",'ENG_OPS'!$N$81*'IN_COST'!$F$54,IF('IN_COST'!$E$54="PCT_ASSET",'ENG_CAPEX'!$N$84*'IN_COST'!$F$54,IF('IN_COST'!$E$54="DEP",'ENG_CAPEX'!$N$81,IF('IN_COST'!$E$54="PAY",INDEX('IN_COST'!$D$15:$D$19,IFERROR(VALUE(MID('IN_COST'!$F$54,FIND(":",'IN_COST'!$F$54)+1,2)),1))*INDEX('IN_COST'!$E$15:$E$19,IFERROR(VALUE(MID('IN_COST'!$F$54,FIND(":",'IN_COST'!$F$54)+1,2)),1))*'IN_COST'!$D$10*'IN_COST'!$D$11*'ENG_SCEN'!$N$33,IF('IN_COST'!$E$54="SRV",SUM(INDEX('ENG_ALLOC'!$D$29:$P$58,(IFERROR(VALUE(MID('IN_COST'!$F$54,FIND(":",'IN_COST'!$F$54)+1,2)),1)-1)*6+1,11):INDEX('ENG_ALLOC'!$D$29:$P$58,IFERROR(VALUE(MID('IN_COST'!$F$54,FIND(":",'IN_COST'!$F$54)+1,2)),1)*6,11)),0)))))))))))*IF('IN_COST'!$E$54="DEP",'ENG_SCEN'!$G$16,IF('IN_COST'!$I$54="V",IF('IN_COST'!$E$54="SCRAP_LME",'ENG_SCEN'!$G$13,'ENG_SCEN'!$G$14),'ENG_SCEN'!$G$15))</f>
        <v/>
      </c>
      <c r="O68" s="33">
        <f>'IN_MACRO'!$O$34*IF('IN_COST'!$E$54="SCRAP_LME",'ENG_OPS'!$O$20*'IN_COST'!$F$54*'ENG_SCEN'!$O$37,IF('IN_COST'!$E$54="PER_TON_BATT",'ENG_OPS'!$O$20*'IN_COST'!$F$54*IF('IN_COST'!$G$54="FX",'ENG_SCEN'!$O$36,IF('IN_COST'!$G$54="PPI",'ENG_SCEN'!$O$35,IF('IN_COST'!$G$54="ENERGY",'ENG_SCEN'!$O$34,IF('IN_COST'!$G$54="WAGE",'ENG_SCEN'!$O$33,IF('IN_COST'!$G$54="CPI",'ENG_SCEN'!$O$32,1))))),IF('IN_COST'!$E$54="PER_TON_PROD",'ENG_OPS'!$O$43*'IN_COST'!$F$54*IF('IN_COST'!$G$54="FX",'ENG_SCEN'!$O$36,IF('IN_COST'!$G$54="PPI",'ENG_SCEN'!$O$35,IF('IN_COST'!$G$54="ENERGY",'ENG_SCEN'!$O$34,IF('IN_COST'!$G$54="WAGE",'ENG_SCEN'!$O$33,IF('IN_COST'!$G$54="CPI",'ENG_SCEN'!$O$32,1))))),IF('IN_COST'!$E$54="PER_KWH",'ENG_OPS'!$O$63*'IN_COST'!$F$54*IF('IN_COST'!$G$54="FX",'ENG_SCEN'!$O$36,IF('IN_COST'!$G$54="PPI",'ENG_SCEN'!$O$35,IF('IN_COST'!$G$54="ENERGY",'ENG_SCEN'!$O$34,IF('IN_COST'!$G$54="WAGE",'ENG_SCEN'!$O$33,IF('IN_COST'!$G$54="CPI",'ENG_SCEN'!$O$32,1))))),IF('IN_COST'!$E$54="PER_M3",'ENG_OPS'!$O$64*'IN_COST'!$F$54*IF('IN_COST'!$G$54="FX",'ENG_SCEN'!$O$36,IF('IN_COST'!$G$54="PPI",'ENG_SCEN'!$O$35,IF('IN_COST'!$G$54="ENERGY",'ENG_SCEN'!$O$34,IF('IN_COST'!$G$54="WAGE",'ENG_SCEN'!$O$33,IF('IN_COST'!$G$54="CPI",'ENG_SCEN'!$O$32,1))))),IF('IN_COST'!$E$54="ANNUAL",'IN_COST'!$F$54*IF('IN_COST'!$G$54="FX",'ENG_SCEN'!$O$36,IF('IN_COST'!$G$54="PPI",'ENG_SCEN'!$O$35,IF('IN_COST'!$G$54="ENERGY",'ENG_SCEN'!$O$34,IF('IN_COST'!$G$54="WAGE",'ENG_SCEN'!$O$33,IF('IN_COST'!$G$54="CPI",'ENG_SCEN'!$O$32,1))))),IF('IN_COST'!$E$54="PCT_REV",'ENG_OPS'!$O$81*'IN_COST'!$F$54,IF('IN_COST'!$E$54="PCT_ASSET",'ENG_CAPEX'!$O$84*'IN_COST'!$F$54,IF('IN_COST'!$E$54="DEP",'ENG_CAPEX'!$O$81,IF('IN_COST'!$E$54="PAY",INDEX('IN_COST'!$D$15:$D$19,IFERROR(VALUE(MID('IN_COST'!$F$54,FIND(":",'IN_COST'!$F$54)+1,2)),1))*INDEX('IN_COST'!$E$15:$E$19,IFERROR(VALUE(MID('IN_COST'!$F$54,FIND(":",'IN_COST'!$F$54)+1,2)),1))*'IN_COST'!$D$10*'IN_COST'!$D$11*'ENG_SCEN'!$O$33,IF('IN_COST'!$E$54="SRV",SUM(INDEX('ENG_ALLOC'!$D$29:$P$58,(IFERROR(VALUE(MID('IN_COST'!$F$54,FIND(":",'IN_COST'!$F$54)+1,2)),1)-1)*6+1,12):INDEX('ENG_ALLOC'!$D$29:$P$58,IFERROR(VALUE(MID('IN_COST'!$F$54,FIND(":",'IN_COST'!$F$54)+1,2)),1)*6,12)),0)))))))))))*IF('IN_COST'!$E$54="DEP",'ENG_SCEN'!$G$16,IF('IN_COST'!$I$54="V",IF('IN_COST'!$E$54="SCRAP_LME",'ENG_SCEN'!$G$13,'ENG_SCEN'!$G$14),'ENG_SCEN'!$G$15))</f>
        <v/>
      </c>
      <c r="P68" s="33">
        <f>'IN_MACRO'!$P$34*IF('IN_COST'!$E$54="SCRAP_LME",'ENG_OPS'!$P$20*'IN_COST'!$F$54*'ENG_SCEN'!$P$37,IF('IN_COST'!$E$54="PER_TON_BATT",'ENG_OPS'!$P$20*'IN_COST'!$F$54*IF('IN_COST'!$G$54="FX",'ENG_SCEN'!$P$36,IF('IN_COST'!$G$54="PPI",'ENG_SCEN'!$P$35,IF('IN_COST'!$G$54="ENERGY",'ENG_SCEN'!$P$34,IF('IN_COST'!$G$54="WAGE",'ENG_SCEN'!$P$33,IF('IN_COST'!$G$54="CPI",'ENG_SCEN'!$P$32,1))))),IF('IN_COST'!$E$54="PER_TON_PROD",'ENG_OPS'!$P$43*'IN_COST'!$F$54*IF('IN_COST'!$G$54="FX",'ENG_SCEN'!$P$36,IF('IN_COST'!$G$54="PPI",'ENG_SCEN'!$P$35,IF('IN_COST'!$G$54="ENERGY",'ENG_SCEN'!$P$34,IF('IN_COST'!$G$54="WAGE",'ENG_SCEN'!$P$33,IF('IN_COST'!$G$54="CPI",'ENG_SCEN'!$P$32,1))))),IF('IN_COST'!$E$54="PER_KWH",'ENG_OPS'!$P$63*'IN_COST'!$F$54*IF('IN_COST'!$G$54="FX",'ENG_SCEN'!$P$36,IF('IN_COST'!$G$54="PPI",'ENG_SCEN'!$P$35,IF('IN_COST'!$G$54="ENERGY",'ENG_SCEN'!$P$34,IF('IN_COST'!$G$54="WAGE",'ENG_SCEN'!$P$33,IF('IN_COST'!$G$54="CPI",'ENG_SCEN'!$P$32,1))))),IF('IN_COST'!$E$54="PER_M3",'ENG_OPS'!$P$64*'IN_COST'!$F$54*IF('IN_COST'!$G$54="FX",'ENG_SCEN'!$P$36,IF('IN_COST'!$G$54="PPI",'ENG_SCEN'!$P$35,IF('IN_COST'!$G$54="ENERGY",'ENG_SCEN'!$P$34,IF('IN_COST'!$G$54="WAGE",'ENG_SCEN'!$P$33,IF('IN_COST'!$G$54="CPI",'ENG_SCEN'!$P$32,1))))),IF('IN_COST'!$E$54="ANNUAL",'IN_COST'!$F$54*IF('IN_COST'!$G$54="FX",'ENG_SCEN'!$P$36,IF('IN_COST'!$G$54="PPI",'ENG_SCEN'!$P$35,IF('IN_COST'!$G$54="ENERGY",'ENG_SCEN'!$P$34,IF('IN_COST'!$G$54="WAGE",'ENG_SCEN'!$P$33,IF('IN_COST'!$G$54="CPI",'ENG_SCEN'!$P$32,1))))),IF('IN_COST'!$E$54="PCT_REV",'ENG_OPS'!$P$81*'IN_COST'!$F$54,IF('IN_COST'!$E$54="PCT_ASSET",'ENG_CAPEX'!$P$84*'IN_COST'!$F$54,IF('IN_COST'!$E$54="DEP",'ENG_CAPEX'!$P$81,IF('IN_COST'!$E$54="PAY",INDEX('IN_COST'!$D$15:$D$19,IFERROR(VALUE(MID('IN_COST'!$F$54,FIND(":",'IN_COST'!$F$54)+1,2)),1))*INDEX('IN_COST'!$E$15:$E$19,IFERROR(VALUE(MID('IN_COST'!$F$54,FIND(":",'IN_COST'!$F$54)+1,2)),1))*'IN_COST'!$D$10*'IN_COST'!$D$11*'ENG_SCEN'!$P$33,IF('IN_COST'!$E$54="SRV",SUM(INDEX('ENG_ALLOC'!$D$29:$P$58,(IFERROR(VALUE(MID('IN_COST'!$F$54,FIND(":",'IN_COST'!$F$54)+1,2)),1)-1)*6+1,13):INDEX('ENG_ALLOC'!$D$29:$P$58,IFERROR(VALUE(MID('IN_COST'!$F$54,FIND(":",'IN_COST'!$F$54)+1,2)),1)*6,13)),0)))))))))))*IF('IN_COST'!$E$54="DEP",'ENG_SCEN'!$G$16,IF('IN_COST'!$I$54="V",IF('IN_COST'!$E$54="SCRAP_LME",'ENG_SCEN'!$G$13,'ENG_SCEN'!$G$14),'ENG_SCEN'!$G$15))</f>
        <v/>
      </c>
    </row>
    <row r="69">
      <c r="A69" s="15" t="inlineStr">
        <is>
          <t>FPC-08 | هزینه‌های عمومی و اداری غیرپرسنلی</t>
        </is>
      </c>
      <c r="B69" s="16" t="inlineStr">
        <is>
          <t>EC.tot.22</t>
        </is>
      </c>
      <c r="C69" s="17" t="inlineStr">
        <is>
          <t>میلیون ریال</t>
        </is>
      </c>
      <c r="D69" s="33">
        <f>'IN_MACRO'!$D$34*IF('IN_COST'!$E$55="SCRAP_LME",'ENG_OPS'!$D$20*'IN_COST'!$F$55*'ENG_SCEN'!$D$37,IF('IN_COST'!$E$55="PER_TON_BATT",'ENG_OPS'!$D$20*'IN_COST'!$F$55*IF('IN_COST'!$G$55="FX",'ENG_SCEN'!$D$36,IF('IN_COST'!$G$55="PPI",'ENG_SCEN'!$D$35,IF('IN_COST'!$G$55="ENERGY",'ENG_SCEN'!$D$34,IF('IN_COST'!$G$55="WAGE",'ENG_SCEN'!$D$33,IF('IN_COST'!$G$55="CPI",'ENG_SCEN'!$D$32,1))))),IF('IN_COST'!$E$55="PER_TON_PROD",'ENG_OPS'!$D$43*'IN_COST'!$F$55*IF('IN_COST'!$G$55="FX",'ENG_SCEN'!$D$36,IF('IN_COST'!$G$55="PPI",'ENG_SCEN'!$D$35,IF('IN_COST'!$G$55="ENERGY",'ENG_SCEN'!$D$34,IF('IN_COST'!$G$55="WAGE",'ENG_SCEN'!$D$33,IF('IN_COST'!$G$55="CPI",'ENG_SCEN'!$D$32,1))))),IF('IN_COST'!$E$55="PER_KWH",'ENG_OPS'!$D$63*'IN_COST'!$F$55*IF('IN_COST'!$G$55="FX",'ENG_SCEN'!$D$36,IF('IN_COST'!$G$55="PPI",'ENG_SCEN'!$D$35,IF('IN_COST'!$G$55="ENERGY",'ENG_SCEN'!$D$34,IF('IN_COST'!$G$55="WAGE",'ENG_SCEN'!$D$33,IF('IN_COST'!$G$55="CPI",'ENG_SCEN'!$D$32,1))))),IF('IN_COST'!$E$55="PER_M3",'ENG_OPS'!$D$64*'IN_COST'!$F$55*IF('IN_COST'!$G$55="FX",'ENG_SCEN'!$D$36,IF('IN_COST'!$G$55="PPI",'ENG_SCEN'!$D$35,IF('IN_COST'!$G$55="ENERGY",'ENG_SCEN'!$D$34,IF('IN_COST'!$G$55="WAGE",'ENG_SCEN'!$D$33,IF('IN_COST'!$G$55="CPI",'ENG_SCEN'!$D$32,1))))),IF('IN_COST'!$E$55="ANNUAL",'IN_COST'!$F$55*IF('IN_COST'!$G$55="FX",'ENG_SCEN'!$D$36,IF('IN_COST'!$G$55="PPI",'ENG_SCEN'!$D$35,IF('IN_COST'!$G$55="ENERGY",'ENG_SCEN'!$D$34,IF('IN_COST'!$G$55="WAGE",'ENG_SCEN'!$D$33,IF('IN_COST'!$G$55="CPI",'ENG_SCEN'!$D$32,1))))),IF('IN_COST'!$E$55="PCT_REV",'ENG_OPS'!$D$81*'IN_COST'!$F$55,IF('IN_COST'!$E$55="PCT_ASSET",'ENG_CAPEX'!$D$84*'IN_COST'!$F$55,IF('IN_COST'!$E$55="DEP",'ENG_CAPEX'!$D$81,IF('IN_COST'!$E$55="PAY",INDEX('IN_COST'!$D$15:$D$19,IFERROR(VALUE(MID('IN_COST'!$F$55,FIND(":",'IN_COST'!$F$55)+1,2)),1))*INDEX('IN_COST'!$E$15:$E$19,IFERROR(VALUE(MID('IN_COST'!$F$55,FIND(":",'IN_COST'!$F$55)+1,2)),1))*'IN_COST'!$D$10*'IN_COST'!$D$11*'ENG_SCEN'!$D$33,IF('IN_COST'!$E$55="SRV",SUM(INDEX('ENG_ALLOC'!$D$29:$P$58,(IFERROR(VALUE(MID('IN_COST'!$F$55,FIND(":",'IN_COST'!$F$55)+1,2)),1)-1)*6+1,1):INDEX('ENG_ALLOC'!$D$29:$P$58,IFERROR(VALUE(MID('IN_COST'!$F$55,FIND(":",'IN_COST'!$F$55)+1,2)),1)*6,1)),0)))))))))))*IF('IN_COST'!$E$55="DEP",'ENG_SCEN'!$G$16,IF('IN_COST'!$I$55="V",IF('IN_COST'!$E$55="SCRAP_LME",'ENG_SCEN'!$G$13,'ENG_SCEN'!$G$14),'ENG_SCEN'!$G$15))</f>
        <v/>
      </c>
      <c r="E69" s="33">
        <f>'IN_MACRO'!$E$34*IF('IN_COST'!$E$55="SCRAP_LME",'ENG_OPS'!$E$20*'IN_COST'!$F$55*'ENG_SCEN'!$E$37,IF('IN_COST'!$E$55="PER_TON_BATT",'ENG_OPS'!$E$20*'IN_COST'!$F$55*IF('IN_COST'!$G$55="FX",'ENG_SCEN'!$E$36,IF('IN_COST'!$G$55="PPI",'ENG_SCEN'!$E$35,IF('IN_COST'!$G$55="ENERGY",'ENG_SCEN'!$E$34,IF('IN_COST'!$G$55="WAGE",'ENG_SCEN'!$E$33,IF('IN_COST'!$G$55="CPI",'ENG_SCEN'!$E$32,1))))),IF('IN_COST'!$E$55="PER_TON_PROD",'ENG_OPS'!$E$43*'IN_COST'!$F$55*IF('IN_COST'!$G$55="FX",'ENG_SCEN'!$E$36,IF('IN_COST'!$G$55="PPI",'ENG_SCEN'!$E$35,IF('IN_COST'!$G$55="ENERGY",'ENG_SCEN'!$E$34,IF('IN_COST'!$G$55="WAGE",'ENG_SCEN'!$E$33,IF('IN_COST'!$G$55="CPI",'ENG_SCEN'!$E$32,1))))),IF('IN_COST'!$E$55="PER_KWH",'ENG_OPS'!$E$63*'IN_COST'!$F$55*IF('IN_COST'!$G$55="FX",'ENG_SCEN'!$E$36,IF('IN_COST'!$G$55="PPI",'ENG_SCEN'!$E$35,IF('IN_COST'!$G$55="ENERGY",'ENG_SCEN'!$E$34,IF('IN_COST'!$G$55="WAGE",'ENG_SCEN'!$E$33,IF('IN_COST'!$G$55="CPI",'ENG_SCEN'!$E$32,1))))),IF('IN_COST'!$E$55="PER_M3",'ENG_OPS'!$E$64*'IN_COST'!$F$55*IF('IN_COST'!$G$55="FX",'ENG_SCEN'!$E$36,IF('IN_COST'!$G$55="PPI",'ENG_SCEN'!$E$35,IF('IN_COST'!$G$55="ENERGY",'ENG_SCEN'!$E$34,IF('IN_COST'!$G$55="WAGE",'ENG_SCEN'!$E$33,IF('IN_COST'!$G$55="CPI",'ENG_SCEN'!$E$32,1))))),IF('IN_COST'!$E$55="ANNUAL",'IN_COST'!$F$55*IF('IN_COST'!$G$55="FX",'ENG_SCEN'!$E$36,IF('IN_COST'!$G$55="PPI",'ENG_SCEN'!$E$35,IF('IN_COST'!$G$55="ENERGY",'ENG_SCEN'!$E$34,IF('IN_COST'!$G$55="WAGE",'ENG_SCEN'!$E$33,IF('IN_COST'!$G$55="CPI",'ENG_SCEN'!$E$32,1))))),IF('IN_COST'!$E$55="PCT_REV",'ENG_OPS'!$E$81*'IN_COST'!$F$55,IF('IN_COST'!$E$55="PCT_ASSET",'ENG_CAPEX'!$E$84*'IN_COST'!$F$55,IF('IN_COST'!$E$55="DEP",'ENG_CAPEX'!$E$81,IF('IN_COST'!$E$55="PAY",INDEX('IN_COST'!$D$15:$D$19,IFERROR(VALUE(MID('IN_COST'!$F$55,FIND(":",'IN_COST'!$F$55)+1,2)),1))*INDEX('IN_COST'!$E$15:$E$19,IFERROR(VALUE(MID('IN_COST'!$F$55,FIND(":",'IN_COST'!$F$55)+1,2)),1))*'IN_COST'!$D$10*'IN_COST'!$D$11*'ENG_SCEN'!$E$33,IF('IN_COST'!$E$55="SRV",SUM(INDEX('ENG_ALLOC'!$D$29:$P$58,(IFERROR(VALUE(MID('IN_COST'!$F$55,FIND(":",'IN_COST'!$F$55)+1,2)),1)-1)*6+1,2):INDEX('ENG_ALLOC'!$D$29:$P$58,IFERROR(VALUE(MID('IN_COST'!$F$55,FIND(":",'IN_COST'!$F$55)+1,2)),1)*6,2)),0)))))))))))*IF('IN_COST'!$E$55="DEP",'ENG_SCEN'!$G$16,IF('IN_COST'!$I$55="V",IF('IN_COST'!$E$55="SCRAP_LME",'ENG_SCEN'!$G$13,'ENG_SCEN'!$G$14),'ENG_SCEN'!$G$15))</f>
        <v/>
      </c>
      <c r="F69" s="33">
        <f>'IN_MACRO'!$F$34*IF('IN_COST'!$E$55="SCRAP_LME",'ENG_OPS'!$F$20*'IN_COST'!$F$55*'ENG_SCEN'!$F$37,IF('IN_COST'!$E$55="PER_TON_BATT",'ENG_OPS'!$F$20*'IN_COST'!$F$55*IF('IN_COST'!$G$55="FX",'ENG_SCEN'!$F$36,IF('IN_COST'!$G$55="PPI",'ENG_SCEN'!$F$35,IF('IN_COST'!$G$55="ENERGY",'ENG_SCEN'!$F$34,IF('IN_COST'!$G$55="WAGE",'ENG_SCEN'!$F$33,IF('IN_COST'!$G$55="CPI",'ENG_SCEN'!$F$32,1))))),IF('IN_COST'!$E$55="PER_TON_PROD",'ENG_OPS'!$F$43*'IN_COST'!$F$55*IF('IN_COST'!$G$55="FX",'ENG_SCEN'!$F$36,IF('IN_COST'!$G$55="PPI",'ENG_SCEN'!$F$35,IF('IN_COST'!$G$55="ENERGY",'ENG_SCEN'!$F$34,IF('IN_COST'!$G$55="WAGE",'ENG_SCEN'!$F$33,IF('IN_COST'!$G$55="CPI",'ENG_SCEN'!$F$32,1))))),IF('IN_COST'!$E$55="PER_KWH",'ENG_OPS'!$F$63*'IN_COST'!$F$55*IF('IN_COST'!$G$55="FX",'ENG_SCEN'!$F$36,IF('IN_COST'!$G$55="PPI",'ENG_SCEN'!$F$35,IF('IN_COST'!$G$55="ENERGY",'ENG_SCEN'!$F$34,IF('IN_COST'!$G$55="WAGE",'ENG_SCEN'!$F$33,IF('IN_COST'!$G$55="CPI",'ENG_SCEN'!$F$32,1))))),IF('IN_COST'!$E$55="PER_M3",'ENG_OPS'!$F$64*'IN_COST'!$F$55*IF('IN_COST'!$G$55="FX",'ENG_SCEN'!$F$36,IF('IN_COST'!$G$55="PPI",'ENG_SCEN'!$F$35,IF('IN_COST'!$G$55="ENERGY",'ENG_SCEN'!$F$34,IF('IN_COST'!$G$55="WAGE",'ENG_SCEN'!$F$33,IF('IN_COST'!$G$55="CPI",'ENG_SCEN'!$F$32,1))))),IF('IN_COST'!$E$55="ANNUAL",'IN_COST'!$F$55*IF('IN_COST'!$G$55="FX",'ENG_SCEN'!$F$36,IF('IN_COST'!$G$55="PPI",'ENG_SCEN'!$F$35,IF('IN_COST'!$G$55="ENERGY",'ENG_SCEN'!$F$34,IF('IN_COST'!$G$55="WAGE",'ENG_SCEN'!$F$33,IF('IN_COST'!$G$55="CPI",'ENG_SCEN'!$F$32,1))))),IF('IN_COST'!$E$55="PCT_REV",'ENG_OPS'!$F$81*'IN_COST'!$F$55,IF('IN_COST'!$E$55="PCT_ASSET",'ENG_CAPEX'!$F$84*'IN_COST'!$F$55,IF('IN_COST'!$E$55="DEP",'ENG_CAPEX'!$F$81,IF('IN_COST'!$E$55="PAY",INDEX('IN_COST'!$D$15:$D$19,IFERROR(VALUE(MID('IN_COST'!$F$55,FIND(":",'IN_COST'!$F$55)+1,2)),1))*INDEX('IN_COST'!$E$15:$E$19,IFERROR(VALUE(MID('IN_COST'!$F$55,FIND(":",'IN_COST'!$F$55)+1,2)),1))*'IN_COST'!$D$10*'IN_COST'!$D$11*'ENG_SCEN'!$F$33,IF('IN_COST'!$E$55="SRV",SUM(INDEX('ENG_ALLOC'!$D$29:$P$58,(IFERROR(VALUE(MID('IN_COST'!$F$55,FIND(":",'IN_COST'!$F$55)+1,2)),1)-1)*6+1,3):INDEX('ENG_ALLOC'!$D$29:$P$58,IFERROR(VALUE(MID('IN_COST'!$F$55,FIND(":",'IN_COST'!$F$55)+1,2)),1)*6,3)),0)))))))))))*IF('IN_COST'!$E$55="DEP",'ENG_SCEN'!$G$16,IF('IN_COST'!$I$55="V",IF('IN_COST'!$E$55="SCRAP_LME",'ENG_SCEN'!$G$13,'ENG_SCEN'!$G$14),'ENG_SCEN'!$G$15))</f>
        <v/>
      </c>
      <c r="G69" s="33">
        <f>'IN_MACRO'!$G$34*IF('IN_COST'!$E$55="SCRAP_LME",'ENG_OPS'!$G$20*'IN_COST'!$F$55*'ENG_SCEN'!$G$37,IF('IN_COST'!$E$55="PER_TON_BATT",'ENG_OPS'!$G$20*'IN_COST'!$F$55*IF('IN_COST'!$G$55="FX",'ENG_SCEN'!$G$36,IF('IN_COST'!$G$55="PPI",'ENG_SCEN'!$G$35,IF('IN_COST'!$G$55="ENERGY",'ENG_SCEN'!$G$34,IF('IN_COST'!$G$55="WAGE",'ENG_SCEN'!$G$33,IF('IN_COST'!$G$55="CPI",'ENG_SCEN'!$G$32,1))))),IF('IN_COST'!$E$55="PER_TON_PROD",'ENG_OPS'!$G$43*'IN_COST'!$F$55*IF('IN_COST'!$G$55="FX",'ENG_SCEN'!$G$36,IF('IN_COST'!$G$55="PPI",'ENG_SCEN'!$G$35,IF('IN_COST'!$G$55="ENERGY",'ENG_SCEN'!$G$34,IF('IN_COST'!$G$55="WAGE",'ENG_SCEN'!$G$33,IF('IN_COST'!$G$55="CPI",'ENG_SCEN'!$G$32,1))))),IF('IN_COST'!$E$55="PER_KWH",'ENG_OPS'!$G$63*'IN_COST'!$F$55*IF('IN_COST'!$G$55="FX",'ENG_SCEN'!$G$36,IF('IN_COST'!$G$55="PPI",'ENG_SCEN'!$G$35,IF('IN_COST'!$G$55="ENERGY",'ENG_SCEN'!$G$34,IF('IN_COST'!$G$55="WAGE",'ENG_SCEN'!$G$33,IF('IN_COST'!$G$55="CPI",'ENG_SCEN'!$G$32,1))))),IF('IN_COST'!$E$55="PER_M3",'ENG_OPS'!$G$64*'IN_COST'!$F$55*IF('IN_COST'!$G$55="FX",'ENG_SCEN'!$G$36,IF('IN_COST'!$G$55="PPI",'ENG_SCEN'!$G$35,IF('IN_COST'!$G$55="ENERGY",'ENG_SCEN'!$G$34,IF('IN_COST'!$G$55="WAGE",'ENG_SCEN'!$G$33,IF('IN_COST'!$G$55="CPI",'ENG_SCEN'!$G$32,1))))),IF('IN_COST'!$E$55="ANNUAL",'IN_COST'!$F$55*IF('IN_COST'!$G$55="FX",'ENG_SCEN'!$G$36,IF('IN_COST'!$G$55="PPI",'ENG_SCEN'!$G$35,IF('IN_COST'!$G$55="ENERGY",'ENG_SCEN'!$G$34,IF('IN_COST'!$G$55="WAGE",'ENG_SCEN'!$G$33,IF('IN_COST'!$G$55="CPI",'ENG_SCEN'!$G$32,1))))),IF('IN_COST'!$E$55="PCT_REV",'ENG_OPS'!$G$81*'IN_COST'!$F$55,IF('IN_COST'!$E$55="PCT_ASSET",'ENG_CAPEX'!$G$84*'IN_COST'!$F$55,IF('IN_COST'!$E$55="DEP",'ENG_CAPEX'!$G$81,IF('IN_COST'!$E$55="PAY",INDEX('IN_COST'!$D$15:$D$19,IFERROR(VALUE(MID('IN_COST'!$F$55,FIND(":",'IN_COST'!$F$55)+1,2)),1))*INDEX('IN_COST'!$E$15:$E$19,IFERROR(VALUE(MID('IN_COST'!$F$55,FIND(":",'IN_COST'!$F$55)+1,2)),1))*'IN_COST'!$D$10*'IN_COST'!$D$11*'ENG_SCEN'!$G$33,IF('IN_COST'!$E$55="SRV",SUM(INDEX('ENG_ALLOC'!$D$29:$P$58,(IFERROR(VALUE(MID('IN_COST'!$F$55,FIND(":",'IN_COST'!$F$55)+1,2)),1)-1)*6+1,4):INDEX('ENG_ALLOC'!$D$29:$P$58,IFERROR(VALUE(MID('IN_COST'!$F$55,FIND(":",'IN_COST'!$F$55)+1,2)),1)*6,4)),0)))))))))))*IF('IN_COST'!$E$55="DEP",'ENG_SCEN'!$G$16,IF('IN_COST'!$I$55="V",IF('IN_COST'!$E$55="SCRAP_LME",'ENG_SCEN'!$G$13,'ENG_SCEN'!$G$14),'ENG_SCEN'!$G$15))</f>
        <v/>
      </c>
      <c r="H69" s="33">
        <f>'IN_MACRO'!$H$34*IF('IN_COST'!$E$55="SCRAP_LME",'ENG_OPS'!$H$20*'IN_COST'!$F$55*'ENG_SCEN'!$H$37,IF('IN_COST'!$E$55="PER_TON_BATT",'ENG_OPS'!$H$20*'IN_COST'!$F$55*IF('IN_COST'!$G$55="FX",'ENG_SCEN'!$H$36,IF('IN_COST'!$G$55="PPI",'ENG_SCEN'!$H$35,IF('IN_COST'!$G$55="ENERGY",'ENG_SCEN'!$H$34,IF('IN_COST'!$G$55="WAGE",'ENG_SCEN'!$H$33,IF('IN_COST'!$G$55="CPI",'ENG_SCEN'!$H$32,1))))),IF('IN_COST'!$E$55="PER_TON_PROD",'ENG_OPS'!$H$43*'IN_COST'!$F$55*IF('IN_COST'!$G$55="FX",'ENG_SCEN'!$H$36,IF('IN_COST'!$G$55="PPI",'ENG_SCEN'!$H$35,IF('IN_COST'!$G$55="ENERGY",'ENG_SCEN'!$H$34,IF('IN_COST'!$G$55="WAGE",'ENG_SCEN'!$H$33,IF('IN_COST'!$G$55="CPI",'ENG_SCEN'!$H$32,1))))),IF('IN_COST'!$E$55="PER_KWH",'ENG_OPS'!$H$63*'IN_COST'!$F$55*IF('IN_COST'!$G$55="FX",'ENG_SCEN'!$H$36,IF('IN_COST'!$G$55="PPI",'ENG_SCEN'!$H$35,IF('IN_COST'!$G$55="ENERGY",'ENG_SCEN'!$H$34,IF('IN_COST'!$G$55="WAGE",'ENG_SCEN'!$H$33,IF('IN_COST'!$G$55="CPI",'ENG_SCEN'!$H$32,1))))),IF('IN_COST'!$E$55="PER_M3",'ENG_OPS'!$H$64*'IN_COST'!$F$55*IF('IN_COST'!$G$55="FX",'ENG_SCEN'!$H$36,IF('IN_COST'!$G$55="PPI",'ENG_SCEN'!$H$35,IF('IN_COST'!$G$55="ENERGY",'ENG_SCEN'!$H$34,IF('IN_COST'!$G$55="WAGE",'ENG_SCEN'!$H$33,IF('IN_COST'!$G$55="CPI",'ENG_SCEN'!$H$32,1))))),IF('IN_COST'!$E$55="ANNUAL",'IN_COST'!$F$55*IF('IN_COST'!$G$55="FX",'ENG_SCEN'!$H$36,IF('IN_COST'!$G$55="PPI",'ENG_SCEN'!$H$35,IF('IN_COST'!$G$55="ENERGY",'ENG_SCEN'!$H$34,IF('IN_COST'!$G$55="WAGE",'ENG_SCEN'!$H$33,IF('IN_COST'!$G$55="CPI",'ENG_SCEN'!$H$32,1))))),IF('IN_COST'!$E$55="PCT_REV",'ENG_OPS'!$H$81*'IN_COST'!$F$55,IF('IN_COST'!$E$55="PCT_ASSET",'ENG_CAPEX'!$H$84*'IN_COST'!$F$55,IF('IN_COST'!$E$55="DEP",'ENG_CAPEX'!$H$81,IF('IN_COST'!$E$55="PAY",INDEX('IN_COST'!$D$15:$D$19,IFERROR(VALUE(MID('IN_COST'!$F$55,FIND(":",'IN_COST'!$F$55)+1,2)),1))*INDEX('IN_COST'!$E$15:$E$19,IFERROR(VALUE(MID('IN_COST'!$F$55,FIND(":",'IN_COST'!$F$55)+1,2)),1))*'IN_COST'!$D$10*'IN_COST'!$D$11*'ENG_SCEN'!$H$33,IF('IN_COST'!$E$55="SRV",SUM(INDEX('ENG_ALLOC'!$D$29:$P$58,(IFERROR(VALUE(MID('IN_COST'!$F$55,FIND(":",'IN_COST'!$F$55)+1,2)),1)-1)*6+1,5):INDEX('ENG_ALLOC'!$D$29:$P$58,IFERROR(VALUE(MID('IN_COST'!$F$55,FIND(":",'IN_COST'!$F$55)+1,2)),1)*6,5)),0)))))))))))*IF('IN_COST'!$E$55="DEP",'ENG_SCEN'!$G$16,IF('IN_COST'!$I$55="V",IF('IN_COST'!$E$55="SCRAP_LME",'ENG_SCEN'!$G$13,'ENG_SCEN'!$G$14),'ENG_SCEN'!$G$15))</f>
        <v/>
      </c>
      <c r="I69" s="33">
        <f>'IN_MACRO'!$I$34*IF('IN_COST'!$E$55="SCRAP_LME",'ENG_OPS'!$I$20*'IN_COST'!$F$55*'ENG_SCEN'!$I$37,IF('IN_COST'!$E$55="PER_TON_BATT",'ENG_OPS'!$I$20*'IN_COST'!$F$55*IF('IN_COST'!$G$55="FX",'ENG_SCEN'!$I$36,IF('IN_COST'!$G$55="PPI",'ENG_SCEN'!$I$35,IF('IN_COST'!$G$55="ENERGY",'ENG_SCEN'!$I$34,IF('IN_COST'!$G$55="WAGE",'ENG_SCEN'!$I$33,IF('IN_COST'!$G$55="CPI",'ENG_SCEN'!$I$32,1))))),IF('IN_COST'!$E$55="PER_TON_PROD",'ENG_OPS'!$I$43*'IN_COST'!$F$55*IF('IN_COST'!$G$55="FX",'ENG_SCEN'!$I$36,IF('IN_COST'!$G$55="PPI",'ENG_SCEN'!$I$35,IF('IN_COST'!$G$55="ENERGY",'ENG_SCEN'!$I$34,IF('IN_COST'!$G$55="WAGE",'ENG_SCEN'!$I$33,IF('IN_COST'!$G$55="CPI",'ENG_SCEN'!$I$32,1))))),IF('IN_COST'!$E$55="PER_KWH",'ENG_OPS'!$I$63*'IN_COST'!$F$55*IF('IN_COST'!$G$55="FX",'ENG_SCEN'!$I$36,IF('IN_COST'!$G$55="PPI",'ENG_SCEN'!$I$35,IF('IN_COST'!$G$55="ENERGY",'ENG_SCEN'!$I$34,IF('IN_COST'!$G$55="WAGE",'ENG_SCEN'!$I$33,IF('IN_COST'!$G$55="CPI",'ENG_SCEN'!$I$32,1))))),IF('IN_COST'!$E$55="PER_M3",'ENG_OPS'!$I$64*'IN_COST'!$F$55*IF('IN_COST'!$G$55="FX",'ENG_SCEN'!$I$36,IF('IN_COST'!$G$55="PPI",'ENG_SCEN'!$I$35,IF('IN_COST'!$G$55="ENERGY",'ENG_SCEN'!$I$34,IF('IN_COST'!$G$55="WAGE",'ENG_SCEN'!$I$33,IF('IN_COST'!$G$55="CPI",'ENG_SCEN'!$I$32,1))))),IF('IN_COST'!$E$55="ANNUAL",'IN_COST'!$F$55*IF('IN_COST'!$G$55="FX",'ENG_SCEN'!$I$36,IF('IN_COST'!$G$55="PPI",'ENG_SCEN'!$I$35,IF('IN_COST'!$G$55="ENERGY",'ENG_SCEN'!$I$34,IF('IN_COST'!$G$55="WAGE",'ENG_SCEN'!$I$33,IF('IN_COST'!$G$55="CPI",'ENG_SCEN'!$I$32,1))))),IF('IN_COST'!$E$55="PCT_REV",'ENG_OPS'!$I$81*'IN_COST'!$F$55,IF('IN_COST'!$E$55="PCT_ASSET",'ENG_CAPEX'!$I$84*'IN_COST'!$F$55,IF('IN_COST'!$E$55="DEP",'ENG_CAPEX'!$I$81,IF('IN_COST'!$E$55="PAY",INDEX('IN_COST'!$D$15:$D$19,IFERROR(VALUE(MID('IN_COST'!$F$55,FIND(":",'IN_COST'!$F$55)+1,2)),1))*INDEX('IN_COST'!$E$15:$E$19,IFERROR(VALUE(MID('IN_COST'!$F$55,FIND(":",'IN_COST'!$F$55)+1,2)),1))*'IN_COST'!$D$10*'IN_COST'!$D$11*'ENG_SCEN'!$I$33,IF('IN_COST'!$E$55="SRV",SUM(INDEX('ENG_ALLOC'!$D$29:$P$58,(IFERROR(VALUE(MID('IN_COST'!$F$55,FIND(":",'IN_COST'!$F$55)+1,2)),1)-1)*6+1,6):INDEX('ENG_ALLOC'!$D$29:$P$58,IFERROR(VALUE(MID('IN_COST'!$F$55,FIND(":",'IN_COST'!$F$55)+1,2)),1)*6,6)),0)))))))))))*IF('IN_COST'!$E$55="DEP",'ENG_SCEN'!$G$16,IF('IN_COST'!$I$55="V",IF('IN_COST'!$E$55="SCRAP_LME",'ENG_SCEN'!$G$13,'ENG_SCEN'!$G$14),'ENG_SCEN'!$G$15))</f>
        <v/>
      </c>
      <c r="J69" s="33">
        <f>'IN_MACRO'!$J$34*IF('IN_COST'!$E$55="SCRAP_LME",'ENG_OPS'!$J$20*'IN_COST'!$F$55*'ENG_SCEN'!$J$37,IF('IN_COST'!$E$55="PER_TON_BATT",'ENG_OPS'!$J$20*'IN_COST'!$F$55*IF('IN_COST'!$G$55="FX",'ENG_SCEN'!$J$36,IF('IN_COST'!$G$55="PPI",'ENG_SCEN'!$J$35,IF('IN_COST'!$G$55="ENERGY",'ENG_SCEN'!$J$34,IF('IN_COST'!$G$55="WAGE",'ENG_SCEN'!$J$33,IF('IN_COST'!$G$55="CPI",'ENG_SCEN'!$J$32,1))))),IF('IN_COST'!$E$55="PER_TON_PROD",'ENG_OPS'!$J$43*'IN_COST'!$F$55*IF('IN_COST'!$G$55="FX",'ENG_SCEN'!$J$36,IF('IN_COST'!$G$55="PPI",'ENG_SCEN'!$J$35,IF('IN_COST'!$G$55="ENERGY",'ENG_SCEN'!$J$34,IF('IN_COST'!$G$55="WAGE",'ENG_SCEN'!$J$33,IF('IN_COST'!$G$55="CPI",'ENG_SCEN'!$J$32,1))))),IF('IN_COST'!$E$55="PER_KWH",'ENG_OPS'!$J$63*'IN_COST'!$F$55*IF('IN_COST'!$G$55="FX",'ENG_SCEN'!$J$36,IF('IN_COST'!$G$55="PPI",'ENG_SCEN'!$J$35,IF('IN_COST'!$G$55="ENERGY",'ENG_SCEN'!$J$34,IF('IN_COST'!$G$55="WAGE",'ENG_SCEN'!$J$33,IF('IN_COST'!$G$55="CPI",'ENG_SCEN'!$J$32,1))))),IF('IN_COST'!$E$55="PER_M3",'ENG_OPS'!$J$64*'IN_COST'!$F$55*IF('IN_COST'!$G$55="FX",'ENG_SCEN'!$J$36,IF('IN_COST'!$G$55="PPI",'ENG_SCEN'!$J$35,IF('IN_COST'!$G$55="ENERGY",'ENG_SCEN'!$J$34,IF('IN_COST'!$G$55="WAGE",'ENG_SCEN'!$J$33,IF('IN_COST'!$G$55="CPI",'ENG_SCEN'!$J$32,1))))),IF('IN_COST'!$E$55="ANNUAL",'IN_COST'!$F$55*IF('IN_COST'!$G$55="FX",'ENG_SCEN'!$J$36,IF('IN_COST'!$G$55="PPI",'ENG_SCEN'!$J$35,IF('IN_COST'!$G$55="ENERGY",'ENG_SCEN'!$J$34,IF('IN_COST'!$G$55="WAGE",'ENG_SCEN'!$J$33,IF('IN_COST'!$G$55="CPI",'ENG_SCEN'!$J$32,1))))),IF('IN_COST'!$E$55="PCT_REV",'ENG_OPS'!$J$81*'IN_COST'!$F$55,IF('IN_COST'!$E$55="PCT_ASSET",'ENG_CAPEX'!$J$84*'IN_COST'!$F$55,IF('IN_COST'!$E$55="DEP",'ENG_CAPEX'!$J$81,IF('IN_COST'!$E$55="PAY",INDEX('IN_COST'!$D$15:$D$19,IFERROR(VALUE(MID('IN_COST'!$F$55,FIND(":",'IN_COST'!$F$55)+1,2)),1))*INDEX('IN_COST'!$E$15:$E$19,IFERROR(VALUE(MID('IN_COST'!$F$55,FIND(":",'IN_COST'!$F$55)+1,2)),1))*'IN_COST'!$D$10*'IN_COST'!$D$11*'ENG_SCEN'!$J$33,IF('IN_COST'!$E$55="SRV",SUM(INDEX('ENG_ALLOC'!$D$29:$P$58,(IFERROR(VALUE(MID('IN_COST'!$F$55,FIND(":",'IN_COST'!$F$55)+1,2)),1)-1)*6+1,7):INDEX('ENG_ALLOC'!$D$29:$P$58,IFERROR(VALUE(MID('IN_COST'!$F$55,FIND(":",'IN_COST'!$F$55)+1,2)),1)*6,7)),0)))))))))))*IF('IN_COST'!$E$55="DEP",'ENG_SCEN'!$G$16,IF('IN_COST'!$I$55="V",IF('IN_COST'!$E$55="SCRAP_LME",'ENG_SCEN'!$G$13,'ENG_SCEN'!$G$14),'ENG_SCEN'!$G$15))</f>
        <v/>
      </c>
      <c r="K69" s="33">
        <f>'IN_MACRO'!$K$34*IF('IN_COST'!$E$55="SCRAP_LME",'ENG_OPS'!$K$20*'IN_COST'!$F$55*'ENG_SCEN'!$K$37,IF('IN_COST'!$E$55="PER_TON_BATT",'ENG_OPS'!$K$20*'IN_COST'!$F$55*IF('IN_COST'!$G$55="FX",'ENG_SCEN'!$K$36,IF('IN_COST'!$G$55="PPI",'ENG_SCEN'!$K$35,IF('IN_COST'!$G$55="ENERGY",'ENG_SCEN'!$K$34,IF('IN_COST'!$G$55="WAGE",'ENG_SCEN'!$K$33,IF('IN_COST'!$G$55="CPI",'ENG_SCEN'!$K$32,1))))),IF('IN_COST'!$E$55="PER_TON_PROD",'ENG_OPS'!$K$43*'IN_COST'!$F$55*IF('IN_COST'!$G$55="FX",'ENG_SCEN'!$K$36,IF('IN_COST'!$G$55="PPI",'ENG_SCEN'!$K$35,IF('IN_COST'!$G$55="ENERGY",'ENG_SCEN'!$K$34,IF('IN_COST'!$G$55="WAGE",'ENG_SCEN'!$K$33,IF('IN_COST'!$G$55="CPI",'ENG_SCEN'!$K$32,1))))),IF('IN_COST'!$E$55="PER_KWH",'ENG_OPS'!$K$63*'IN_COST'!$F$55*IF('IN_COST'!$G$55="FX",'ENG_SCEN'!$K$36,IF('IN_COST'!$G$55="PPI",'ENG_SCEN'!$K$35,IF('IN_COST'!$G$55="ENERGY",'ENG_SCEN'!$K$34,IF('IN_COST'!$G$55="WAGE",'ENG_SCEN'!$K$33,IF('IN_COST'!$G$55="CPI",'ENG_SCEN'!$K$32,1))))),IF('IN_COST'!$E$55="PER_M3",'ENG_OPS'!$K$64*'IN_COST'!$F$55*IF('IN_COST'!$G$55="FX",'ENG_SCEN'!$K$36,IF('IN_COST'!$G$55="PPI",'ENG_SCEN'!$K$35,IF('IN_COST'!$G$55="ENERGY",'ENG_SCEN'!$K$34,IF('IN_COST'!$G$55="WAGE",'ENG_SCEN'!$K$33,IF('IN_COST'!$G$55="CPI",'ENG_SCEN'!$K$32,1))))),IF('IN_COST'!$E$55="ANNUAL",'IN_COST'!$F$55*IF('IN_COST'!$G$55="FX",'ENG_SCEN'!$K$36,IF('IN_COST'!$G$55="PPI",'ENG_SCEN'!$K$35,IF('IN_COST'!$G$55="ENERGY",'ENG_SCEN'!$K$34,IF('IN_COST'!$G$55="WAGE",'ENG_SCEN'!$K$33,IF('IN_COST'!$G$55="CPI",'ENG_SCEN'!$K$32,1))))),IF('IN_COST'!$E$55="PCT_REV",'ENG_OPS'!$K$81*'IN_COST'!$F$55,IF('IN_COST'!$E$55="PCT_ASSET",'ENG_CAPEX'!$K$84*'IN_COST'!$F$55,IF('IN_COST'!$E$55="DEP",'ENG_CAPEX'!$K$81,IF('IN_COST'!$E$55="PAY",INDEX('IN_COST'!$D$15:$D$19,IFERROR(VALUE(MID('IN_COST'!$F$55,FIND(":",'IN_COST'!$F$55)+1,2)),1))*INDEX('IN_COST'!$E$15:$E$19,IFERROR(VALUE(MID('IN_COST'!$F$55,FIND(":",'IN_COST'!$F$55)+1,2)),1))*'IN_COST'!$D$10*'IN_COST'!$D$11*'ENG_SCEN'!$K$33,IF('IN_COST'!$E$55="SRV",SUM(INDEX('ENG_ALLOC'!$D$29:$P$58,(IFERROR(VALUE(MID('IN_COST'!$F$55,FIND(":",'IN_COST'!$F$55)+1,2)),1)-1)*6+1,8):INDEX('ENG_ALLOC'!$D$29:$P$58,IFERROR(VALUE(MID('IN_COST'!$F$55,FIND(":",'IN_COST'!$F$55)+1,2)),1)*6,8)),0)))))))))))*IF('IN_COST'!$E$55="DEP",'ENG_SCEN'!$G$16,IF('IN_COST'!$I$55="V",IF('IN_COST'!$E$55="SCRAP_LME",'ENG_SCEN'!$G$13,'ENG_SCEN'!$G$14),'ENG_SCEN'!$G$15))</f>
        <v/>
      </c>
      <c r="L69" s="33">
        <f>'IN_MACRO'!$L$34*IF('IN_COST'!$E$55="SCRAP_LME",'ENG_OPS'!$L$20*'IN_COST'!$F$55*'ENG_SCEN'!$L$37,IF('IN_COST'!$E$55="PER_TON_BATT",'ENG_OPS'!$L$20*'IN_COST'!$F$55*IF('IN_COST'!$G$55="FX",'ENG_SCEN'!$L$36,IF('IN_COST'!$G$55="PPI",'ENG_SCEN'!$L$35,IF('IN_COST'!$G$55="ENERGY",'ENG_SCEN'!$L$34,IF('IN_COST'!$G$55="WAGE",'ENG_SCEN'!$L$33,IF('IN_COST'!$G$55="CPI",'ENG_SCEN'!$L$32,1))))),IF('IN_COST'!$E$55="PER_TON_PROD",'ENG_OPS'!$L$43*'IN_COST'!$F$55*IF('IN_COST'!$G$55="FX",'ENG_SCEN'!$L$36,IF('IN_COST'!$G$55="PPI",'ENG_SCEN'!$L$35,IF('IN_COST'!$G$55="ENERGY",'ENG_SCEN'!$L$34,IF('IN_COST'!$G$55="WAGE",'ENG_SCEN'!$L$33,IF('IN_COST'!$G$55="CPI",'ENG_SCEN'!$L$32,1))))),IF('IN_COST'!$E$55="PER_KWH",'ENG_OPS'!$L$63*'IN_COST'!$F$55*IF('IN_COST'!$G$55="FX",'ENG_SCEN'!$L$36,IF('IN_COST'!$G$55="PPI",'ENG_SCEN'!$L$35,IF('IN_COST'!$G$55="ENERGY",'ENG_SCEN'!$L$34,IF('IN_COST'!$G$55="WAGE",'ENG_SCEN'!$L$33,IF('IN_COST'!$G$55="CPI",'ENG_SCEN'!$L$32,1))))),IF('IN_COST'!$E$55="PER_M3",'ENG_OPS'!$L$64*'IN_COST'!$F$55*IF('IN_COST'!$G$55="FX",'ENG_SCEN'!$L$36,IF('IN_COST'!$G$55="PPI",'ENG_SCEN'!$L$35,IF('IN_COST'!$G$55="ENERGY",'ENG_SCEN'!$L$34,IF('IN_COST'!$G$55="WAGE",'ENG_SCEN'!$L$33,IF('IN_COST'!$G$55="CPI",'ENG_SCEN'!$L$32,1))))),IF('IN_COST'!$E$55="ANNUAL",'IN_COST'!$F$55*IF('IN_COST'!$G$55="FX",'ENG_SCEN'!$L$36,IF('IN_COST'!$G$55="PPI",'ENG_SCEN'!$L$35,IF('IN_COST'!$G$55="ENERGY",'ENG_SCEN'!$L$34,IF('IN_COST'!$G$55="WAGE",'ENG_SCEN'!$L$33,IF('IN_COST'!$G$55="CPI",'ENG_SCEN'!$L$32,1))))),IF('IN_COST'!$E$55="PCT_REV",'ENG_OPS'!$L$81*'IN_COST'!$F$55,IF('IN_COST'!$E$55="PCT_ASSET",'ENG_CAPEX'!$L$84*'IN_COST'!$F$55,IF('IN_COST'!$E$55="DEP",'ENG_CAPEX'!$L$81,IF('IN_COST'!$E$55="PAY",INDEX('IN_COST'!$D$15:$D$19,IFERROR(VALUE(MID('IN_COST'!$F$55,FIND(":",'IN_COST'!$F$55)+1,2)),1))*INDEX('IN_COST'!$E$15:$E$19,IFERROR(VALUE(MID('IN_COST'!$F$55,FIND(":",'IN_COST'!$F$55)+1,2)),1))*'IN_COST'!$D$10*'IN_COST'!$D$11*'ENG_SCEN'!$L$33,IF('IN_COST'!$E$55="SRV",SUM(INDEX('ENG_ALLOC'!$D$29:$P$58,(IFERROR(VALUE(MID('IN_COST'!$F$55,FIND(":",'IN_COST'!$F$55)+1,2)),1)-1)*6+1,9):INDEX('ENG_ALLOC'!$D$29:$P$58,IFERROR(VALUE(MID('IN_COST'!$F$55,FIND(":",'IN_COST'!$F$55)+1,2)),1)*6,9)),0)))))))))))*IF('IN_COST'!$E$55="DEP",'ENG_SCEN'!$G$16,IF('IN_COST'!$I$55="V",IF('IN_COST'!$E$55="SCRAP_LME",'ENG_SCEN'!$G$13,'ENG_SCEN'!$G$14),'ENG_SCEN'!$G$15))</f>
        <v/>
      </c>
      <c r="M69" s="33">
        <f>'IN_MACRO'!$M$34*IF('IN_COST'!$E$55="SCRAP_LME",'ENG_OPS'!$M$20*'IN_COST'!$F$55*'ENG_SCEN'!$M$37,IF('IN_COST'!$E$55="PER_TON_BATT",'ENG_OPS'!$M$20*'IN_COST'!$F$55*IF('IN_COST'!$G$55="FX",'ENG_SCEN'!$M$36,IF('IN_COST'!$G$55="PPI",'ENG_SCEN'!$M$35,IF('IN_COST'!$G$55="ENERGY",'ENG_SCEN'!$M$34,IF('IN_COST'!$G$55="WAGE",'ENG_SCEN'!$M$33,IF('IN_COST'!$G$55="CPI",'ENG_SCEN'!$M$32,1))))),IF('IN_COST'!$E$55="PER_TON_PROD",'ENG_OPS'!$M$43*'IN_COST'!$F$55*IF('IN_COST'!$G$55="FX",'ENG_SCEN'!$M$36,IF('IN_COST'!$G$55="PPI",'ENG_SCEN'!$M$35,IF('IN_COST'!$G$55="ENERGY",'ENG_SCEN'!$M$34,IF('IN_COST'!$G$55="WAGE",'ENG_SCEN'!$M$33,IF('IN_COST'!$G$55="CPI",'ENG_SCEN'!$M$32,1))))),IF('IN_COST'!$E$55="PER_KWH",'ENG_OPS'!$M$63*'IN_COST'!$F$55*IF('IN_COST'!$G$55="FX",'ENG_SCEN'!$M$36,IF('IN_COST'!$G$55="PPI",'ENG_SCEN'!$M$35,IF('IN_COST'!$G$55="ENERGY",'ENG_SCEN'!$M$34,IF('IN_COST'!$G$55="WAGE",'ENG_SCEN'!$M$33,IF('IN_COST'!$G$55="CPI",'ENG_SCEN'!$M$32,1))))),IF('IN_COST'!$E$55="PER_M3",'ENG_OPS'!$M$64*'IN_COST'!$F$55*IF('IN_COST'!$G$55="FX",'ENG_SCEN'!$M$36,IF('IN_COST'!$G$55="PPI",'ENG_SCEN'!$M$35,IF('IN_COST'!$G$55="ENERGY",'ENG_SCEN'!$M$34,IF('IN_COST'!$G$55="WAGE",'ENG_SCEN'!$M$33,IF('IN_COST'!$G$55="CPI",'ENG_SCEN'!$M$32,1))))),IF('IN_COST'!$E$55="ANNUAL",'IN_COST'!$F$55*IF('IN_COST'!$G$55="FX",'ENG_SCEN'!$M$36,IF('IN_COST'!$G$55="PPI",'ENG_SCEN'!$M$35,IF('IN_COST'!$G$55="ENERGY",'ENG_SCEN'!$M$34,IF('IN_COST'!$G$55="WAGE",'ENG_SCEN'!$M$33,IF('IN_COST'!$G$55="CPI",'ENG_SCEN'!$M$32,1))))),IF('IN_COST'!$E$55="PCT_REV",'ENG_OPS'!$M$81*'IN_COST'!$F$55,IF('IN_COST'!$E$55="PCT_ASSET",'ENG_CAPEX'!$M$84*'IN_COST'!$F$55,IF('IN_COST'!$E$55="DEP",'ENG_CAPEX'!$M$81,IF('IN_COST'!$E$55="PAY",INDEX('IN_COST'!$D$15:$D$19,IFERROR(VALUE(MID('IN_COST'!$F$55,FIND(":",'IN_COST'!$F$55)+1,2)),1))*INDEX('IN_COST'!$E$15:$E$19,IFERROR(VALUE(MID('IN_COST'!$F$55,FIND(":",'IN_COST'!$F$55)+1,2)),1))*'IN_COST'!$D$10*'IN_COST'!$D$11*'ENG_SCEN'!$M$33,IF('IN_COST'!$E$55="SRV",SUM(INDEX('ENG_ALLOC'!$D$29:$P$58,(IFERROR(VALUE(MID('IN_COST'!$F$55,FIND(":",'IN_COST'!$F$55)+1,2)),1)-1)*6+1,10):INDEX('ENG_ALLOC'!$D$29:$P$58,IFERROR(VALUE(MID('IN_COST'!$F$55,FIND(":",'IN_COST'!$F$55)+1,2)),1)*6,10)),0)))))))))))*IF('IN_COST'!$E$55="DEP",'ENG_SCEN'!$G$16,IF('IN_COST'!$I$55="V",IF('IN_COST'!$E$55="SCRAP_LME",'ENG_SCEN'!$G$13,'ENG_SCEN'!$G$14),'ENG_SCEN'!$G$15))</f>
        <v/>
      </c>
      <c r="N69" s="33">
        <f>'IN_MACRO'!$N$34*IF('IN_COST'!$E$55="SCRAP_LME",'ENG_OPS'!$N$20*'IN_COST'!$F$55*'ENG_SCEN'!$N$37,IF('IN_COST'!$E$55="PER_TON_BATT",'ENG_OPS'!$N$20*'IN_COST'!$F$55*IF('IN_COST'!$G$55="FX",'ENG_SCEN'!$N$36,IF('IN_COST'!$G$55="PPI",'ENG_SCEN'!$N$35,IF('IN_COST'!$G$55="ENERGY",'ENG_SCEN'!$N$34,IF('IN_COST'!$G$55="WAGE",'ENG_SCEN'!$N$33,IF('IN_COST'!$G$55="CPI",'ENG_SCEN'!$N$32,1))))),IF('IN_COST'!$E$55="PER_TON_PROD",'ENG_OPS'!$N$43*'IN_COST'!$F$55*IF('IN_COST'!$G$55="FX",'ENG_SCEN'!$N$36,IF('IN_COST'!$G$55="PPI",'ENG_SCEN'!$N$35,IF('IN_COST'!$G$55="ENERGY",'ENG_SCEN'!$N$34,IF('IN_COST'!$G$55="WAGE",'ENG_SCEN'!$N$33,IF('IN_COST'!$G$55="CPI",'ENG_SCEN'!$N$32,1))))),IF('IN_COST'!$E$55="PER_KWH",'ENG_OPS'!$N$63*'IN_COST'!$F$55*IF('IN_COST'!$G$55="FX",'ENG_SCEN'!$N$36,IF('IN_COST'!$G$55="PPI",'ENG_SCEN'!$N$35,IF('IN_COST'!$G$55="ENERGY",'ENG_SCEN'!$N$34,IF('IN_COST'!$G$55="WAGE",'ENG_SCEN'!$N$33,IF('IN_COST'!$G$55="CPI",'ENG_SCEN'!$N$32,1))))),IF('IN_COST'!$E$55="PER_M3",'ENG_OPS'!$N$64*'IN_COST'!$F$55*IF('IN_COST'!$G$55="FX",'ENG_SCEN'!$N$36,IF('IN_COST'!$G$55="PPI",'ENG_SCEN'!$N$35,IF('IN_COST'!$G$55="ENERGY",'ENG_SCEN'!$N$34,IF('IN_COST'!$G$55="WAGE",'ENG_SCEN'!$N$33,IF('IN_COST'!$G$55="CPI",'ENG_SCEN'!$N$32,1))))),IF('IN_COST'!$E$55="ANNUAL",'IN_COST'!$F$55*IF('IN_COST'!$G$55="FX",'ENG_SCEN'!$N$36,IF('IN_COST'!$G$55="PPI",'ENG_SCEN'!$N$35,IF('IN_COST'!$G$55="ENERGY",'ENG_SCEN'!$N$34,IF('IN_COST'!$G$55="WAGE",'ENG_SCEN'!$N$33,IF('IN_COST'!$G$55="CPI",'ENG_SCEN'!$N$32,1))))),IF('IN_COST'!$E$55="PCT_REV",'ENG_OPS'!$N$81*'IN_COST'!$F$55,IF('IN_COST'!$E$55="PCT_ASSET",'ENG_CAPEX'!$N$84*'IN_COST'!$F$55,IF('IN_COST'!$E$55="DEP",'ENG_CAPEX'!$N$81,IF('IN_COST'!$E$55="PAY",INDEX('IN_COST'!$D$15:$D$19,IFERROR(VALUE(MID('IN_COST'!$F$55,FIND(":",'IN_COST'!$F$55)+1,2)),1))*INDEX('IN_COST'!$E$15:$E$19,IFERROR(VALUE(MID('IN_COST'!$F$55,FIND(":",'IN_COST'!$F$55)+1,2)),1))*'IN_COST'!$D$10*'IN_COST'!$D$11*'ENG_SCEN'!$N$33,IF('IN_COST'!$E$55="SRV",SUM(INDEX('ENG_ALLOC'!$D$29:$P$58,(IFERROR(VALUE(MID('IN_COST'!$F$55,FIND(":",'IN_COST'!$F$55)+1,2)),1)-1)*6+1,11):INDEX('ENG_ALLOC'!$D$29:$P$58,IFERROR(VALUE(MID('IN_COST'!$F$55,FIND(":",'IN_COST'!$F$55)+1,2)),1)*6,11)),0)))))))))))*IF('IN_COST'!$E$55="DEP",'ENG_SCEN'!$G$16,IF('IN_COST'!$I$55="V",IF('IN_COST'!$E$55="SCRAP_LME",'ENG_SCEN'!$G$13,'ENG_SCEN'!$G$14),'ENG_SCEN'!$G$15))</f>
        <v/>
      </c>
      <c r="O69" s="33">
        <f>'IN_MACRO'!$O$34*IF('IN_COST'!$E$55="SCRAP_LME",'ENG_OPS'!$O$20*'IN_COST'!$F$55*'ENG_SCEN'!$O$37,IF('IN_COST'!$E$55="PER_TON_BATT",'ENG_OPS'!$O$20*'IN_COST'!$F$55*IF('IN_COST'!$G$55="FX",'ENG_SCEN'!$O$36,IF('IN_COST'!$G$55="PPI",'ENG_SCEN'!$O$35,IF('IN_COST'!$G$55="ENERGY",'ENG_SCEN'!$O$34,IF('IN_COST'!$G$55="WAGE",'ENG_SCEN'!$O$33,IF('IN_COST'!$G$55="CPI",'ENG_SCEN'!$O$32,1))))),IF('IN_COST'!$E$55="PER_TON_PROD",'ENG_OPS'!$O$43*'IN_COST'!$F$55*IF('IN_COST'!$G$55="FX",'ENG_SCEN'!$O$36,IF('IN_COST'!$G$55="PPI",'ENG_SCEN'!$O$35,IF('IN_COST'!$G$55="ENERGY",'ENG_SCEN'!$O$34,IF('IN_COST'!$G$55="WAGE",'ENG_SCEN'!$O$33,IF('IN_COST'!$G$55="CPI",'ENG_SCEN'!$O$32,1))))),IF('IN_COST'!$E$55="PER_KWH",'ENG_OPS'!$O$63*'IN_COST'!$F$55*IF('IN_COST'!$G$55="FX",'ENG_SCEN'!$O$36,IF('IN_COST'!$G$55="PPI",'ENG_SCEN'!$O$35,IF('IN_COST'!$G$55="ENERGY",'ENG_SCEN'!$O$34,IF('IN_COST'!$G$55="WAGE",'ENG_SCEN'!$O$33,IF('IN_COST'!$G$55="CPI",'ENG_SCEN'!$O$32,1))))),IF('IN_COST'!$E$55="PER_M3",'ENG_OPS'!$O$64*'IN_COST'!$F$55*IF('IN_COST'!$G$55="FX",'ENG_SCEN'!$O$36,IF('IN_COST'!$G$55="PPI",'ENG_SCEN'!$O$35,IF('IN_COST'!$G$55="ENERGY",'ENG_SCEN'!$O$34,IF('IN_COST'!$G$55="WAGE",'ENG_SCEN'!$O$33,IF('IN_COST'!$G$55="CPI",'ENG_SCEN'!$O$32,1))))),IF('IN_COST'!$E$55="ANNUAL",'IN_COST'!$F$55*IF('IN_COST'!$G$55="FX",'ENG_SCEN'!$O$36,IF('IN_COST'!$G$55="PPI",'ENG_SCEN'!$O$35,IF('IN_COST'!$G$55="ENERGY",'ENG_SCEN'!$O$34,IF('IN_COST'!$G$55="WAGE",'ENG_SCEN'!$O$33,IF('IN_COST'!$G$55="CPI",'ENG_SCEN'!$O$32,1))))),IF('IN_COST'!$E$55="PCT_REV",'ENG_OPS'!$O$81*'IN_COST'!$F$55,IF('IN_COST'!$E$55="PCT_ASSET",'ENG_CAPEX'!$O$84*'IN_COST'!$F$55,IF('IN_COST'!$E$55="DEP",'ENG_CAPEX'!$O$81,IF('IN_COST'!$E$55="PAY",INDEX('IN_COST'!$D$15:$D$19,IFERROR(VALUE(MID('IN_COST'!$F$55,FIND(":",'IN_COST'!$F$55)+1,2)),1))*INDEX('IN_COST'!$E$15:$E$19,IFERROR(VALUE(MID('IN_COST'!$F$55,FIND(":",'IN_COST'!$F$55)+1,2)),1))*'IN_COST'!$D$10*'IN_COST'!$D$11*'ENG_SCEN'!$O$33,IF('IN_COST'!$E$55="SRV",SUM(INDEX('ENG_ALLOC'!$D$29:$P$58,(IFERROR(VALUE(MID('IN_COST'!$F$55,FIND(":",'IN_COST'!$F$55)+1,2)),1)-1)*6+1,12):INDEX('ENG_ALLOC'!$D$29:$P$58,IFERROR(VALUE(MID('IN_COST'!$F$55,FIND(":",'IN_COST'!$F$55)+1,2)),1)*6,12)),0)))))))))))*IF('IN_COST'!$E$55="DEP",'ENG_SCEN'!$G$16,IF('IN_COST'!$I$55="V",IF('IN_COST'!$E$55="SCRAP_LME",'ENG_SCEN'!$G$13,'ENG_SCEN'!$G$14),'ENG_SCEN'!$G$15))</f>
        <v/>
      </c>
      <c r="P69" s="33">
        <f>'IN_MACRO'!$P$34*IF('IN_COST'!$E$55="SCRAP_LME",'ENG_OPS'!$P$20*'IN_COST'!$F$55*'ENG_SCEN'!$P$37,IF('IN_COST'!$E$55="PER_TON_BATT",'ENG_OPS'!$P$20*'IN_COST'!$F$55*IF('IN_COST'!$G$55="FX",'ENG_SCEN'!$P$36,IF('IN_COST'!$G$55="PPI",'ENG_SCEN'!$P$35,IF('IN_COST'!$G$55="ENERGY",'ENG_SCEN'!$P$34,IF('IN_COST'!$G$55="WAGE",'ENG_SCEN'!$P$33,IF('IN_COST'!$G$55="CPI",'ENG_SCEN'!$P$32,1))))),IF('IN_COST'!$E$55="PER_TON_PROD",'ENG_OPS'!$P$43*'IN_COST'!$F$55*IF('IN_COST'!$G$55="FX",'ENG_SCEN'!$P$36,IF('IN_COST'!$G$55="PPI",'ENG_SCEN'!$P$35,IF('IN_COST'!$G$55="ENERGY",'ENG_SCEN'!$P$34,IF('IN_COST'!$G$55="WAGE",'ENG_SCEN'!$P$33,IF('IN_COST'!$G$55="CPI",'ENG_SCEN'!$P$32,1))))),IF('IN_COST'!$E$55="PER_KWH",'ENG_OPS'!$P$63*'IN_COST'!$F$55*IF('IN_COST'!$G$55="FX",'ENG_SCEN'!$P$36,IF('IN_COST'!$G$55="PPI",'ENG_SCEN'!$P$35,IF('IN_COST'!$G$55="ENERGY",'ENG_SCEN'!$P$34,IF('IN_COST'!$G$55="WAGE",'ENG_SCEN'!$P$33,IF('IN_COST'!$G$55="CPI",'ENG_SCEN'!$P$32,1))))),IF('IN_COST'!$E$55="PER_M3",'ENG_OPS'!$P$64*'IN_COST'!$F$55*IF('IN_COST'!$G$55="FX",'ENG_SCEN'!$P$36,IF('IN_COST'!$G$55="PPI",'ENG_SCEN'!$P$35,IF('IN_COST'!$G$55="ENERGY",'ENG_SCEN'!$P$34,IF('IN_COST'!$G$55="WAGE",'ENG_SCEN'!$P$33,IF('IN_COST'!$G$55="CPI",'ENG_SCEN'!$P$32,1))))),IF('IN_COST'!$E$55="ANNUAL",'IN_COST'!$F$55*IF('IN_COST'!$G$55="FX",'ENG_SCEN'!$P$36,IF('IN_COST'!$G$55="PPI",'ENG_SCEN'!$P$35,IF('IN_COST'!$G$55="ENERGY",'ENG_SCEN'!$P$34,IF('IN_COST'!$G$55="WAGE",'ENG_SCEN'!$P$33,IF('IN_COST'!$G$55="CPI",'ENG_SCEN'!$P$32,1))))),IF('IN_COST'!$E$55="PCT_REV",'ENG_OPS'!$P$81*'IN_COST'!$F$55,IF('IN_COST'!$E$55="PCT_ASSET",'ENG_CAPEX'!$P$84*'IN_COST'!$F$55,IF('IN_COST'!$E$55="DEP",'ENG_CAPEX'!$P$81,IF('IN_COST'!$E$55="PAY",INDEX('IN_COST'!$D$15:$D$19,IFERROR(VALUE(MID('IN_COST'!$F$55,FIND(":",'IN_COST'!$F$55)+1,2)),1))*INDEX('IN_COST'!$E$15:$E$19,IFERROR(VALUE(MID('IN_COST'!$F$55,FIND(":",'IN_COST'!$F$55)+1,2)),1))*'IN_COST'!$D$10*'IN_COST'!$D$11*'ENG_SCEN'!$P$33,IF('IN_COST'!$E$55="SRV",SUM(INDEX('ENG_ALLOC'!$D$29:$P$58,(IFERROR(VALUE(MID('IN_COST'!$F$55,FIND(":",'IN_COST'!$F$55)+1,2)),1)-1)*6+1,13):INDEX('ENG_ALLOC'!$D$29:$P$58,IFERROR(VALUE(MID('IN_COST'!$F$55,FIND(":",'IN_COST'!$F$55)+1,2)),1)*6,13)),0)))))))))))*IF('IN_COST'!$E$55="DEP",'ENG_SCEN'!$G$16,IF('IN_COST'!$I$55="V",IF('IN_COST'!$E$55="SCRAP_LME",'ENG_SCEN'!$G$13,'ENG_SCEN'!$G$14),'ENG_SCEN'!$G$15))</f>
        <v/>
      </c>
    </row>
    <row r="70">
      <c r="A70" s="15" t="inlineStr">
        <is>
          <t>FPC-09 | تبلیغات و بازاریابی ثابت</t>
        </is>
      </c>
      <c r="B70" s="16" t="inlineStr">
        <is>
          <t>EC.tot.23</t>
        </is>
      </c>
      <c r="C70" s="17" t="inlineStr">
        <is>
          <t>میلیون ریال</t>
        </is>
      </c>
      <c r="D70" s="33">
        <f>'IN_MACRO'!$D$34*IF('IN_COST'!$E$56="SCRAP_LME",'ENG_OPS'!$D$20*'IN_COST'!$F$56*'ENG_SCEN'!$D$37,IF('IN_COST'!$E$56="PER_TON_BATT",'ENG_OPS'!$D$20*'IN_COST'!$F$56*IF('IN_COST'!$G$56="FX",'ENG_SCEN'!$D$36,IF('IN_COST'!$G$56="PPI",'ENG_SCEN'!$D$35,IF('IN_COST'!$G$56="ENERGY",'ENG_SCEN'!$D$34,IF('IN_COST'!$G$56="WAGE",'ENG_SCEN'!$D$33,IF('IN_COST'!$G$56="CPI",'ENG_SCEN'!$D$32,1))))),IF('IN_COST'!$E$56="PER_TON_PROD",'ENG_OPS'!$D$43*'IN_COST'!$F$56*IF('IN_COST'!$G$56="FX",'ENG_SCEN'!$D$36,IF('IN_COST'!$G$56="PPI",'ENG_SCEN'!$D$35,IF('IN_COST'!$G$56="ENERGY",'ENG_SCEN'!$D$34,IF('IN_COST'!$G$56="WAGE",'ENG_SCEN'!$D$33,IF('IN_COST'!$G$56="CPI",'ENG_SCEN'!$D$32,1))))),IF('IN_COST'!$E$56="PER_KWH",'ENG_OPS'!$D$63*'IN_COST'!$F$56*IF('IN_COST'!$G$56="FX",'ENG_SCEN'!$D$36,IF('IN_COST'!$G$56="PPI",'ENG_SCEN'!$D$35,IF('IN_COST'!$G$56="ENERGY",'ENG_SCEN'!$D$34,IF('IN_COST'!$G$56="WAGE",'ENG_SCEN'!$D$33,IF('IN_COST'!$G$56="CPI",'ENG_SCEN'!$D$32,1))))),IF('IN_COST'!$E$56="PER_M3",'ENG_OPS'!$D$64*'IN_COST'!$F$56*IF('IN_COST'!$G$56="FX",'ENG_SCEN'!$D$36,IF('IN_COST'!$G$56="PPI",'ENG_SCEN'!$D$35,IF('IN_COST'!$G$56="ENERGY",'ENG_SCEN'!$D$34,IF('IN_COST'!$G$56="WAGE",'ENG_SCEN'!$D$33,IF('IN_COST'!$G$56="CPI",'ENG_SCEN'!$D$32,1))))),IF('IN_COST'!$E$56="ANNUAL",'IN_COST'!$F$56*IF('IN_COST'!$G$56="FX",'ENG_SCEN'!$D$36,IF('IN_COST'!$G$56="PPI",'ENG_SCEN'!$D$35,IF('IN_COST'!$G$56="ENERGY",'ENG_SCEN'!$D$34,IF('IN_COST'!$G$56="WAGE",'ENG_SCEN'!$D$33,IF('IN_COST'!$G$56="CPI",'ENG_SCEN'!$D$32,1))))),IF('IN_COST'!$E$56="PCT_REV",'ENG_OPS'!$D$81*'IN_COST'!$F$56,IF('IN_COST'!$E$56="PCT_ASSET",'ENG_CAPEX'!$D$84*'IN_COST'!$F$56,IF('IN_COST'!$E$56="DEP",'ENG_CAPEX'!$D$81,IF('IN_COST'!$E$56="PAY",INDEX('IN_COST'!$D$15:$D$19,IFERROR(VALUE(MID('IN_COST'!$F$56,FIND(":",'IN_COST'!$F$56)+1,2)),1))*INDEX('IN_COST'!$E$15:$E$19,IFERROR(VALUE(MID('IN_COST'!$F$56,FIND(":",'IN_COST'!$F$56)+1,2)),1))*'IN_COST'!$D$10*'IN_COST'!$D$11*'ENG_SCEN'!$D$33,IF('IN_COST'!$E$56="SRV",SUM(INDEX('ENG_ALLOC'!$D$29:$P$58,(IFERROR(VALUE(MID('IN_COST'!$F$56,FIND(":",'IN_COST'!$F$56)+1,2)),1)-1)*6+1,1):INDEX('ENG_ALLOC'!$D$29:$P$58,IFERROR(VALUE(MID('IN_COST'!$F$56,FIND(":",'IN_COST'!$F$56)+1,2)),1)*6,1)),0)))))))))))*IF('IN_COST'!$E$56="DEP",'ENG_SCEN'!$G$16,IF('IN_COST'!$I$56="V",IF('IN_COST'!$E$56="SCRAP_LME",'ENG_SCEN'!$G$13,'ENG_SCEN'!$G$14),'ENG_SCEN'!$G$15))</f>
        <v/>
      </c>
      <c r="E70" s="33">
        <f>'IN_MACRO'!$E$34*IF('IN_COST'!$E$56="SCRAP_LME",'ENG_OPS'!$E$20*'IN_COST'!$F$56*'ENG_SCEN'!$E$37,IF('IN_COST'!$E$56="PER_TON_BATT",'ENG_OPS'!$E$20*'IN_COST'!$F$56*IF('IN_COST'!$G$56="FX",'ENG_SCEN'!$E$36,IF('IN_COST'!$G$56="PPI",'ENG_SCEN'!$E$35,IF('IN_COST'!$G$56="ENERGY",'ENG_SCEN'!$E$34,IF('IN_COST'!$G$56="WAGE",'ENG_SCEN'!$E$33,IF('IN_COST'!$G$56="CPI",'ENG_SCEN'!$E$32,1))))),IF('IN_COST'!$E$56="PER_TON_PROD",'ENG_OPS'!$E$43*'IN_COST'!$F$56*IF('IN_COST'!$G$56="FX",'ENG_SCEN'!$E$36,IF('IN_COST'!$G$56="PPI",'ENG_SCEN'!$E$35,IF('IN_COST'!$G$56="ENERGY",'ENG_SCEN'!$E$34,IF('IN_COST'!$G$56="WAGE",'ENG_SCEN'!$E$33,IF('IN_COST'!$G$56="CPI",'ENG_SCEN'!$E$32,1))))),IF('IN_COST'!$E$56="PER_KWH",'ENG_OPS'!$E$63*'IN_COST'!$F$56*IF('IN_COST'!$G$56="FX",'ENG_SCEN'!$E$36,IF('IN_COST'!$G$56="PPI",'ENG_SCEN'!$E$35,IF('IN_COST'!$G$56="ENERGY",'ENG_SCEN'!$E$34,IF('IN_COST'!$G$56="WAGE",'ENG_SCEN'!$E$33,IF('IN_COST'!$G$56="CPI",'ENG_SCEN'!$E$32,1))))),IF('IN_COST'!$E$56="PER_M3",'ENG_OPS'!$E$64*'IN_COST'!$F$56*IF('IN_COST'!$G$56="FX",'ENG_SCEN'!$E$36,IF('IN_COST'!$G$56="PPI",'ENG_SCEN'!$E$35,IF('IN_COST'!$G$56="ENERGY",'ENG_SCEN'!$E$34,IF('IN_COST'!$G$56="WAGE",'ENG_SCEN'!$E$33,IF('IN_COST'!$G$56="CPI",'ENG_SCEN'!$E$32,1))))),IF('IN_COST'!$E$56="ANNUAL",'IN_COST'!$F$56*IF('IN_COST'!$G$56="FX",'ENG_SCEN'!$E$36,IF('IN_COST'!$G$56="PPI",'ENG_SCEN'!$E$35,IF('IN_COST'!$G$56="ENERGY",'ENG_SCEN'!$E$34,IF('IN_COST'!$G$56="WAGE",'ENG_SCEN'!$E$33,IF('IN_COST'!$G$56="CPI",'ENG_SCEN'!$E$32,1))))),IF('IN_COST'!$E$56="PCT_REV",'ENG_OPS'!$E$81*'IN_COST'!$F$56,IF('IN_COST'!$E$56="PCT_ASSET",'ENG_CAPEX'!$E$84*'IN_COST'!$F$56,IF('IN_COST'!$E$56="DEP",'ENG_CAPEX'!$E$81,IF('IN_COST'!$E$56="PAY",INDEX('IN_COST'!$D$15:$D$19,IFERROR(VALUE(MID('IN_COST'!$F$56,FIND(":",'IN_COST'!$F$56)+1,2)),1))*INDEX('IN_COST'!$E$15:$E$19,IFERROR(VALUE(MID('IN_COST'!$F$56,FIND(":",'IN_COST'!$F$56)+1,2)),1))*'IN_COST'!$D$10*'IN_COST'!$D$11*'ENG_SCEN'!$E$33,IF('IN_COST'!$E$56="SRV",SUM(INDEX('ENG_ALLOC'!$D$29:$P$58,(IFERROR(VALUE(MID('IN_COST'!$F$56,FIND(":",'IN_COST'!$F$56)+1,2)),1)-1)*6+1,2):INDEX('ENG_ALLOC'!$D$29:$P$58,IFERROR(VALUE(MID('IN_COST'!$F$56,FIND(":",'IN_COST'!$F$56)+1,2)),1)*6,2)),0)))))))))))*IF('IN_COST'!$E$56="DEP",'ENG_SCEN'!$G$16,IF('IN_COST'!$I$56="V",IF('IN_COST'!$E$56="SCRAP_LME",'ENG_SCEN'!$G$13,'ENG_SCEN'!$G$14),'ENG_SCEN'!$G$15))</f>
        <v/>
      </c>
      <c r="F70" s="33">
        <f>'IN_MACRO'!$F$34*IF('IN_COST'!$E$56="SCRAP_LME",'ENG_OPS'!$F$20*'IN_COST'!$F$56*'ENG_SCEN'!$F$37,IF('IN_COST'!$E$56="PER_TON_BATT",'ENG_OPS'!$F$20*'IN_COST'!$F$56*IF('IN_COST'!$G$56="FX",'ENG_SCEN'!$F$36,IF('IN_COST'!$G$56="PPI",'ENG_SCEN'!$F$35,IF('IN_COST'!$G$56="ENERGY",'ENG_SCEN'!$F$34,IF('IN_COST'!$G$56="WAGE",'ENG_SCEN'!$F$33,IF('IN_COST'!$G$56="CPI",'ENG_SCEN'!$F$32,1))))),IF('IN_COST'!$E$56="PER_TON_PROD",'ENG_OPS'!$F$43*'IN_COST'!$F$56*IF('IN_COST'!$G$56="FX",'ENG_SCEN'!$F$36,IF('IN_COST'!$G$56="PPI",'ENG_SCEN'!$F$35,IF('IN_COST'!$G$56="ENERGY",'ENG_SCEN'!$F$34,IF('IN_COST'!$G$56="WAGE",'ENG_SCEN'!$F$33,IF('IN_COST'!$G$56="CPI",'ENG_SCEN'!$F$32,1))))),IF('IN_COST'!$E$56="PER_KWH",'ENG_OPS'!$F$63*'IN_COST'!$F$56*IF('IN_COST'!$G$56="FX",'ENG_SCEN'!$F$36,IF('IN_COST'!$G$56="PPI",'ENG_SCEN'!$F$35,IF('IN_COST'!$G$56="ENERGY",'ENG_SCEN'!$F$34,IF('IN_COST'!$G$56="WAGE",'ENG_SCEN'!$F$33,IF('IN_COST'!$G$56="CPI",'ENG_SCEN'!$F$32,1))))),IF('IN_COST'!$E$56="PER_M3",'ENG_OPS'!$F$64*'IN_COST'!$F$56*IF('IN_COST'!$G$56="FX",'ENG_SCEN'!$F$36,IF('IN_COST'!$G$56="PPI",'ENG_SCEN'!$F$35,IF('IN_COST'!$G$56="ENERGY",'ENG_SCEN'!$F$34,IF('IN_COST'!$G$56="WAGE",'ENG_SCEN'!$F$33,IF('IN_COST'!$G$56="CPI",'ENG_SCEN'!$F$32,1))))),IF('IN_COST'!$E$56="ANNUAL",'IN_COST'!$F$56*IF('IN_COST'!$G$56="FX",'ENG_SCEN'!$F$36,IF('IN_COST'!$G$56="PPI",'ENG_SCEN'!$F$35,IF('IN_COST'!$G$56="ENERGY",'ENG_SCEN'!$F$34,IF('IN_COST'!$G$56="WAGE",'ENG_SCEN'!$F$33,IF('IN_COST'!$G$56="CPI",'ENG_SCEN'!$F$32,1))))),IF('IN_COST'!$E$56="PCT_REV",'ENG_OPS'!$F$81*'IN_COST'!$F$56,IF('IN_COST'!$E$56="PCT_ASSET",'ENG_CAPEX'!$F$84*'IN_COST'!$F$56,IF('IN_COST'!$E$56="DEP",'ENG_CAPEX'!$F$81,IF('IN_COST'!$E$56="PAY",INDEX('IN_COST'!$D$15:$D$19,IFERROR(VALUE(MID('IN_COST'!$F$56,FIND(":",'IN_COST'!$F$56)+1,2)),1))*INDEX('IN_COST'!$E$15:$E$19,IFERROR(VALUE(MID('IN_COST'!$F$56,FIND(":",'IN_COST'!$F$56)+1,2)),1))*'IN_COST'!$D$10*'IN_COST'!$D$11*'ENG_SCEN'!$F$33,IF('IN_COST'!$E$56="SRV",SUM(INDEX('ENG_ALLOC'!$D$29:$P$58,(IFERROR(VALUE(MID('IN_COST'!$F$56,FIND(":",'IN_COST'!$F$56)+1,2)),1)-1)*6+1,3):INDEX('ENG_ALLOC'!$D$29:$P$58,IFERROR(VALUE(MID('IN_COST'!$F$56,FIND(":",'IN_COST'!$F$56)+1,2)),1)*6,3)),0)))))))))))*IF('IN_COST'!$E$56="DEP",'ENG_SCEN'!$G$16,IF('IN_COST'!$I$56="V",IF('IN_COST'!$E$56="SCRAP_LME",'ENG_SCEN'!$G$13,'ENG_SCEN'!$G$14),'ENG_SCEN'!$G$15))</f>
        <v/>
      </c>
      <c r="G70" s="33">
        <f>'IN_MACRO'!$G$34*IF('IN_COST'!$E$56="SCRAP_LME",'ENG_OPS'!$G$20*'IN_COST'!$F$56*'ENG_SCEN'!$G$37,IF('IN_COST'!$E$56="PER_TON_BATT",'ENG_OPS'!$G$20*'IN_COST'!$F$56*IF('IN_COST'!$G$56="FX",'ENG_SCEN'!$G$36,IF('IN_COST'!$G$56="PPI",'ENG_SCEN'!$G$35,IF('IN_COST'!$G$56="ENERGY",'ENG_SCEN'!$G$34,IF('IN_COST'!$G$56="WAGE",'ENG_SCEN'!$G$33,IF('IN_COST'!$G$56="CPI",'ENG_SCEN'!$G$32,1))))),IF('IN_COST'!$E$56="PER_TON_PROD",'ENG_OPS'!$G$43*'IN_COST'!$F$56*IF('IN_COST'!$G$56="FX",'ENG_SCEN'!$G$36,IF('IN_COST'!$G$56="PPI",'ENG_SCEN'!$G$35,IF('IN_COST'!$G$56="ENERGY",'ENG_SCEN'!$G$34,IF('IN_COST'!$G$56="WAGE",'ENG_SCEN'!$G$33,IF('IN_COST'!$G$56="CPI",'ENG_SCEN'!$G$32,1))))),IF('IN_COST'!$E$56="PER_KWH",'ENG_OPS'!$G$63*'IN_COST'!$F$56*IF('IN_COST'!$G$56="FX",'ENG_SCEN'!$G$36,IF('IN_COST'!$G$56="PPI",'ENG_SCEN'!$G$35,IF('IN_COST'!$G$56="ENERGY",'ENG_SCEN'!$G$34,IF('IN_COST'!$G$56="WAGE",'ENG_SCEN'!$G$33,IF('IN_COST'!$G$56="CPI",'ENG_SCEN'!$G$32,1))))),IF('IN_COST'!$E$56="PER_M3",'ENG_OPS'!$G$64*'IN_COST'!$F$56*IF('IN_COST'!$G$56="FX",'ENG_SCEN'!$G$36,IF('IN_COST'!$G$56="PPI",'ENG_SCEN'!$G$35,IF('IN_COST'!$G$56="ENERGY",'ENG_SCEN'!$G$34,IF('IN_COST'!$G$56="WAGE",'ENG_SCEN'!$G$33,IF('IN_COST'!$G$56="CPI",'ENG_SCEN'!$G$32,1))))),IF('IN_COST'!$E$56="ANNUAL",'IN_COST'!$F$56*IF('IN_COST'!$G$56="FX",'ENG_SCEN'!$G$36,IF('IN_COST'!$G$56="PPI",'ENG_SCEN'!$G$35,IF('IN_COST'!$G$56="ENERGY",'ENG_SCEN'!$G$34,IF('IN_COST'!$G$56="WAGE",'ENG_SCEN'!$G$33,IF('IN_COST'!$G$56="CPI",'ENG_SCEN'!$G$32,1))))),IF('IN_COST'!$E$56="PCT_REV",'ENG_OPS'!$G$81*'IN_COST'!$F$56,IF('IN_COST'!$E$56="PCT_ASSET",'ENG_CAPEX'!$G$84*'IN_COST'!$F$56,IF('IN_COST'!$E$56="DEP",'ENG_CAPEX'!$G$81,IF('IN_COST'!$E$56="PAY",INDEX('IN_COST'!$D$15:$D$19,IFERROR(VALUE(MID('IN_COST'!$F$56,FIND(":",'IN_COST'!$F$56)+1,2)),1))*INDEX('IN_COST'!$E$15:$E$19,IFERROR(VALUE(MID('IN_COST'!$F$56,FIND(":",'IN_COST'!$F$56)+1,2)),1))*'IN_COST'!$D$10*'IN_COST'!$D$11*'ENG_SCEN'!$G$33,IF('IN_COST'!$E$56="SRV",SUM(INDEX('ENG_ALLOC'!$D$29:$P$58,(IFERROR(VALUE(MID('IN_COST'!$F$56,FIND(":",'IN_COST'!$F$56)+1,2)),1)-1)*6+1,4):INDEX('ENG_ALLOC'!$D$29:$P$58,IFERROR(VALUE(MID('IN_COST'!$F$56,FIND(":",'IN_COST'!$F$56)+1,2)),1)*6,4)),0)))))))))))*IF('IN_COST'!$E$56="DEP",'ENG_SCEN'!$G$16,IF('IN_COST'!$I$56="V",IF('IN_COST'!$E$56="SCRAP_LME",'ENG_SCEN'!$G$13,'ENG_SCEN'!$G$14),'ENG_SCEN'!$G$15))</f>
        <v/>
      </c>
      <c r="H70" s="33">
        <f>'IN_MACRO'!$H$34*IF('IN_COST'!$E$56="SCRAP_LME",'ENG_OPS'!$H$20*'IN_COST'!$F$56*'ENG_SCEN'!$H$37,IF('IN_COST'!$E$56="PER_TON_BATT",'ENG_OPS'!$H$20*'IN_COST'!$F$56*IF('IN_COST'!$G$56="FX",'ENG_SCEN'!$H$36,IF('IN_COST'!$G$56="PPI",'ENG_SCEN'!$H$35,IF('IN_COST'!$G$56="ENERGY",'ENG_SCEN'!$H$34,IF('IN_COST'!$G$56="WAGE",'ENG_SCEN'!$H$33,IF('IN_COST'!$G$56="CPI",'ENG_SCEN'!$H$32,1))))),IF('IN_COST'!$E$56="PER_TON_PROD",'ENG_OPS'!$H$43*'IN_COST'!$F$56*IF('IN_COST'!$G$56="FX",'ENG_SCEN'!$H$36,IF('IN_COST'!$G$56="PPI",'ENG_SCEN'!$H$35,IF('IN_COST'!$G$56="ENERGY",'ENG_SCEN'!$H$34,IF('IN_COST'!$G$56="WAGE",'ENG_SCEN'!$H$33,IF('IN_COST'!$G$56="CPI",'ENG_SCEN'!$H$32,1))))),IF('IN_COST'!$E$56="PER_KWH",'ENG_OPS'!$H$63*'IN_COST'!$F$56*IF('IN_COST'!$G$56="FX",'ENG_SCEN'!$H$36,IF('IN_COST'!$G$56="PPI",'ENG_SCEN'!$H$35,IF('IN_COST'!$G$56="ENERGY",'ENG_SCEN'!$H$34,IF('IN_COST'!$G$56="WAGE",'ENG_SCEN'!$H$33,IF('IN_COST'!$G$56="CPI",'ENG_SCEN'!$H$32,1))))),IF('IN_COST'!$E$56="PER_M3",'ENG_OPS'!$H$64*'IN_COST'!$F$56*IF('IN_COST'!$G$56="FX",'ENG_SCEN'!$H$36,IF('IN_COST'!$G$56="PPI",'ENG_SCEN'!$H$35,IF('IN_COST'!$G$56="ENERGY",'ENG_SCEN'!$H$34,IF('IN_COST'!$G$56="WAGE",'ENG_SCEN'!$H$33,IF('IN_COST'!$G$56="CPI",'ENG_SCEN'!$H$32,1))))),IF('IN_COST'!$E$56="ANNUAL",'IN_COST'!$F$56*IF('IN_COST'!$G$56="FX",'ENG_SCEN'!$H$36,IF('IN_COST'!$G$56="PPI",'ENG_SCEN'!$H$35,IF('IN_COST'!$G$56="ENERGY",'ENG_SCEN'!$H$34,IF('IN_COST'!$G$56="WAGE",'ENG_SCEN'!$H$33,IF('IN_COST'!$G$56="CPI",'ENG_SCEN'!$H$32,1))))),IF('IN_COST'!$E$56="PCT_REV",'ENG_OPS'!$H$81*'IN_COST'!$F$56,IF('IN_COST'!$E$56="PCT_ASSET",'ENG_CAPEX'!$H$84*'IN_COST'!$F$56,IF('IN_COST'!$E$56="DEP",'ENG_CAPEX'!$H$81,IF('IN_COST'!$E$56="PAY",INDEX('IN_COST'!$D$15:$D$19,IFERROR(VALUE(MID('IN_COST'!$F$56,FIND(":",'IN_COST'!$F$56)+1,2)),1))*INDEX('IN_COST'!$E$15:$E$19,IFERROR(VALUE(MID('IN_COST'!$F$56,FIND(":",'IN_COST'!$F$56)+1,2)),1))*'IN_COST'!$D$10*'IN_COST'!$D$11*'ENG_SCEN'!$H$33,IF('IN_COST'!$E$56="SRV",SUM(INDEX('ENG_ALLOC'!$D$29:$P$58,(IFERROR(VALUE(MID('IN_COST'!$F$56,FIND(":",'IN_COST'!$F$56)+1,2)),1)-1)*6+1,5):INDEX('ENG_ALLOC'!$D$29:$P$58,IFERROR(VALUE(MID('IN_COST'!$F$56,FIND(":",'IN_COST'!$F$56)+1,2)),1)*6,5)),0)))))))))))*IF('IN_COST'!$E$56="DEP",'ENG_SCEN'!$G$16,IF('IN_COST'!$I$56="V",IF('IN_COST'!$E$56="SCRAP_LME",'ENG_SCEN'!$G$13,'ENG_SCEN'!$G$14),'ENG_SCEN'!$G$15))</f>
        <v/>
      </c>
      <c r="I70" s="33">
        <f>'IN_MACRO'!$I$34*IF('IN_COST'!$E$56="SCRAP_LME",'ENG_OPS'!$I$20*'IN_COST'!$F$56*'ENG_SCEN'!$I$37,IF('IN_COST'!$E$56="PER_TON_BATT",'ENG_OPS'!$I$20*'IN_COST'!$F$56*IF('IN_COST'!$G$56="FX",'ENG_SCEN'!$I$36,IF('IN_COST'!$G$56="PPI",'ENG_SCEN'!$I$35,IF('IN_COST'!$G$56="ENERGY",'ENG_SCEN'!$I$34,IF('IN_COST'!$G$56="WAGE",'ENG_SCEN'!$I$33,IF('IN_COST'!$G$56="CPI",'ENG_SCEN'!$I$32,1))))),IF('IN_COST'!$E$56="PER_TON_PROD",'ENG_OPS'!$I$43*'IN_COST'!$F$56*IF('IN_COST'!$G$56="FX",'ENG_SCEN'!$I$36,IF('IN_COST'!$G$56="PPI",'ENG_SCEN'!$I$35,IF('IN_COST'!$G$56="ENERGY",'ENG_SCEN'!$I$34,IF('IN_COST'!$G$56="WAGE",'ENG_SCEN'!$I$33,IF('IN_COST'!$G$56="CPI",'ENG_SCEN'!$I$32,1))))),IF('IN_COST'!$E$56="PER_KWH",'ENG_OPS'!$I$63*'IN_COST'!$F$56*IF('IN_COST'!$G$56="FX",'ENG_SCEN'!$I$36,IF('IN_COST'!$G$56="PPI",'ENG_SCEN'!$I$35,IF('IN_COST'!$G$56="ENERGY",'ENG_SCEN'!$I$34,IF('IN_COST'!$G$56="WAGE",'ENG_SCEN'!$I$33,IF('IN_COST'!$G$56="CPI",'ENG_SCEN'!$I$32,1))))),IF('IN_COST'!$E$56="PER_M3",'ENG_OPS'!$I$64*'IN_COST'!$F$56*IF('IN_COST'!$G$56="FX",'ENG_SCEN'!$I$36,IF('IN_COST'!$G$56="PPI",'ENG_SCEN'!$I$35,IF('IN_COST'!$G$56="ENERGY",'ENG_SCEN'!$I$34,IF('IN_COST'!$G$56="WAGE",'ENG_SCEN'!$I$33,IF('IN_COST'!$G$56="CPI",'ENG_SCEN'!$I$32,1))))),IF('IN_COST'!$E$56="ANNUAL",'IN_COST'!$F$56*IF('IN_COST'!$G$56="FX",'ENG_SCEN'!$I$36,IF('IN_COST'!$G$56="PPI",'ENG_SCEN'!$I$35,IF('IN_COST'!$G$56="ENERGY",'ENG_SCEN'!$I$34,IF('IN_COST'!$G$56="WAGE",'ENG_SCEN'!$I$33,IF('IN_COST'!$G$56="CPI",'ENG_SCEN'!$I$32,1))))),IF('IN_COST'!$E$56="PCT_REV",'ENG_OPS'!$I$81*'IN_COST'!$F$56,IF('IN_COST'!$E$56="PCT_ASSET",'ENG_CAPEX'!$I$84*'IN_COST'!$F$56,IF('IN_COST'!$E$56="DEP",'ENG_CAPEX'!$I$81,IF('IN_COST'!$E$56="PAY",INDEX('IN_COST'!$D$15:$D$19,IFERROR(VALUE(MID('IN_COST'!$F$56,FIND(":",'IN_COST'!$F$56)+1,2)),1))*INDEX('IN_COST'!$E$15:$E$19,IFERROR(VALUE(MID('IN_COST'!$F$56,FIND(":",'IN_COST'!$F$56)+1,2)),1))*'IN_COST'!$D$10*'IN_COST'!$D$11*'ENG_SCEN'!$I$33,IF('IN_COST'!$E$56="SRV",SUM(INDEX('ENG_ALLOC'!$D$29:$P$58,(IFERROR(VALUE(MID('IN_COST'!$F$56,FIND(":",'IN_COST'!$F$56)+1,2)),1)-1)*6+1,6):INDEX('ENG_ALLOC'!$D$29:$P$58,IFERROR(VALUE(MID('IN_COST'!$F$56,FIND(":",'IN_COST'!$F$56)+1,2)),1)*6,6)),0)))))))))))*IF('IN_COST'!$E$56="DEP",'ENG_SCEN'!$G$16,IF('IN_COST'!$I$56="V",IF('IN_COST'!$E$56="SCRAP_LME",'ENG_SCEN'!$G$13,'ENG_SCEN'!$G$14),'ENG_SCEN'!$G$15))</f>
        <v/>
      </c>
      <c r="J70" s="33">
        <f>'IN_MACRO'!$J$34*IF('IN_COST'!$E$56="SCRAP_LME",'ENG_OPS'!$J$20*'IN_COST'!$F$56*'ENG_SCEN'!$J$37,IF('IN_COST'!$E$56="PER_TON_BATT",'ENG_OPS'!$J$20*'IN_COST'!$F$56*IF('IN_COST'!$G$56="FX",'ENG_SCEN'!$J$36,IF('IN_COST'!$G$56="PPI",'ENG_SCEN'!$J$35,IF('IN_COST'!$G$56="ENERGY",'ENG_SCEN'!$J$34,IF('IN_COST'!$G$56="WAGE",'ENG_SCEN'!$J$33,IF('IN_COST'!$G$56="CPI",'ENG_SCEN'!$J$32,1))))),IF('IN_COST'!$E$56="PER_TON_PROD",'ENG_OPS'!$J$43*'IN_COST'!$F$56*IF('IN_COST'!$G$56="FX",'ENG_SCEN'!$J$36,IF('IN_COST'!$G$56="PPI",'ENG_SCEN'!$J$35,IF('IN_COST'!$G$56="ENERGY",'ENG_SCEN'!$J$34,IF('IN_COST'!$G$56="WAGE",'ENG_SCEN'!$J$33,IF('IN_COST'!$G$56="CPI",'ENG_SCEN'!$J$32,1))))),IF('IN_COST'!$E$56="PER_KWH",'ENG_OPS'!$J$63*'IN_COST'!$F$56*IF('IN_COST'!$G$56="FX",'ENG_SCEN'!$J$36,IF('IN_COST'!$G$56="PPI",'ENG_SCEN'!$J$35,IF('IN_COST'!$G$56="ENERGY",'ENG_SCEN'!$J$34,IF('IN_COST'!$G$56="WAGE",'ENG_SCEN'!$J$33,IF('IN_COST'!$G$56="CPI",'ENG_SCEN'!$J$32,1))))),IF('IN_COST'!$E$56="PER_M3",'ENG_OPS'!$J$64*'IN_COST'!$F$56*IF('IN_COST'!$G$56="FX",'ENG_SCEN'!$J$36,IF('IN_COST'!$G$56="PPI",'ENG_SCEN'!$J$35,IF('IN_COST'!$G$56="ENERGY",'ENG_SCEN'!$J$34,IF('IN_COST'!$G$56="WAGE",'ENG_SCEN'!$J$33,IF('IN_COST'!$G$56="CPI",'ENG_SCEN'!$J$32,1))))),IF('IN_COST'!$E$56="ANNUAL",'IN_COST'!$F$56*IF('IN_COST'!$G$56="FX",'ENG_SCEN'!$J$36,IF('IN_COST'!$G$56="PPI",'ENG_SCEN'!$J$35,IF('IN_COST'!$G$56="ENERGY",'ENG_SCEN'!$J$34,IF('IN_COST'!$G$56="WAGE",'ENG_SCEN'!$J$33,IF('IN_COST'!$G$56="CPI",'ENG_SCEN'!$J$32,1))))),IF('IN_COST'!$E$56="PCT_REV",'ENG_OPS'!$J$81*'IN_COST'!$F$56,IF('IN_COST'!$E$56="PCT_ASSET",'ENG_CAPEX'!$J$84*'IN_COST'!$F$56,IF('IN_COST'!$E$56="DEP",'ENG_CAPEX'!$J$81,IF('IN_COST'!$E$56="PAY",INDEX('IN_COST'!$D$15:$D$19,IFERROR(VALUE(MID('IN_COST'!$F$56,FIND(":",'IN_COST'!$F$56)+1,2)),1))*INDEX('IN_COST'!$E$15:$E$19,IFERROR(VALUE(MID('IN_COST'!$F$56,FIND(":",'IN_COST'!$F$56)+1,2)),1))*'IN_COST'!$D$10*'IN_COST'!$D$11*'ENG_SCEN'!$J$33,IF('IN_COST'!$E$56="SRV",SUM(INDEX('ENG_ALLOC'!$D$29:$P$58,(IFERROR(VALUE(MID('IN_COST'!$F$56,FIND(":",'IN_COST'!$F$56)+1,2)),1)-1)*6+1,7):INDEX('ENG_ALLOC'!$D$29:$P$58,IFERROR(VALUE(MID('IN_COST'!$F$56,FIND(":",'IN_COST'!$F$56)+1,2)),1)*6,7)),0)))))))))))*IF('IN_COST'!$E$56="DEP",'ENG_SCEN'!$G$16,IF('IN_COST'!$I$56="V",IF('IN_COST'!$E$56="SCRAP_LME",'ENG_SCEN'!$G$13,'ENG_SCEN'!$G$14),'ENG_SCEN'!$G$15))</f>
        <v/>
      </c>
      <c r="K70" s="33">
        <f>'IN_MACRO'!$K$34*IF('IN_COST'!$E$56="SCRAP_LME",'ENG_OPS'!$K$20*'IN_COST'!$F$56*'ENG_SCEN'!$K$37,IF('IN_COST'!$E$56="PER_TON_BATT",'ENG_OPS'!$K$20*'IN_COST'!$F$56*IF('IN_COST'!$G$56="FX",'ENG_SCEN'!$K$36,IF('IN_COST'!$G$56="PPI",'ENG_SCEN'!$K$35,IF('IN_COST'!$G$56="ENERGY",'ENG_SCEN'!$K$34,IF('IN_COST'!$G$56="WAGE",'ENG_SCEN'!$K$33,IF('IN_COST'!$G$56="CPI",'ENG_SCEN'!$K$32,1))))),IF('IN_COST'!$E$56="PER_TON_PROD",'ENG_OPS'!$K$43*'IN_COST'!$F$56*IF('IN_COST'!$G$56="FX",'ENG_SCEN'!$K$36,IF('IN_COST'!$G$56="PPI",'ENG_SCEN'!$K$35,IF('IN_COST'!$G$56="ENERGY",'ENG_SCEN'!$K$34,IF('IN_COST'!$G$56="WAGE",'ENG_SCEN'!$K$33,IF('IN_COST'!$G$56="CPI",'ENG_SCEN'!$K$32,1))))),IF('IN_COST'!$E$56="PER_KWH",'ENG_OPS'!$K$63*'IN_COST'!$F$56*IF('IN_COST'!$G$56="FX",'ENG_SCEN'!$K$36,IF('IN_COST'!$G$56="PPI",'ENG_SCEN'!$K$35,IF('IN_COST'!$G$56="ENERGY",'ENG_SCEN'!$K$34,IF('IN_COST'!$G$56="WAGE",'ENG_SCEN'!$K$33,IF('IN_COST'!$G$56="CPI",'ENG_SCEN'!$K$32,1))))),IF('IN_COST'!$E$56="PER_M3",'ENG_OPS'!$K$64*'IN_COST'!$F$56*IF('IN_COST'!$G$56="FX",'ENG_SCEN'!$K$36,IF('IN_COST'!$G$56="PPI",'ENG_SCEN'!$K$35,IF('IN_COST'!$G$56="ENERGY",'ENG_SCEN'!$K$34,IF('IN_COST'!$G$56="WAGE",'ENG_SCEN'!$K$33,IF('IN_COST'!$G$56="CPI",'ENG_SCEN'!$K$32,1))))),IF('IN_COST'!$E$56="ANNUAL",'IN_COST'!$F$56*IF('IN_COST'!$G$56="FX",'ENG_SCEN'!$K$36,IF('IN_COST'!$G$56="PPI",'ENG_SCEN'!$K$35,IF('IN_COST'!$G$56="ENERGY",'ENG_SCEN'!$K$34,IF('IN_COST'!$G$56="WAGE",'ENG_SCEN'!$K$33,IF('IN_COST'!$G$56="CPI",'ENG_SCEN'!$K$32,1))))),IF('IN_COST'!$E$56="PCT_REV",'ENG_OPS'!$K$81*'IN_COST'!$F$56,IF('IN_COST'!$E$56="PCT_ASSET",'ENG_CAPEX'!$K$84*'IN_COST'!$F$56,IF('IN_COST'!$E$56="DEP",'ENG_CAPEX'!$K$81,IF('IN_COST'!$E$56="PAY",INDEX('IN_COST'!$D$15:$D$19,IFERROR(VALUE(MID('IN_COST'!$F$56,FIND(":",'IN_COST'!$F$56)+1,2)),1))*INDEX('IN_COST'!$E$15:$E$19,IFERROR(VALUE(MID('IN_COST'!$F$56,FIND(":",'IN_COST'!$F$56)+1,2)),1))*'IN_COST'!$D$10*'IN_COST'!$D$11*'ENG_SCEN'!$K$33,IF('IN_COST'!$E$56="SRV",SUM(INDEX('ENG_ALLOC'!$D$29:$P$58,(IFERROR(VALUE(MID('IN_COST'!$F$56,FIND(":",'IN_COST'!$F$56)+1,2)),1)-1)*6+1,8):INDEX('ENG_ALLOC'!$D$29:$P$58,IFERROR(VALUE(MID('IN_COST'!$F$56,FIND(":",'IN_COST'!$F$56)+1,2)),1)*6,8)),0)))))))))))*IF('IN_COST'!$E$56="DEP",'ENG_SCEN'!$G$16,IF('IN_COST'!$I$56="V",IF('IN_COST'!$E$56="SCRAP_LME",'ENG_SCEN'!$G$13,'ENG_SCEN'!$G$14),'ENG_SCEN'!$G$15))</f>
        <v/>
      </c>
      <c r="L70" s="33">
        <f>'IN_MACRO'!$L$34*IF('IN_COST'!$E$56="SCRAP_LME",'ENG_OPS'!$L$20*'IN_COST'!$F$56*'ENG_SCEN'!$L$37,IF('IN_COST'!$E$56="PER_TON_BATT",'ENG_OPS'!$L$20*'IN_COST'!$F$56*IF('IN_COST'!$G$56="FX",'ENG_SCEN'!$L$36,IF('IN_COST'!$G$56="PPI",'ENG_SCEN'!$L$35,IF('IN_COST'!$G$56="ENERGY",'ENG_SCEN'!$L$34,IF('IN_COST'!$G$56="WAGE",'ENG_SCEN'!$L$33,IF('IN_COST'!$G$56="CPI",'ENG_SCEN'!$L$32,1))))),IF('IN_COST'!$E$56="PER_TON_PROD",'ENG_OPS'!$L$43*'IN_COST'!$F$56*IF('IN_COST'!$G$56="FX",'ENG_SCEN'!$L$36,IF('IN_COST'!$G$56="PPI",'ENG_SCEN'!$L$35,IF('IN_COST'!$G$56="ENERGY",'ENG_SCEN'!$L$34,IF('IN_COST'!$G$56="WAGE",'ENG_SCEN'!$L$33,IF('IN_COST'!$G$56="CPI",'ENG_SCEN'!$L$32,1))))),IF('IN_COST'!$E$56="PER_KWH",'ENG_OPS'!$L$63*'IN_COST'!$F$56*IF('IN_COST'!$G$56="FX",'ENG_SCEN'!$L$36,IF('IN_COST'!$G$56="PPI",'ENG_SCEN'!$L$35,IF('IN_COST'!$G$56="ENERGY",'ENG_SCEN'!$L$34,IF('IN_COST'!$G$56="WAGE",'ENG_SCEN'!$L$33,IF('IN_COST'!$G$56="CPI",'ENG_SCEN'!$L$32,1))))),IF('IN_COST'!$E$56="PER_M3",'ENG_OPS'!$L$64*'IN_COST'!$F$56*IF('IN_COST'!$G$56="FX",'ENG_SCEN'!$L$36,IF('IN_COST'!$G$56="PPI",'ENG_SCEN'!$L$35,IF('IN_COST'!$G$56="ENERGY",'ENG_SCEN'!$L$34,IF('IN_COST'!$G$56="WAGE",'ENG_SCEN'!$L$33,IF('IN_COST'!$G$56="CPI",'ENG_SCEN'!$L$32,1))))),IF('IN_COST'!$E$56="ANNUAL",'IN_COST'!$F$56*IF('IN_COST'!$G$56="FX",'ENG_SCEN'!$L$36,IF('IN_COST'!$G$56="PPI",'ENG_SCEN'!$L$35,IF('IN_COST'!$G$56="ENERGY",'ENG_SCEN'!$L$34,IF('IN_COST'!$G$56="WAGE",'ENG_SCEN'!$L$33,IF('IN_COST'!$G$56="CPI",'ENG_SCEN'!$L$32,1))))),IF('IN_COST'!$E$56="PCT_REV",'ENG_OPS'!$L$81*'IN_COST'!$F$56,IF('IN_COST'!$E$56="PCT_ASSET",'ENG_CAPEX'!$L$84*'IN_COST'!$F$56,IF('IN_COST'!$E$56="DEP",'ENG_CAPEX'!$L$81,IF('IN_COST'!$E$56="PAY",INDEX('IN_COST'!$D$15:$D$19,IFERROR(VALUE(MID('IN_COST'!$F$56,FIND(":",'IN_COST'!$F$56)+1,2)),1))*INDEX('IN_COST'!$E$15:$E$19,IFERROR(VALUE(MID('IN_COST'!$F$56,FIND(":",'IN_COST'!$F$56)+1,2)),1))*'IN_COST'!$D$10*'IN_COST'!$D$11*'ENG_SCEN'!$L$33,IF('IN_COST'!$E$56="SRV",SUM(INDEX('ENG_ALLOC'!$D$29:$P$58,(IFERROR(VALUE(MID('IN_COST'!$F$56,FIND(":",'IN_COST'!$F$56)+1,2)),1)-1)*6+1,9):INDEX('ENG_ALLOC'!$D$29:$P$58,IFERROR(VALUE(MID('IN_COST'!$F$56,FIND(":",'IN_COST'!$F$56)+1,2)),1)*6,9)),0)))))))))))*IF('IN_COST'!$E$56="DEP",'ENG_SCEN'!$G$16,IF('IN_COST'!$I$56="V",IF('IN_COST'!$E$56="SCRAP_LME",'ENG_SCEN'!$G$13,'ENG_SCEN'!$G$14),'ENG_SCEN'!$G$15))</f>
        <v/>
      </c>
      <c r="M70" s="33">
        <f>'IN_MACRO'!$M$34*IF('IN_COST'!$E$56="SCRAP_LME",'ENG_OPS'!$M$20*'IN_COST'!$F$56*'ENG_SCEN'!$M$37,IF('IN_COST'!$E$56="PER_TON_BATT",'ENG_OPS'!$M$20*'IN_COST'!$F$56*IF('IN_COST'!$G$56="FX",'ENG_SCEN'!$M$36,IF('IN_COST'!$G$56="PPI",'ENG_SCEN'!$M$35,IF('IN_COST'!$G$56="ENERGY",'ENG_SCEN'!$M$34,IF('IN_COST'!$G$56="WAGE",'ENG_SCEN'!$M$33,IF('IN_COST'!$G$56="CPI",'ENG_SCEN'!$M$32,1))))),IF('IN_COST'!$E$56="PER_TON_PROD",'ENG_OPS'!$M$43*'IN_COST'!$F$56*IF('IN_COST'!$G$56="FX",'ENG_SCEN'!$M$36,IF('IN_COST'!$G$56="PPI",'ENG_SCEN'!$M$35,IF('IN_COST'!$G$56="ENERGY",'ENG_SCEN'!$M$34,IF('IN_COST'!$G$56="WAGE",'ENG_SCEN'!$M$33,IF('IN_COST'!$G$56="CPI",'ENG_SCEN'!$M$32,1))))),IF('IN_COST'!$E$56="PER_KWH",'ENG_OPS'!$M$63*'IN_COST'!$F$56*IF('IN_COST'!$G$56="FX",'ENG_SCEN'!$M$36,IF('IN_COST'!$G$56="PPI",'ENG_SCEN'!$M$35,IF('IN_COST'!$G$56="ENERGY",'ENG_SCEN'!$M$34,IF('IN_COST'!$G$56="WAGE",'ENG_SCEN'!$M$33,IF('IN_COST'!$G$56="CPI",'ENG_SCEN'!$M$32,1))))),IF('IN_COST'!$E$56="PER_M3",'ENG_OPS'!$M$64*'IN_COST'!$F$56*IF('IN_COST'!$G$56="FX",'ENG_SCEN'!$M$36,IF('IN_COST'!$G$56="PPI",'ENG_SCEN'!$M$35,IF('IN_COST'!$G$56="ENERGY",'ENG_SCEN'!$M$34,IF('IN_COST'!$G$56="WAGE",'ENG_SCEN'!$M$33,IF('IN_COST'!$G$56="CPI",'ENG_SCEN'!$M$32,1))))),IF('IN_COST'!$E$56="ANNUAL",'IN_COST'!$F$56*IF('IN_COST'!$G$56="FX",'ENG_SCEN'!$M$36,IF('IN_COST'!$G$56="PPI",'ENG_SCEN'!$M$35,IF('IN_COST'!$G$56="ENERGY",'ENG_SCEN'!$M$34,IF('IN_COST'!$G$56="WAGE",'ENG_SCEN'!$M$33,IF('IN_COST'!$G$56="CPI",'ENG_SCEN'!$M$32,1))))),IF('IN_COST'!$E$56="PCT_REV",'ENG_OPS'!$M$81*'IN_COST'!$F$56,IF('IN_COST'!$E$56="PCT_ASSET",'ENG_CAPEX'!$M$84*'IN_COST'!$F$56,IF('IN_COST'!$E$56="DEP",'ENG_CAPEX'!$M$81,IF('IN_COST'!$E$56="PAY",INDEX('IN_COST'!$D$15:$D$19,IFERROR(VALUE(MID('IN_COST'!$F$56,FIND(":",'IN_COST'!$F$56)+1,2)),1))*INDEX('IN_COST'!$E$15:$E$19,IFERROR(VALUE(MID('IN_COST'!$F$56,FIND(":",'IN_COST'!$F$56)+1,2)),1))*'IN_COST'!$D$10*'IN_COST'!$D$11*'ENG_SCEN'!$M$33,IF('IN_COST'!$E$56="SRV",SUM(INDEX('ENG_ALLOC'!$D$29:$P$58,(IFERROR(VALUE(MID('IN_COST'!$F$56,FIND(":",'IN_COST'!$F$56)+1,2)),1)-1)*6+1,10):INDEX('ENG_ALLOC'!$D$29:$P$58,IFERROR(VALUE(MID('IN_COST'!$F$56,FIND(":",'IN_COST'!$F$56)+1,2)),1)*6,10)),0)))))))))))*IF('IN_COST'!$E$56="DEP",'ENG_SCEN'!$G$16,IF('IN_COST'!$I$56="V",IF('IN_COST'!$E$56="SCRAP_LME",'ENG_SCEN'!$G$13,'ENG_SCEN'!$G$14),'ENG_SCEN'!$G$15))</f>
        <v/>
      </c>
      <c r="N70" s="33">
        <f>'IN_MACRO'!$N$34*IF('IN_COST'!$E$56="SCRAP_LME",'ENG_OPS'!$N$20*'IN_COST'!$F$56*'ENG_SCEN'!$N$37,IF('IN_COST'!$E$56="PER_TON_BATT",'ENG_OPS'!$N$20*'IN_COST'!$F$56*IF('IN_COST'!$G$56="FX",'ENG_SCEN'!$N$36,IF('IN_COST'!$G$56="PPI",'ENG_SCEN'!$N$35,IF('IN_COST'!$G$56="ENERGY",'ENG_SCEN'!$N$34,IF('IN_COST'!$G$56="WAGE",'ENG_SCEN'!$N$33,IF('IN_COST'!$G$56="CPI",'ENG_SCEN'!$N$32,1))))),IF('IN_COST'!$E$56="PER_TON_PROD",'ENG_OPS'!$N$43*'IN_COST'!$F$56*IF('IN_COST'!$G$56="FX",'ENG_SCEN'!$N$36,IF('IN_COST'!$G$56="PPI",'ENG_SCEN'!$N$35,IF('IN_COST'!$G$56="ENERGY",'ENG_SCEN'!$N$34,IF('IN_COST'!$G$56="WAGE",'ENG_SCEN'!$N$33,IF('IN_COST'!$G$56="CPI",'ENG_SCEN'!$N$32,1))))),IF('IN_COST'!$E$56="PER_KWH",'ENG_OPS'!$N$63*'IN_COST'!$F$56*IF('IN_COST'!$G$56="FX",'ENG_SCEN'!$N$36,IF('IN_COST'!$G$56="PPI",'ENG_SCEN'!$N$35,IF('IN_COST'!$G$56="ENERGY",'ENG_SCEN'!$N$34,IF('IN_COST'!$G$56="WAGE",'ENG_SCEN'!$N$33,IF('IN_COST'!$G$56="CPI",'ENG_SCEN'!$N$32,1))))),IF('IN_COST'!$E$56="PER_M3",'ENG_OPS'!$N$64*'IN_COST'!$F$56*IF('IN_COST'!$G$56="FX",'ENG_SCEN'!$N$36,IF('IN_COST'!$G$56="PPI",'ENG_SCEN'!$N$35,IF('IN_COST'!$G$56="ENERGY",'ENG_SCEN'!$N$34,IF('IN_COST'!$G$56="WAGE",'ENG_SCEN'!$N$33,IF('IN_COST'!$G$56="CPI",'ENG_SCEN'!$N$32,1))))),IF('IN_COST'!$E$56="ANNUAL",'IN_COST'!$F$56*IF('IN_COST'!$G$56="FX",'ENG_SCEN'!$N$36,IF('IN_COST'!$G$56="PPI",'ENG_SCEN'!$N$35,IF('IN_COST'!$G$56="ENERGY",'ENG_SCEN'!$N$34,IF('IN_COST'!$G$56="WAGE",'ENG_SCEN'!$N$33,IF('IN_COST'!$G$56="CPI",'ENG_SCEN'!$N$32,1))))),IF('IN_COST'!$E$56="PCT_REV",'ENG_OPS'!$N$81*'IN_COST'!$F$56,IF('IN_COST'!$E$56="PCT_ASSET",'ENG_CAPEX'!$N$84*'IN_COST'!$F$56,IF('IN_COST'!$E$56="DEP",'ENG_CAPEX'!$N$81,IF('IN_COST'!$E$56="PAY",INDEX('IN_COST'!$D$15:$D$19,IFERROR(VALUE(MID('IN_COST'!$F$56,FIND(":",'IN_COST'!$F$56)+1,2)),1))*INDEX('IN_COST'!$E$15:$E$19,IFERROR(VALUE(MID('IN_COST'!$F$56,FIND(":",'IN_COST'!$F$56)+1,2)),1))*'IN_COST'!$D$10*'IN_COST'!$D$11*'ENG_SCEN'!$N$33,IF('IN_COST'!$E$56="SRV",SUM(INDEX('ENG_ALLOC'!$D$29:$P$58,(IFERROR(VALUE(MID('IN_COST'!$F$56,FIND(":",'IN_COST'!$F$56)+1,2)),1)-1)*6+1,11):INDEX('ENG_ALLOC'!$D$29:$P$58,IFERROR(VALUE(MID('IN_COST'!$F$56,FIND(":",'IN_COST'!$F$56)+1,2)),1)*6,11)),0)))))))))))*IF('IN_COST'!$E$56="DEP",'ENG_SCEN'!$G$16,IF('IN_COST'!$I$56="V",IF('IN_COST'!$E$56="SCRAP_LME",'ENG_SCEN'!$G$13,'ENG_SCEN'!$G$14),'ENG_SCEN'!$G$15))</f>
        <v/>
      </c>
      <c r="O70" s="33">
        <f>'IN_MACRO'!$O$34*IF('IN_COST'!$E$56="SCRAP_LME",'ENG_OPS'!$O$20*'IN_COST'!$F$56*'ENG_SCEN'!$O$37,IF('IN_COST'!$E$56="PER_TON_BATT",'ENG_OPS'!$O$20*'IN_COST'!$F$56*IF('IN_COST'!$G$56="FX",'ENG_SCEN'!$O$36,IF('IN_COST'!$G$56="PPI",'ENG_SCEN'!$O$35,IF('IN_COST'!$G$56="ENERGY",'ENG_SCEN'!$O$34,IF('IN_COST'!$G$56="WAGE",'ENG_SCEN'!$O$33,IF('IN_COST'!$G$56="CPI",'ENG_SCEN'!$O$32,1))))),IF('IN_COST'!$E$56="PER_TON_PROD",'ENG_OPS'!$O$43*'IN_COST'!$F$56*IF('IN_COST'!$G$56="FX",'ENG_SCEN'!$O$36,IF('IN_COST'!$G$56="PPI",'ENG_SCEN'!$O$35,IF('IN_COST'!$G$56="ENERGY",'ENG_SCEN'!$O$34,IF('IN_COST'!$G$56="WAGE",'ENG_SCEN'!$O$33,IF('IN_COST'!$G$56="CPI",'ENG_SCEN'!$O$32,1))))),IF('IN_COST'!$E$56="PER_KWH",'ENG_OPS'!$O$63*'IN_COST'!$F$56*IF('IN_COST'!$G$56="FX",'ENG_SCEN'!$O$36,IF('IN_COST'!$G$56="PPI",'ENG_SCEN'!$O$35,IF('IN_COST'!$G$56="ENERGY",'ENG_SCEN'!$O$34,IF('IN_COST'!$G$56="WAGE",'ENG_SCEN'!$O$33,IF('IN_COST'!$G$56="CPI",'ENG_SCEN'!$O$32,1))))),IF('IN_COST'!$E$56="PER_M3",'ENG_OPS'!$O$64*'IN_COST'!$F$56*IF('IN_COST'!$G$56="FX",'ENG_SCEN'!$O$36,IF('IN_COST'!$G$56="PPI",'ENG_SCEN'!$O$35,IF('IN_COST'!$G$56="ENERGY",'ENG_SCEN'!$O$34,IF('IN_COST'!$G$56="WAGE",'ENG_SCEN'!$O$33,IF('IN_COST'!$G$56="CPI",'ENG_SCEN'!$O$32,1))))),IF('IN_COST'!$E$56="ANNUAL",'IN_COST'!$F$56*IF('IN_COST'!$G$56="FX",'ENG_SCEN'!$O$36,IF('IN_COST'!$G$56="PPI",'ENG_SCEN'!$O$35,IF('IN_COST'!$G$56="ENERGY",'ENG_SCEN'!$O$34,IF('IN_COST'!$G$56="WAGE",'ENG_SCEN'!$O$33,IF('IN_COST'!$G$56="CPI",'ENG_SCEN'!$O$32,1))))),IF('IN_COST'!$E$56="PCT_REV",'ENG_OPS'!$O$81*'IN_COST'!$F$56,IF('IN_COST'!$E$56="PCT_ASSET",'ENG_CAPEX'!$O$84*'IN_COST'!$F$56,IF('IN_COST'!$E$56="DEP",'ENG_CAPEX'!$O$81,IF('IN_COST'!$E$56="PAY",INDEX('IN_COST'!$D$15:$D$19,IFERROR(VALUE(MID('IN_COST'!$F$56,FIND(":",'IN_COST'!$F$56)+1,2)),1))*INDEX('IN_COST'!$E$15:$E$19,IFERROR(VALUE(MID('IN_COST'!$F$56,FIND(":",'IN_COST'!$F$56)+1,2)),1))*'IN_COST'!$D$10*'IN_COST'!$D$11*'ENG_SCEN'!$O$33,IF('IN_COST'!$E$56="SRV",SUM(INDEX('ENG_ALLOC'!$D$29:$P$58,(IFERROR(VALUE(MID('IN_COST'!$F$56,FIND(":",'IN_COST'!$F$56)+1,2)),1)-1)*6+1,12):INDEX('ENG_ALLOC'!$D$29:$P$58,IFERROR(VALUE(MID('IN_COST'!$F$56,FIND(":",'IN_COST'!$F$56)+1,2)),1)*6,12)),0)))))))))))*IF('IN_COST'!$E$56="DEP",'ENG_SCEN'!$G$16,IF('IN_COST'!$I$56="V",IF('IN_COST'!$E$56="SCRAP_LME",'ENG_SCEN'!$G$13,'ENG_SCEN'!$G$14),'ENG_SCEN'!$G$15))</f>
        <v/>
      </c>
      <c r="P70" s="33">
        <f>'IN_MACRO'!$P$34*IF('IN_COST'!$E$56="SCRAP_LME",'ENG_OPS'!$P$20*'IN_COST'!$F$56*'ENG_SCEN'!$P$37,IF('IN_COST'!$E$56="PER_TON_BATT",'ENG_OPS'!$P$20*'IN_COST'!$F$56*IF('IN_COST'!$G$56="FX",'ENG_SCEN'!$P$36,IF('IN_COST'!$G$56="PPI",'ENG_SCEN'!$P$35,IF('IN_COST'!$G$56="ENERGY",'ENG_SCEN'!$P$34,IF('IN_COST'!$G$56="WAGE",'ENG_SCEN'!$P$33,IF('IN_COST'!$G$56="CPI",'ENG_SCEN'!$P$32,1))))),IF('IN_COST'!$E$56="PER_TON_PROD",'ENG_OPS'!$P$43*'IN_COST'!$F$56*IF('IN_COST'!$G$56="FX",'ENG_SCEN'!$P$36,IF('IN_COST'!$G$56="PPI",'ENG_SCEN'!$P$35,IF('IN_COST'!$G$56="ENERGY",'ENG_SCEN'!$P$34,IF('IN_COST'!$G$56="WAGE",'ENG_SCEN'!$P$33,IF('IN_COST'!$G$56="CPI",'ENG_SCEN'!$P$32,1))))),IF('IN_COST'!$E$56="PER_KWH",'ENG_OPS'!$P$63*'IN_COST'!$F$56*IF('IN_COST'!$G$56="FX",'ENG_SCEN'!$P$36,IF('IN_COST'!$G$56="PPI",'ENG_SCEN'!$P$35,IF('IN_COST'!$G$56="ENERGY",'ENG_SCEN'!$P$34,IF('IN_COST'!$G$56="WAGE",'ENG_SCEN'!$P$33,IF('IN_COST'!$G$56="CPI",'ENG_SCEN'!$P$32,1))))),IF('IN_COST'!$E$56="PER_M3",'ENG_OPS'!$P$64*'IN_COST'!$F$56*IF('IN_COST'!$G$56="FX",'ENG_SCEN'!$P$36,IF('IN_COST'!$G$56="PPI",'ENG_SCEN'!$P$35,IF('IN_COST'!$G$56="ENERGY",'ENG_SCEN'!$P$34,IF('IN_COST'!$G$56="WAGE",'ENG_SCEN'!$P$33,IF('IN_COST'!$G$56="CPI",'ENG_SCEN'!$P$32,1))))),IF('IN_COST'!$E$56="ANNUAL",'IN_COST'!$F$56*IF('IN_COST'!$G$56="FX",'ENG_SCEN'!$P$36,IF('IN_COST'!$G$56="PPI",'ENG_SCEN'!$P$35,IF('IN_COST'!$G$56="ENERGY",'ENG_SCEN'!$P$34,IF('IN_COST'!$G$56="WAGE",'ENG_SCEN'!$P$33,IF('IN_COST'!$G$56="CPI",'ENG_SCEN'!$P$32,1))))),IF('IN_COST'!$E$56="PCT_REV",'ENG_OPS'!$P$81*'IN_COST'!$F$56,IF('IN_COST'!$E$56="PCT_ASSET",'ENG_CAPEX'!$P$84*'IN_COST'!$F$56,IF('IN_COST'!$E$56="DEP",'ENG_CAPEX'!$P$81,IF('IN_COST'!$E$56="PAY",INDEX('IN_COST'!$D$15:$D$19,IFERROR(VALUE(MID('IN_COST'!$F$56,FIND(":",'IN_COST'!$F$56)+1,2)),1))*INDEX('IN_COST'!$E$15:$E$19,IFERROR(VALUE(MID('IN_COST'!$F$56,FIND(":",'IN_COST'!$F$56)+1,2)),1))*'IN_COST'!$D$10*'IN_COST'!$D$11*'ENG_SCEN'!$P$33,IF('IN_COST'!$E$56="SRV",SUM(INDEX('ENG_ALLOC'!$D$29:$P$58,(IFERROR(VALUE(MID('IN_COST'!$F$56,FIND(":",'IN_COST'!$F$56)+1,2)),1)-1)*6+1,13):INDEX('ENG_ALLOC'!$D$29:$P$58,IFERROR(VALUE(MID('IN_COST'!$F$56,FIND(":",'IN_COST'!$F$56)+1,2)),1)*6,13)),0)))))))))))*IF('IN_COST'!$E$56="DEP",'ENG_SCEN'!$G$16,IF('IN_COST'!$I$56="V",IF('IN_COST'!$E$56="SCRAP_LME",'ENG_SCEN'!$G$13,'ENG_SCEN'!$G$14),'ENG_SCEN'!$G$15))</f>
        <v/>
      </c>
    </row>
    <row r="71">
      <c r="A71" s="15" t="inlineStr">
        <is>
          <t>FPC-10 | بار پایه انرژی</t>
        </is>
      </c>
      <c r="B71" s="16" t="inlineStr">
        <is>
          <t>EC.tot.24</t>
        </is>
      </c>
      <c r="C71" s="17" t="inlineStr">
        <is>
          <t>میلیون ریال</t>
        </is>
      </c>
      <c r="D71" s="33">
        <f>'IN_MACRO'!$D$34*IF('IN_COST'!$E$57="SCRAP_LME",'ENG_OPS'!$D$20*'IN_COST'!$F$57*'ENG_SCEN'!$D$37,IF('IN_COST'!$E$57="PER_TON_BATT",'ENG_OPS'!$D$20*'IN_COST'!$F$57*IF('IN_COST'!$G$57="FX",'ENG_SCEN'!$D$36,IF('IN_COST'!$G$57="PPI",'ENG_SCEN'!$D$35,IF('IN_COST'!$G$57="ENERGY",'ENG_SCEN'!$D$34,IF('IN_COST'!$G$57="WAGE",'ENG_SCEN'!$D$33,IF('IN_COST'!$G$57="CPI",'ENG_SCEN'!$D$32,1))))),IF('IN_COST'!$E$57="PER_TON_PROD",'ENG_OPS'!$D$43*'IN_COST'!$F$57*IF('IN_COST'!$G$57="FX",'ENG_SCEN'!$D$36,IF('IN_COST'!$G$57="PPI",'ENG_SCEN'!$D$35,IF('IN_COST'!$G$57="ENERGY",'ENG_SCEN'!$D$34,IF('IN_COST'!$G$57="WAGE",'ENG_SCEN'!$D$33,IF('IN_COST'!$G$57="CPI",'ENG_SCEN'!$D$32,1))))),IF('IN_COST'!$E$57="PER_KWH",'ENG_OPS'!$D$63*'IN_COST'!$F$57*IF('IN_COST'!$G$57="FX",'ENG_SCEN'!$D$36,IF('IN_COST'!$G$57="PPI",'ENG_SCEN'!$D$35,IF('IN_COST'!$G$57="ENERGY",'ENG_SCEN'!$D$34,IF('IN_COST'!$G$57="WAGE",'ENG_SCEN'!$D$33,IF('IN_COST'!$G$57="CPI",'ENG_SCEN'!$D$32,1))))),IF('IN_COST'!$E$57="PER_M3",'ENG_OPS'!$D$64*'IN_COST'!$F$57*IF('IN_COST'!$G$57="FX",'ENG_SCEN'!$D$36,IF('IN_COST'!$G$57="PPI",'ENG_SCEN'!$D$35,IF('IN_COST'!$G$57="ENERGY",'ENG_SCEN'!$D$34,IF('IN_COST'!$G$57="WAGE",'ENG_SCEN'!$D$33,IF('IN_COST'!$G$57="CPI",'ENG_SCEN'!$D$32,1))))),IF('IN_COST'!$E$57="ANNUAL",'IN_COST'!$F$57*IF('IN_COST'!$G$57="FX",'ENG_SCEN'!$D$36,IF('IN_COST'!$G$57="PPI",'ENG_SCEN'!$D$35,IF('IN_COST'!$G$57="ENERGY",'ENG_SCEN'!$D$34,IF('IN_COST'!$G$57="WAGE",'ENG_SCEN'!$D$33,IF('IN_COST'!$G$57="CPI",'ENG_SCEN'!$D$32,1))))),IF('IN_COST'!$E$57="PCT_REV",'ENG_OPS'!$D$81*'IN_COST'!$F$57,IF('IN_COST'!$E$57="PCT_ASSET",'ENG_CAPEX'!$D$84*'IN_COST'!$F$57,IF('IN_COST'!$E$57="DEP",'ENG_CAPEX'!$D$81,IF('IN_COST'!$E$57="PAY",INDEX('IN_COST'!$D$15:$D$19,IFERROR(VALUE(MID('IN_COST'!$F$57,FIND(":",'IN_COST'!$F$57)+1,2)),1))*INDEX('IN_COST'!$E$15:$E$19,IFERROR(VALUE(MID('IN_COST'!$F$57,FIND(":",'IN_COST'!$F$57)+1,2)),1))*'IN_COST'!$D$10*'IN_COST'!$D$11*'ENG_SCEN'!$D$33,IF('IN_COST'!$E$57="SRV",SUM(INDEX('ENG_ALLOC'!$D$29:$P$58,(IFERROR(VALUE(MID('IN_COST'!$F$57,FIND(":",'IN_COST'!$F$57)+1,2)),1)-1)*6+1,1):INDEX('ENG_ALLOC'!$D$29:$P$58,IFERROR(VALUE(MID('IN_COST'!$F$57,FIND(":",'IN_COST'!$F$57)+1,2)),1)*6,1)),0)))))))))))*IF('IN_COST'!$E$57="DEP",'ENG_SCEN'!$G$16,IF('IN_COST'!$I$57="V",IF('IN_COST'!$E$57="SCRAP_LME",'ENG_SCEN'!$G$13,'ENG_SCEN'!$G$14),'ENG_SCEN'!$G$15))</f>
        <v/>
      </c>
      <c r="E71" s="33">
        <f>'IN_MACRO'!$E$34*IF('IN_COST'!$E$57="SCRAP_LME",'ENG_OPS'!$E$20*'IN_COST'!$F$57*'ENG_SCEN'!$E$37,IF('IN_COST'!$E$57="PER_TON_BATT",'ENG_OPS'!$E$20*'IN_COST'!$F$57*IF('IN_COST'!$G$57="FX",'ENG_SCEN'!$E$36,IF('IN_COST'!$G$57="PPI",'ENG_SCEN'!$E$35,IF('IN_COST'!$G$57="ENERGY",'ENG_SCEN'!$E$34,IF('IN_COST'!$G$57="WAGE",'ENG_SCEN'!$E$33,IF('IN_COST'!$G$57="CPI",'ENG_SCEN'!$E$32,1))))),IF('IN_COST'!$E$57="PER_TON_PROD",'ENG_OPS'!$E$43*'IN_COST'!$F$57*IF('IN_COST'!$G$57="FX",'ENG_SCEN'!$E$36,IF('IN_COST'!$G$57="PPI",'ENG_SCEN'!$E$35,IF('IN_COST'!$G$57="ENERGY",'ENG_SCEN'!$E$34,IF('IN_COST'!$G$57="WAGE",'ENG_SCEN'!$E$33,IF('IN_COST'!$G$57="CPI",'ENG_SCEN'!$E$32,1))))),IF('IN_COST'!$E$57="PER_KWH",'ENG_OPS'!$E$63*'IN_COST'!$F$57*IF('IN_COST'!$G$57="FX",'ENG_SCEN'!$E$36,IF('IN_COST'!$G$57="PPI",'ENG_SCEN'!$E$35,IF('IN_COST'!$G$57="ENERGY",'ENG_SCEN'!$E$34,IF('IN_COST'!$G$57="WAGE",'ENG_SCEN'!$E$33,IF('IN_COST'!$G$57="CPI",'ENG_SCEN'!$E$32,1))))),IF('IN_COST'!$E$57="PER_M3",'ENG_OPS'!$E$64*'IN_COST'!$F$57*IF('IN_COST'!$G$57="FX",'ENG_SCEN'!$E$36,IF('IN_COST'!$G$57="PPI",'ENG_SCEN'!$E$35,IF('IN_COST'!$G$57="ENERGY",'ENG_SCEN'!$E$34,IF('IN_COST'!$G$57="WAGE",'ENG_SCEN'!$E$33,IF('IN_COST'!$G$57="CPI",'ENG_SCEN'!$E$32,1))))),IF('IN_COST'!$E$57="ANNUAL",'IN_COST'!$F$57*IF('IN_COST'!$G$57="FX",'ENG_SCEN'!$E$36,IF('IN_COST'!$G$57="PPI",'ENG_SCEN'!$E$35,IF('IN_COST'!$G$57="ENERGY",'ENG_SCEN'!$E$34,IF('IN_COST'!$G$57="WAGE",'ENG_SCEN'!$E$33,IF('IN_COST'!$G$57="CPI",'ENG_SCEN'!$E$32,1))))),IF('IN_COST'!$E$57="PCT_REV",'ENG_OPS'!$E$81*'IN_COST'!$F$57,IF('IN_COST'!$E$57="PCT_ASSET",'ENG_CAPEX'!$E$84*'IN_COST'!$F$57,IF('IN_COST'!$E$57="DEP",'ENG_CAPEX'!$E$81,IF('IN_COST'!$E$57="PAY",INDEX('IN_COST'!$D$15:$D$19,IFERROR(VALUE(MID('IN_COST'!$F$57,FIND(":",'IN_COST'!$F$57)+1,2)),1))*INDEX('IN_COST'!$E$15:$E$19,IFERROR(VALUE(MID('IN_COST'!$F$57,FIND(":",'IN_COST'!$F$57)+1,2)),1))*'IN_COST'!$D$10*'IN_COST'!$D$11*'ENG_SCEN'!$E$33,IF('IN_COST'!$E$57="SRV",SUM(INDEX('ENG_ALLOC'!$D$29:$P$58,(IFERROR(VALUE(MID('IN_COST'!$F$57,FIND(":",'IN_COST'!$F$57)+1,2)),1)-1)*6+1,2):INDEX('ENG_ALLOC'!$D$29:$P$58,IFERROR(VALUE(MID('IN_COST'!$F$57,FIND(":",'IN_COST'!$F$57)+1,2)),1)*6,2)),0)))))))))))*IF('IN_COST'!$E$57="DEP",'ENG_SCEN'!$G$16,IF('IN_COST'!$I$57="V",IF('IN_COST'!$E$57="SCRAP_LME",'ENG_SCEN'!$G$13,'ENG_SCEN'!$G$14),'ENG_SCEN'!$G$15))</f>
        <v/>
      </c>
      <c r="F71" s="33">
        <f>'IN_MACRO'!$F$34*IF('IN_COST'!$E$57="SCRAP_LME",'ENG_OPS'!$F$20*'IN_COST'!$F$57*'ENG_SCEN'!$F$37,IF('IN_COST'!$E$57="PER_TON_BATT",'ENG_OPS'!$F$20*'IN_COST'!$F$57*IF('IN_COST'!$G$57="FX",'ENG_SCEN'!$F$36,IF('IN_COST'!$G$57="PPI",'ENG_SCEN'!$F$35,IF('IN_COST'!$G$57="ENERGY",'ENG_SCEN'!$F$34,IF('IN_COST'!$G$57="WAGE",'ENG_SCEN'!$F$33,IF('IN_COST'!$G$57="CPI",'ENG_SCEN'!$F$32,1))))),IF('IN_COST'!$E$57="PER_TON_PROD",'ENG_OPS'!$F$43*'IN_COST'!$F$57*IF('IN_COST'!$G$57="FX",'ENG_SCEN'!$F$36,IF('IN_COST'!$G$57="PPI",'ENG_SCEN'!$F$35,IF('IN_COST'!$G$57="ENERGY",'ENG_SCEN'!$F$34,IF('IN_COST'!$G$57="WAGE",'ENG_SCEN'!$F$33,IF('IN_COST'!$G$57="CPI",'ENG_SCEN'!$F$32,1))))),IF('IN_COST'!$E$57="PER_KWH",'ENG_OPS'!$F$63*'IN_COST'!$F$57*IF('IN_COST'!$G$57="FX",'ENG_SCEN'!$F$36,IF('IN_COST'!$G$57="PPI",'ENG_SCEN'!$F$35,IF('IN_COST'!$G$57="ENERGY",'ENG_SCEN'!$F$34,IF('IN_COST'!$G$57="WAGE",'ENG_SCEN'!$F$33,IF('IN_COST'!$G$57="CPI",'ENG_SCEN'!$F$32,1))))),IF('IN_COST'!$E$57="PER_M3",'ENG_OPS'!$F$64*'IN_COST'!$F$57*IF('IN_COST'!$G$57="FX",'ENG_SCEN'!$F$36,IF('IN_COST'!$G$57="PPI",'ENG_SCEN'!$F$35,IF('IN_COST'!$G$57="ENERGY",'ENG_SCEN'!$F$34,IF('IN_COST'!$G$57="WAGE",'ENG_SCEN'!$F$33,IF('IN_COST'!$G$57="CPI",'ENG_SCEN'!$F$32,1))))),IF('IN_COST'!$E$57="ANNUAL",'IN_COST'!$F$57*IF('IN_COST'!$G$57="FX",'ENG_SCEN'!$F$36,IF('IN_COST'!$G$57="PPI",'ENG_SCEN'!$F$35,IF('IN_COST'!$G$57="ENERGY",'ENG_SCEN'!$F$34,IF('IN_COST'!$G$57="WAGE",'ENG_SCEN'!$F$33,IF('IN_COST'!$G$57="CPI",'ENG_SCEN'!$F$32,1))))),IF('IN_COST'!$E$57="PCT_REV",'ENG_OPS'!$F$81*'IN_COST'!$F$57,IF('IN_COST'!$E$57="PCT_ASSET",'ENG_CAPEX'!$F$84*'IN_COST'!$F$57,IF('IN_COST'!$E$57="DEP",'ENG_CAPEX'!$F$81,IF('IN_COST'!$E$57="PAY",INDEX('IN_COST'!$D$15:$D$19,IFERROR(VALUE(MID('IN_COST'!$F$57,FIND(":",'IN_COST'!$F$57)+1,2)),1))*INDEX('IN_COST'!$E$15:$E$19,IFERROR(VALUE(MID('IN_COST'!$F$57,FIND(":",'IN_COST'!$F$57)+1,2)),1))*'IN_COST'!$D$10*'IN_COST'!$D$11*'ENG_SCEN'!$F$33,IF('IN_COST'!$E$57="SRV",SUM(INDEX('ENG_ALLOC'!$D$29:$P$58,(IFERROR(VALUE(MID('IN_COST'!$F$57,FIND(":",'IN_COST'!$F$57)+1,2)),1)-1)*6+1,3):INDEX('ENG_ALLOC'!$D$29:$P$58,IFERROR(VALUE(MID('IN_COST'!$F$57,FIND(":",'IN_COST'!$F$57)+1,2)),1)*6,3)),0)))))))))))*IF('IN_COST'!$E$57="DEP",'ENG_SCEN'!$G$16,IF('IN_COST'!$I$57="V",IF('IN_COST'!$E$57="SCRAP_LME",'ENG_SCEN'!$G$13,'ENG_SCEN'!$G$14),'ENG_SCEN'!$G$15))</f>
        <v/>
      </c>
      <c r="G71" s="33">
        <f>'IN_MACRO'!$G$34*IF('IN_COST'!$E$57="SCRAP_LME",'ENG_OPS'!$G$20*'IN_COST'!$F$57*'ENG_SCEN'!$G$37,IF('IN_COST'!$E$57="PER_TON_BATT",'ENG_OPS'!$G$20*'IN_COST'!$F$57*IF('IN_COST'!$G$57="FX",'ENG_SCEN'!$G$36,IF('IN_COST'!$G$57="PPI",'ENG_SCEN'!$G$35,IF('IN_COST'!$G$57="ENERGY",'ENG_SCEN'!$G$34,IF('IN_COST'!$G$57="WAGE",'ENG_SCEN'!$G$33,IF('IN_COST'!$G$57="CPI",'ENG_SCEN'!$G$32,1))))),IF('IN_COST'!$E$57="PER_TON_PROD",'ENG_OPS'!$G$43*'IN_COST'!$F$57*IF('IN_COST'!$G$57="FX",'ENG_SCEN'!$G$36,IF('IN_COST'!$G$57="PPI",'ENG_SCEN'!$G$35,IF('IN_COST'!$G$57="ENERGY",'ENG_SCEN'!$G$34,IF('IN_COST'!$G$57="WAGE",'ENG_SCEN'!$G$33,IF('IN_COST'!$G$57="CPI",'ENG_SCEN'!$G$32,1))))),IF('IN_COST'!$E$57="PER_KWH",'ENG_OPS'!$G$63*'IN_COST'!$F$57*IF('IN_COST'!$G$57="FX",'ENG_SCEN'!$G$36,IF('IN_COST'!$G$57="PPI",'ENG_SCEN'!$G$35,IF('IN_COST'!$G$57="ENERGY",'ENG_SCEN'!$G$34,IF('IN_COST'!$G$57="WAGE",'ENG_SCEN'!$G$33,IF('IN_COST'!$G$57="CPI",'ENG_SCEN'!$G$32,1))))),IF('IN_COST'!$E$57="PER_M3",'ENG_OPS'!$G$64*'IN_COST'!$F$57*IF('IN_COST'!$G$57="FX",'ENG_SCEN'!$G$36,IF('IN_COST'!$G$57="PPI",'ENG_SCEN'!$G$35,IF('IN_COST'!$G$57="ENERGY",'ENG_SCEN'!$G$34,IF('IN_COST'!$G$57="WAGE",'ENG_SCEN'!$G$33,IF('IN_COST'!$G$57="CPI",'ENG_SCEN'!$G$32,1))))),IF('IN_COST'!$E$57="ANNUAL",'IN_COST'!$F$57*IF('IN_COST'!$G$57="FX",'ENG_SCEN'!$G$36,IF('IN_COST'!$G$57="PPI",'ENG_SCEN'!$G$35,IF('IN_COST'!$G$57="ENERGY",'ENG_SCEN'!$G$34,IF('IN_COST'!$G$57="WAGE",'ENG_SCEN'!$G$33,IF('IN_COST'!$G$57="CPI",'ENG_SCEN'!$G$32,1))))),IF('IN_COST'!$E$57="PCT_REV",'ENG_OPS'!$G$81*'IN_COST'!$F$57,IF('IN_COST'!$E$57="PCT_ASSET",'ENG_CAPEX'!$G$84*'IN_COST'!$F$57,IF('IN_COST'!$E$57="DEP",'ENG_CAPEX'!$G$81,IF('IN_COST'!$E$57="PAY",INDEX('IN_COST'!$D$15:$D$19,IFERROR(VALUE(MID('IN_COST'!$F$57,FIND(":",'IN_COST'!$F$57)+1,2)),1))*INDEX('IN_COST'!$E$15:$E$19,IFERROR(VALUE(MID('IN_COST'!$F$57,FIND(":",'IN_COST'!$F$57)+1,2)),1))*'IN_COST'!$D$10*'IN_COST'!$D$11*'ENG_SCEN'!$G$33,IF('IN_COST'!$E$57="SRV",SUM(INDEX('ENG_ALLOC'!$D$29:$P$58,(IFERROR(VALUE(MID('IN_COST'!$F$57,FIND(":",'IN_COST'!$F$57)+1,2)),1)-1)*6+1,4):INDEX('ENG_ALLOC'!$D$29:$P$58,IFERROR(VALUE(MID('IN_COST'!$F$57,FIND(":",'IN_COST'!$F$57)+1,2)),1)*6,4)),0)))))))))))*IF('IN_COST'!$E$57="DEP",'ENG_SCEN'!$G$16,IF('IN_COST'!$I$57="V",IF('IN_COST'!$E$57="SCRAP_LME",'ENG_SCEN'!$G$13,'ENG_SCEN'!$G$14),'ENG_SCEN'!$G$15))</f>
        <v/>
      </c>
      <c r="H71" s="33">
        <f>'IN_MACRO'!$H$34*IF('IN_COST'!$E$57="SCRAP_LME",'ENG_OPS'!$H$20*'IN_COST'!$F$57*'ENG_SCEN'!$H$37,IF('IN_COST'!$E$57="PER_TON_BATT",'ENG_OPS'!$H$20*'IN_COST'!$F$57*IF('IN_COST'!$G$57="FX",'ENG_SCEN'!$H$36,IF('IN_COST'!$G$57="PPI",'ENG_SCEN'!$H$35,IF('IN_COST'!$G$57="ENERGY",'ENG_SCEN'!$H$34,IF('IN_COST'!$G$57="WAGE",'ENG_SCEN'!$H$33,IF('IN_COST'!$G$57="CPI",'ENG_SCEN'!$H$32,1))))),IF('IN_COST'!$E$57="PER_TON_PROD",'ENG_OPS'!$H$43*'IN_COST'!$F$57*IF('IN_COST'!$G$57="FX",'ENG_SCEN'!$H$36,IF('IN_COST'!$G$57="PPI",'ENG_SCEN'!$H$35,IF('IN_COST'!$G$57="ENERGY",'ENG_SCEN'!$H$34,IF('IN_COST'!$G$57="WAGE",'ENG_SCEN'!$H$33,IF('IN_COST'!$G$57="CPI",'ENG_SCEN'!$H$32,1))))),IF('IN_COST'!$E$57="PER_KWH",'ENG_OPS'!$H$63*'IN_COST'!$F$57*IF('IN_COST'!$G$57="FX",'ENG_SCEN'!$H$36,IF('IN_COST'!$G$57="PPI",'ENG_SCEN'!$H$35,IF('IN_COST'!$G$57="ENERGY",'ENG_SCEN'!$H$34,IF('IN_COST'!$G$57="WAGE",'ENG_SCEN'!$H$33,IF('IN_COST'!$G$57="CPI",'ENG_SCEN'!$H$32,1))))),IF('IN_COST'!$E$57="PER_M3",'ENG_OPS'!$H$64*'IN_COST'!$F$57*IF('IN_COST'!$G$57="FX",'ENG_SCEN'!$H$36,IF('IN_COST'!$G$57="PPI",'ENG_SCEN'!$H$35,IF('IN_COST'!$G$57="ENERGY",'ENG_SCEN'!$H$34,IF('IN_COST'!$G$57="WAGE",'ENG_SCEN'!$H$33,IF('IN_COST'!$G$57="CPI",'ENG_SCEN'!$H$32,1))))),IF('IN_COST'!$E$57="ANNUAL",'IN_COST'!$F$57*IF('IN_COST'!$G$57="FX",'ENG_SCEN'!$H$36,IF('IN_COST'!$G$57="PPI",'ENG_SCEN'!$H$35,IF('IN_COST'!$G$57="ENERGY",'ENG_SCEN'!$H$34,IF('IN_COST'!$G$57="WAGE",'ENG_SCEN'!$H$33,IF('IN_COST'!$G$57="CPI",'ENG_SCEN'!$H$32,1))))),IF('IN_COST'!$E$57="PCT_REV",'ENG_OPS'!$H$81*'IN_COST'!$F$57,IF('IN_COST'!$E$57="PCT_ASSET",'ENG_CAPEX'!$H$84*'IN_COST'!$F$57,IF('IN_COST'!$E$57="DEP",'ENG_CAPEX'!$H$81,IF('IN_COST'!$E$57="PAY",INDEX('IN_COST'!$D$15:$D$19,IFERROR(VALUE(MID('IN_COST'!$F$57,FIND(":",'IN_COST'!$F$57)+1,2)),1))*INDEX('IN_COST'!$E$15:$E$19,IFERROR(VALUE(MID('IN_COST'!$F$57,FIND(":",'IN_COST'!$F$57)+1,2)),1))*'IN_COST'!$D$10*'IN_COST'!$D$11*'ENG_SCEN'!$H$33,IF('IN_COST'!$E$57="SRV",SUM(INDEX('ENG_ALLOC'!$D$29:$P$58,(IFERROR(VALUE(MID('IN_COST'!$F$57,FIND(":",'IN_COST'!$F$57)+1,2)),1)-1)*6+1,5):INDEX('ENG_ALLOC'!$D$29:$P$58,IFERROR(VALUE(MID('IN_COST'!$F$57,FIND(":",'IN_COST'!$F$57)+1,2)),1)*6,5)),0)))))))))))*IF('IN_COST'!$E$57="DEP",'ENG_SCEN'!$G$16,IF('IN_COST'!$I$57="V",IF('IN_COST'!$E$57="SCRAP_LME",'ENG_SCEN'!$G$13,'ENG_SCEN'!$G$14),'ENG_SCEN'!$G$15))</f>
        <v/>
      </c>
      <c r="I71" s="33">
        <f>'IN_MACRO'!$I$34*IF('IN_COST'!$E$57="SCRAP_LME",'ENG_OPS'!$I$20*'IN_COST'!$F$57*'ENG_SCEN'!$I$37,IF('IN_COST'!$E$57="PER_TON_BATT",'ENG_OPS'!$I$20*'IN_COST'!$F$57*IF('IN_COST'!$G$57="FX",'ENG_SCEN'!$I$36,IF('IN_COST'!$G$57="PPI",'ENG_SCEN'!$I$35,IF('IN_COST'!$G$57="ENERGY",'ENG_SCEN'!$I$34,IF('IN_COST'!$G$57="WAGE",'ENG_SCEN'!$I$33,IF('IN_COST'!$G$57="CPI",'ENG_SCEN'!$I$32,1))))),IF('IN_COST'!$E$57="PER_TON_PROD",'ENG_OPS'!$I$43*'IN_COST'!$F$57*IF('IN_COST'!$G$57="FX",'ENG_SCEN'!$I$36,IF('IN_COST'!$G$57="PPI",'ENG_SCEN'!$I$35,IF('IN_COST'!$G$57="ENERGY",'ENG_SCEN'!$I$34,IF('IN_COST'!$G$57="WAGE",'ENG_SCEN'!$I$33,IF('IN_COST'!$G$57="CPI",'ENG_SCEN'!$I$32,1))))),IF('IN_COST'!$E$57="PER_KWH",'ENG_OPS'!$I$63*'IN_COST'!$F$57*IF('IN_COST'!$G$57="FX",'ENG_SCEN'!$I$36,IF('IN_COST'!$G$57="PPI",'ENG_SCEN'!$I$35,IF('IN_COST'!$G$57="ENERGY",'ENG_SCEN'!$I$34,IF('IN_COST'!$G$57="WAGE",'ENG_SCEN'!$I$33,IF('IN_COST'!$G$57="CPI",'ENG_SCEN'!$I$32,1))))),IF('IN_COST'!$E$57="PER_M3",'ENG_OPS'!$I$64*'IN_COST'!$F$57*IF('IN_COST'!$G$57="FX",'ENG_SCEN'!$I$36,IF('IN_COST'!$G$57="PPI",'ENG_SCEN'!$I$35,IF('IN_COST'!$G$57="ENERGY",'ENG_SCEN'!$I$34,IF('IN_COST'!$G$57="WAGE",'ENG_SCEN'!$I$33,IF('IN_COST'!$G$57="CPI",'ENG_SCEN'!$I$32,1))))),IF('IN_COST'!$E$57="ANNUAL",'IN_COST'!$F$57*IF('IN_COST'!$G$57="FX",'ENG_SCEN'!$I$36,IF('IN_COST'!$G$57="PPI",'ENG_SCEN'!$I$35,IF('IN_COST'!$G$57="ENERGY",'ENG_SCEN'!$I$34,IF('IN_COST'!$G$57="WAGE",'ENG_SCEN'!$I$33,IF('IN_COST'!$G$57="CPI",'ENG_SCEN'!$I$32,1))))),IF('IN_COST'!$E$57="PCT_REV",'ENG_OPS'!$I$81*'IN_COST'!$F$57,IF('IN_COST'!$E$57="PCT_ASSET",'ENG_CAPEX'!$I$84*'IN_COST'!$F$57,IF('IN_COST'!$E$57="DEP",'ENG_CAPEX'!$I$81,IF('IN_COST'!$E$57="PAY",INDEX('IN_COST'!$D$15:$D$19,IFERROR(VALUE(MID('IN_COST'!$F$57,FIND(":",'IN_COST'!$F$57)+1,2)),1))*INDEX('IN_COST'!$E$15:$E$19,IFERROR(VALUE(MID('IN_COST'!$F$57,FIND(":",'IN_COST'!$F$57)+1,2)),1))*'IN_COST'!$D$10*'IN_COST'!$D$11*'ENG_SCEN'!$I$33,IF('IN_COST'!$E$57="SRV",SUM(INDEX('ENG_ALLOC'!$D$29:$P$58,(IFERROR(VALUE(MID('IN_COST'!$F$57,FIND(":",'IN_COST'!$F$57)+1,2)),1)-1)*6+1,6):INDEX('ENG_ALLOC'!$D$29:$P$58,IFERROR(VALUE(MID('IN_COST'!$F$57,FIND(":",'IN_COST'!$F$57)+1,2)),1)*6,6)),0)))))))))))*IF('IN_COST'!$E$57="DEP",'ENG_SCEN'!$G$16,IF('IN_COST'!$I$57="V",IF('IN_COST'!$E$57="SCRAP_LME",'ENG_SCEN'!$G$13,'ENG_SCEN'!$G$14),'ENG_SCEN'!$G$15))</f>
        <v/>
      </c>
      <c r="J71" s="33">
        <f>'IN_MACRO'!$J$34*IF('IN_COST'!$E$57="SCRAP_LME",'ENG_OPS'!$J$20*'IN_COST'!$F$57*'ENG_SCEN'!$J$37,IF('IN_COST'!$E$57="PER_TON_BATT",'ENG_OPS'!$J$20*'IN_COST'!$F$57*IF('IN_COST'!$G$57="FX",'ENG_SCEN'!$J$36,IF('IN_COST'!$G$57="PPI",'ENG_SCEN'!$J$35,IF('IN_COST'!$G$57="ENERGY",'ENG_SCEN'!$J$34,IF('IN_COST'!$G$57="WAGE",'ENG_SCEN'!$J$33,IF('IN_COST'!$G$57="CPI",'ENG_SCEN'!$J$32,1))))),IF('IN_COST'!$E$57="PER_TON_PROD",'ENG_OPS'!$J$43*'IN_COST'!$F$57*IF('IN_COST'!$G$57="FX",'ENG_SCEN'!$J$36,IF('IN_COST'!$G$57="PPI",'ENG_SCEN'!$J$35,IF('IN_COST'!$G$57="ENERGY",'ENG_SCEN'!$J$34,IF('IN_COST'!$G$57="WAGE",'ENG_SCEN'!$J$33,IF('IN_COST'!$G$57="CPI",'ENG_SCEN'!$J$32,1))))),IF('IN_COST'!$E$57="PER_KWH",'ENG_OPS'!$J$63*'IN_COST'!$F$57*IF('IN_COST'!$G$57="FX",'ENG_SCEN'!$J$36,IF('IN_COST'!$G$57="PPI",'ENG_SCEN'!$J$35,IF('IN_COST'!$G$57="ENERGY",'ENG_SCEN'!$J$34,IF('IN_COST'!$G$57="WAGE",'ENG_SCEN'!$J$33,IF('IN_COST'!$G$57="CPI",'ENG_SCEN'!$J$32,1))))),IF('IN_COST'!$E$57="PER_M3",'ENG_OPS'!$J$64*'IN_COST'!$F$57*IF('IN_COST'!$G$57="FX",'ENG_SCEN'!$J$36,IF('IN_COST'!$G$57="PPI",'ENG_SCEN'!$J$35,IF('IN_COST'!$G$57="ENERGY",'ENG_SCEN'!$J$34,IF('IN_COST'!$G$57="WAGE",'ENG_SCEN'!$J$33,IF('IN_COST'!$G$57="CPI",'ENG_SCEN'!$J$32,1))))),IF('IN_COST'!$E$57="ANNUAL",'IN_COST'!$F$57*IF('IN_COST'!$G$57="FX",'ENG_SCEN'!$J$36,IF('IN_COST'!$G$57="PPI",'ENG_SCEN'!$J$35,IF('IN_COST'!$G$57="ENERGY",'ENG_SCEN'!$J$34,IF('IN_COST'!$G$57="WAGE",'ENG_SCEN'!$J$33,IF('IN_COST'!$G$57="CPI",'ENG_SCEN'!$J$32,1))))),IF('IN_COST'!$E$57="PCT_REV",'ENG_OPS'!$J$81*'IN_COST'!$F$57,IF('IN_COST'!$E$57="PCT_ASSET",'ENG_CAPEX'!$J$84*'IN_COST'!$F$57,IF('IN_COST'!$E$57="DEP",'ENG_CAPEX'!$J$81,IF('IN_COST'!$E$57="PAY",INDEX('IN_COST'!$D$15:$D$19,IFERROR(VALUE(MID('IN_COST'!$F$57,FIND(":",'IN_COST'!$F$57)+1,2)),1))*INDEX('IN_COST'!$E$15:$E$19,IFERROR(VALUE(MID('IN_COST'!$F$57,FIND(":",'IN_COST'!$F$57)+1,2)),1))*'IN_COST'!$D$10*'IN_COST'!$D$11*'ENG_SCEN'!$J$33,IF('IN_COST'!$E$57="SRV",SUM(INDEX('ENG_ALLOC'!$D$29:$P$58,(IFERROR(VALUE(MID('IN_COST'!$F$57,FIND(":",'IN_COST'!$F$57)+1,2)),1)-1)*6+1,7):INDEX('ENG_ALLOC'!$D$29:$P$58,IFERROR(VALUE(MID('IN_COST'!$F$57,FIND(":",'IN_COST'!$F$57)+1,2)),1)*6,7)),0)))))))))))*IF('IN_COST'!$E$57="DEP",'ENG_SCEN'!$G$16,IF('IN_COST'!$I$57="V",IF('IN_COST'!$E$57="SCRAP_LME",'ENG_SCEN'!$G$13,'ENG_SCEN'!$G$14),'ENG_SCEN'!$G$15))</f>
        <v/>
      </c>
      <c r="K71" s="33">
        <f>'IN_MACRO'!$K$34*IF('IN_COST'!$E$57="SCRAP_LME",'ENG_OPS'!$K$20*'IN_COST'!$F$57*'ENG_SCEN'!$K$37,IF('IN_COST'!$E$57="PER_TON_BATT",'ENG_OPS'!$K$20*'IN_COST'!$F$57*IF('IN_COST'!$G$57="FX",'ENG_SCEN'!$K$36,IF('IN_COST'!$G$57="PPI",'ENG_SCEN'!$K$35,IF('IN_COST'!$G$57="ENERGY",'ENG_SCEN'!$K$34,IF('IN_COST'!$G$57="WAGE",'ENG_SCEN'!$K$33,IF('IN_COST'!$G$57="CPI",'ENG_SCEN'!$K$32,1))))),IF('IN_COST'!$E$57="PER_TON_PROD",'ENG_OPS'!$K$43*'IN_COST'!$F$57*IF('IN_COST'!$G$57="FX",'ENG_SCEN'!$K$36,IF('IN_COST'!$G$57="PPI",'ENG_SCEN'!$K$35,IF('IN_COST'!$G$57="ENERGY",'ENG_SCEN'!$K$34,IF('IN_COST'!$G$57="WAGE",'ENG_SCEN'!$K$33,IF('IN_COST'!$G$57="CPI",'ENG_SCEN'!$K$32,1))))),IF('IN_COST'!$E$57="PER_KWH",'ENG_OPS'!$K$63*'IN_COST'!$F$57*IF('IN_COST'!$G$57="FX",'ENG_SCEN'!$K$36,IF('IN_COST'!$G$57="PPI",'ENG_SCEN'!$K$35,IF('IN_COST'!$G$57="ENERGY",'ENG_SCEN'!$K$34,IF('IN_COST'!$G$57="WAGE",'ENG_SCEN'!$K$33,IF('IN_COST'!$G$57="CPI",'ENG_SCEN'!$K$32,1))))),IF('IN_COST'!$E$57="PER_M3",'ENG_OPS'!$K$64*'IN_COST'!$F$57*IF('IN_COST'!$G$57="FX",'ENG_SCEN'!$K$36,IF('IN_COST'!$G$57="PPI",'ENG_SCEN'!$K$35,IF('IN_COST'!$G$57="ENERGY",'ENG_SCEN'!$K$34,IF('IN_COST'!$G$57="WAGE",'ENG_SCEN'!$K$33,IF('IN_COST'!$G$57="CPI",'ENG_SCEN'!$K$32,1))))),IF('IN_COST'!$E$57="ANNUAL",'IN_COST'!$F$57*IF('IN_COST'!$G$57="FX",'ENG_SCEN'!$K$36,IF('IN_COST'!$G$57="PPI",'ENG_SCEN'!$K$35,IF('IN_COST'!$G$57="ENERGY",'ENG_SCEN'!$K$34,IF('IN_COST'!$G$57="WAGE",'ENG_SCEN'!$K$33,IF('IN_COST'!$G$57="CPI",'ENG_SCEN'!$K$32,1))))),IF('IN_COST'!$E$57="PCT_REV",'ENG_OPS'!$K$81*'IN_COST'!$F$57,IF('IN_COST'!$E$57="PCT_ASSET",'ENG_CAPEX'!$K$84*'IN_COST'!$F$57,IF('IN_COST'!$E$57="DEP",'ENG_CAPEX'!$K$81,IF('IN_COST'!$E$57="PAY",INDEX('IN_COST'!$D$15:$D$19,IFERROR(VALUE(MID('IN_COST'!$F$57,FIND(":",'IN_COST'!$F$57)+1,2)),1))*INDEX('IN_COST'!$E$15:$E$19,IFERROR(VALUE(MID('IN_COST'!$F$57,FIND(":",'IN_COST'!$F$57)+1,2)),1))*'IN_COST'!$D$10*'IN_COST'!$D$11*'ENG_SCEN'!$K$33,IF('IN_COST'!$E$57="SRV",SUM(INDEX('ENG_ALLOC'!$D$29:$P$58,(IFERROR(VALUE(MID('IN_COST'!$F$57,FIND(":",'IN_COST'!$F$57)+1,2)),1)-1)*6+1,8):INDEX('ENG_ALLOC'!$D$29:$P$58,IFERROR(VALUE(MID('IN_COST'!$F$57,FIND(":",'IN_COST'!$F$57)+1,2)),1)*6,8)),0)))))))))))*IF('IN_COST'!$E$57="DEP",'ENG_SCEN'!$G$16,IF('IN_COST'!$I$57="V",IF('IN_COST'!$E$57="SCRAP_LME",'ENG_SCEN'!$G$13,'ENG_SCEN'!$G$14),'ENG_SCEN'!$G$15))</f>
        <v/>
      </c>
      <c r="L71" s="33">
        <f>'IN_MACRO'!$L$34*IF('IN_COST'!$E$57="SCRAP_LME",'ENG_OPS'!$L$20*'IN_COST'!$F$57*'ENG_SCEN'!$L$37,IF('IN_COST'!$E$57="PER_TON_BATT",'ENG_OPS'!$L$20*'IN_COST'!$F$57*IF('IN_COST'!$G$57="FX",'ENG_SCEN'!$L$36,IF('IN_COST'!$G$57="PPI",'ENG_SCEN'!$L$35,IF('IN_COST'!$G$57="ENERGY",'ENG_SCEN'!$L$34,IF('IN_COST'!$G$57="WAGE",'ENG_SCEN'!$L$33,IF('IN_COST'!$G$57="CPI",'ENG_SCEN'!$L$32,1))))),IF('IN_COST'!$E$57="PER_TON_PROD",'ENG_OPS'!$L$43*'IN_COST'!$F$57*IF('IN_COST'!$G$57="FX",'ENG_SCEN'!$L$36,IF('IN_COST'!$G$57="PPI",'ENG_SCEN'!$L$35,IF('IN_COST'!$G$57="ENERGY",'ENG_SCEN'!$L$34,IF('IN_COST'!$G$57="WAGE",'ENG_SCEN'!$L$33,IF('IN_COST'!$G$57="CPI",'ENG_SCEN'!$L$32,1))))),IF('IN_COST'!$E$57="PER_KWH",'ENG_OPS'!$L$63*'IN_COST'!$F$57*IF('IN_COST'!$G$57="FX",'ENG_SCEN'!$L$36,IF('IN_COST'!$G$57="PPI",'ENG_SCEN'!$L$35,IF('IN_COST'!$G$57="ENERGY",'ENG_SCEN'!$L$34,IF('IN_COST'!$G$57="WAGE",'ENG_SCEN'!$L$33,IF('IN_COST'!$G$57="CPI",'ENG_SCEN'!$L$32,1))))),IF('IN_COST'!$E$57="PER_M3",'ENG_OPS'!$L$64*'IN_COST'!$F$57*IF('IN_COST'!$G$57="FX",'ENG_SCEN'!$L$36,IF('IN_COST'!$G$57="PPI",'ENG_SCEN'!$L$35,IF('IN_COST'!$G$57="ENERGY",'ENG_SCEN'!$L$34,IF('IN_COST'!$G$57="WAGE",'ENG_SCEN'!$L$33,IF('IN_COST'!$G$57="CPI",'ENG_SCEN'!$L$32,1))))),IF('IN_COST'!$E$57="ANNUAL",'IN_COST'!$F$57*IF('IN_COST'!$G$57="FX",'ENG_SCEN'!$L$36,IF('IN_COST'!$G$57="PPI",'ENG_SCEN'!$L$35,IF('IN_COST'!$G$57="ENERGY",'ENG_SCEN'!$L$34,IF('IN_COST'!$G$57="WAGE",'ENG_SCEN'!$L$33,IF('IN_COST'!$G$57="CPI",'ENG_SCEN'!$L$32,1))))),IF('IN_COST'!$E$57="PCT_REV",'ENG_OPS'!$L$81*'IN_COST'!$F$57,IF('IN_COST'!$E$57="PCT_ASSET",'ENG_CAPEX'!$L$84*'IN_COST'!$F$57,IF('IN_COST'!$E$57="DEP",'ENG_CAPEX'!$L$81,IF('IN_COST'!$E$57="PAY",INDEX('IN_COST'!$D$15:$D$19,IFERROR(VALUE(MID('IN_COST'!$F$57,FIND(":",'IN_COST'!$F$57)+1,2)),1))*INDEX('IN_COST'!$E$15:$E$19,IFERROR(VALUE(MID('IN_COST'!$F$57,FIND(":",'IN_COST'!$F$57)+1,2)),1))*'IN_COST'!$D$10*'IN_COST'!$D$11*'ENG_SCEN'!$L$33,IF('IN_COST'!$E$57="SRV",SUM(INDEX('ENG_ALLOC'!$D$29:$P$58,(IFERROR(VALUE(MID('IN_COST'!$F$57,FIND(":",'IN_COST'!$F$57)+1,2)),1)-1)*6+1,9):INDEX('ENG_ALLOC'!$D$29:$P$58,IFERROR(VALUE(MID('IN_COST'!$F$57,FIND(":",'IN_COST'!$F$57)+1,2)),1)*6,9)),0)))))))))))*IF('IN_COST'!$E$57="DEP",'ENG_SCEN'!$G$16,IF('IN_COST'!$I$57="V",IF('IN_COST'!$E$57="SCRAP_LME",'ENG_SCEN'!$G$13,'ENG_SCEN'!$G$14),'ENG_SCEN'!$G$15))</f>
        <v/>
      </c>
      <c r="M71" s="33">
        <f>'IN_MACRO'!$M$34*IF('IN_COST'!$E$57="SCRAP_LME",'ENG_OPS'!$M$20*'IN_COST'!$F$57*'ENG_SCEN'!$M$37,IF('IN_COST'!$E$57="PER_TON_BATT",'ENG_OPS'!$M$20*'IN_COST'!$F$57*IF('IN_COST'!$G$57="FX",'ENG_SCEN'!$M$36,IF('IN_COST'!$G$57="PPI",'ENG_SCEN'!$M$35,IF('IN_COST'!$G$57="ENERGY",'ENG_SCEN'!$M$34,IF('IN_COST'!$G$57="WAGE",'ENG_SCEN'!$M$33,IF('IN_COST'!$G$57="CPI",'ENG_SCEN'!$M$32,1))))),IF('IN_COST'!$E$57="PER_TON_PROD",'ENG_OPS'!$M$43*'IN_COST'!$F$57*IF('IN_COST'!$G$57="FX",'ENG_SCEN'!$M$36,IF('IN_COST'!$G$57="PPI",'ENG_SCEN'!$M$35,IF('IN_COST'!$G$57="ENERGY",'ENG_SCEN'!$M$34,IF('IN_COST'!$G$57="WAGE",'ENG_SCEN'!$M$33,IF('IN_COST'!$G$57="CPI",'ENG_SCEN'!$M$32,1))))),IF('IN_COST'!$E$57="PER_KWH",'ENG_OPS'!$M$63*'IN_COST'!$F$57*IF('IN_COST'!$G$57="FX",'ENG_SCEN'!$M$36,IF('IN_COST'!$G$57="PPI",'ENG_SCEN'!$M$35,IF('IN_COST'!$G$57="ENERGY",'ENG_SCEN'!$M$34,IF('IN_COST'!$G$57="WAGE",'ENG_SCEN'!$M$33,IF('IN_COST'!$G$57="CPI",'ENG_SCEN'!$M$32,1))))),IF('IN_COST'!$E$57="PER_M3",'ENG_OPS'!$M$64*'IN_COST'!$F$57*IF('IN_COST'!$G$57="FX",'ENG_SCEN'!$M$36,IF('IN_COST'!$G$57="PPI",'ENG_SCEN'!$M$35,IF('IN_COST'!$G$57="ENERGY",'ENG_SCEN'!$M$34,IF('IN_COST'!$G$57="WAGE",'ENG_SCEN'!$M$33,IF('IN_COST'!$G$57="CPI",'ENG_SCEN'!$M$32,1))))),IF('IN_COST'!$E$57="ANNUAL",'IN_COST'!$F$57*IF('IN_COST'!$G$57="FX",'ENG_SCEN'!$M$36,IF('IN_COST'!$G$57="PPI",'ENG_SCEN'!$M$35,IF('IN_COST'!$G$57="ENERGY",'ENG_SCEN'!$M$34,IF('IN_COST'!$G$57="WAGE",'ENG_SCEN'!$M$33,IF('IN_COST'!$G$57="CPI",'ENG_SCEN'!$M$32,1))))),IF('IN_COST'!$E$57="PCT_REV",'ENG_OPS'!$M$81*'IN_COST'!$F$57,IF('IN_COST'!$E$57="PCT_ASSET",'ENG_CAPEX'!$M$84*'IN_COST'!$F$57,IF('IN_COST'!$E$57="DEP",'ENG_CAPEX'!$M$81,IF('IN_COST'!$E$57="PAY",INDEX('IN_COST'!$D$15:$D$19,IFERROR(VALUE(MID('IN_COST'!$F$57,FIND(":",'IN_COST'!$F$57)+1,2)),1))*INDEX('IN_COST'!$E$15:$E$19,IFERROR(VALUE(MID('IN_COST'!$F$57,FIND(":",'IN_COST'!$F$57)+1,2)),1))*'IN_COST'!$D$10*'IN_COST'!$D$11*'ENG_SCEN'!$M$33,IF('IN_COST'!$E$57="SRV",SUM(INDEX('ENG_ALLOC'!$D$29:$P$58,(IFERROR(VALUE(MID('IN_COST'!$F$57,FIND(":",'IN_COST'!$F$57)+1,2)),1)-1)*6+1,10):INDEX('ENG_ALLOC'!$D$29:$P$58,IFERROR(VALUE(MID('IN_COST'!$F$57,FIND(":",'IN_COST'!$F$57)+1,2)),1)*6,10)),0)))))))))))*IF('IN_COST'!$E$57="DEP",'ENG_SCEN'!$G$16,IF('IN_COST'!$I$57="V",IF('IN_COST'!$E$57="SCRAP_LME",'ENG_SCEN'!$G$13,'ENG_SCEN'!$G$14),'ENG_SCEN'!$G$15))</f>
        <v/>
      </c>
      <c r="N71" s="33">
        <f>'IN_MACRO'!$N$34*IF('IN_COST'!$E$57="SCRAP_LME",'ENG_OPS'!$N$20*'IN_COST'!$F$57*'ENG_SCEN'!$N$37,IF('IN_COST'!$E$57="PER_TON_BATT",'ENG_OPS'!$N$20*'IN_COST'!$F$57*IF('IN_COST'!$G$57="FX",'ENG_SCEN'!$N$36,IF('IN_COST'!$G$57="PPI",'ENG_SCEN'!$N$35,IF('IN_COST'!$G$57="ENERGY",'ENG_SCEN'!$N$34,IF('IN_COST'!$G$57="WAGE",'ENG_SCEN'!$N$33,IF('IN_COST'!$G$57="CPI",'ENG_SCEN'!$N$32,1))))),IF('IN_COST'!$E$57="PER_TON_PROD",'ENG_OPS'!$N$43*'IN_COST'!$F$57*IF('IN_COST'!$G$57="FX",'ENG_SCEN'!$N$36,IF('IN_COST'!$G$57="PPI",'ENG_SCEN'!$N$35,IF('IN_COST'!$G$57="ENERGY",'ENG_SCEN'!$N$34,IF('IN_COST'!$G$57="WAGE",'ENG_SCEN'!$N$33,IF('IN_COST'!$G$57="CPI",'ENG_SCEN'!$N$32,1))))),IF('IN_COST'!$E$57="PER_KWH",'ENG_OPS'!$N$63*'IN_COST'!$F$57*IF('IN_COST'!$G$57="FX",'ENG_SCEN'!$N$36,IF('IN_COST'!$G$57="PPI",'ENG_SCEN'!$N$35,IF('IN_COST'!$G$57="ENERGY",'ENG_SCEN'!$N$34,IF('IN_COST'!$G$57="WAGE",'ENG_SCEN'!$N$33,IF('IN_COST'!$G$57="CPI",'ENG_SCEN'!$N$32,1))))),IF('IN_COST'!$E$57="PER_M3",'ENG_OPS'!$N$64*'IN_COST'!$F$57*IF('IN_COST'!$G$57="FX",'ENG_SCEN'!$N$36,IF('IN_COST'!$G$57="PPI",'ENG_SCEN'!$N$35,IF('IN_COST'!$G$57="ENERGY",'ENG_SCEN'!$N$34,IF('IN_COST'!$G$57="WAGE",'ENG_SCEN'!$N$33,IF('IN_COST'!$G$57="CPI",'ENG_SCEN'!$N$32,1))))),IF('IN_COST'!$E$57="ANNUAL",'IN_COST'!$F$57*IF('IN_COST'!$G$57="FX",'ENG_SCEN'!$N$36,IF('IN_COST'!$G$57="PPI",'ENG_SCEN'!$N$35,IF('IN_COST'!$G$57="ENERGY",'ENG_SCEN'!$N$34,IF('IN_COST'!$G$57="WAGE",'ENG_SCEN'!$N$33,IF('IN_COST'!$G$57="CPI",'ENG_SCEN'!$N$32,1))))),IF('IN_COST'!$E$57="PCT_REV",'ENG_OPS'!$N$81*'IN_COST'!$F$57,IF('IN_COST'!$E$57="PCT_ASSET",'ENG_CAPEX'!$N$84*'IN_COST'!$F$57,IF('IN_COST'!$E$57="DEP",'ENG_CAPEX'!$N$81,IF('IN_COST'!$E$57="PAY",INDEX('IN_COST'!$D$15:$D$19,IFERROR(VALUE(MID('IN_COST'!$F$57,FIND(":",'IN_COST'!$F$57)+1,2)),1))*INDEX('IN_COST'!$E$15:$E$19,IFERROR(VALUE(MID('IN_COST'!$F$57,FIND(":",'IN_COST'!$F$57)+1,2)),1))*'IN_COST'!$D$10*'IN_COST'!$D$11*'ENG_SCEN'!$N$33,IF('IN_COST'!$E$57="SRV",SUM(INDEX('ENG_ALLOC'!$D$29:$P$58,(IFERROR(VALUE(MID('IN_COST'!$F$57,FIND(":",'IN_COST'!$F$57)+1,2)),1)-1)*6+1,11):INDEX('ENG_ALLOC'!$D$29:$P$58,IFERROR(VALUE(MID('IN_COST'!$F$57,FIND(":",'IN_COST'!$F$57)+1,2)),1)*6,11)),0)))))))))))*IF('IN_COST'!$E$57="DEP",'ENG_SCEN'!$G$16,IF('IN_COST'!$I$57="V",IF('IN_COST'!$E$57="SCRAP_LME",'ENG_SCEN'!$G$13,'ENG_SCEN'!$G$14),'ENG_SCEN'!$G$15))</f>
        <v/>
      </c>
      <c r="O71" s="33">
        <f>'IN_MACRO'!$O$34*IF('IN_COST'!$E$57="SCRAP_LME",'ENG_OPS'!$O$20*'IN_COST'!$F$57*'ENG_SCEN'!$O$37,IF('IN_COST'!$E$57="PER_TON_BATT",'ENG_OPS'!$O$20*'IN_COST'!$F$57*IF('IN_COST'!$G$57="FX",'ENG_SCEN'!$O$36,IF('IN_COST'!$G$57="PPI",'ENG_SCEN'!$O$35,IF('IN_COST'!$G$57="ENERGY",'ENG_SCEN'!$O$34,IF('IN_COST'!$G$57="WAGE",'ENG_SCEN'!$O$33,IF('IN_COST'!$G$57="CPI",'ENG_SCEN'!$O$32,1))))),IF('IN_COST'!$E$57="PER_TON_PROD",'ENG_OPS'!$O$43*'IN_COST'!$F$57*IF('IN_COST'!$G$57="FX",'ENG_SCEN'!$O$36,IF('IN_COST'!$G$57="PPI",'ENG_SCEN'!$O$35,IF('IN_COST'!$G$57="ENERGY",'ENG_SCEN'!$O$34,IF('IN_COST'!$G$57="WAGE",'ENG_SCEN'!$O$33,IF('IN_COST'!$G$57="CPI",'ENG_SCEN'!$O$32,1))))),IF('IN_COST'!$E$57="PER_KWH",'ENG_OPS'!$O$63*'IN_COST'!$F$57*IF('IN_COST'!$G$57="FX",'ENG_SCEN'!$O$36,IF('IN_COST'!$G$57="PPI",'ENG_SCEN'!$O$35,IF('IN_COST'!$G$57="ENERGY",'ENG_SCEN'!$O$34,IF('IN_COST'!$G$57="WAGE",'ENG_SCEN'!$O$33,IF('IN_COST'!$G$57="CPI",'ENG_SCEN'!$O$32,1))))),IF('IN_COST'!$E$57="PER_M3",'ENG_OPS'!$O$64*'IN_COST'!$F$57*IF('IN_COST'!$G$57="FX",'ENG_SCEN'!$O$36,IF('IN_COST'!$G$57="PPI",'ENG_SCEN'!$O$35,IF('IN_COST'!$G$57="ENERGY",'ENG_SCEN'!$O$34,IF('IN_COST'!$G$57="WAGE",'ENG_SCEN'!$O$33,IF('IN_COST'!$G$57="CPI",'ENG_SCEN'!$O$32,1))))),IF('IN_COST'!$E$57="ANNUAL",'IN_COST'!$F$57*IF('IN_COST'!$G$57="FX",'ENG_SCEN'!$O$36,IF('IN_COST'!$G$57="PPI",'ENG_SCEN'!$O$35,IF('IN_COST'!$G$57="ENERGY",'ENG_SCEN'!$O$34,IF('IN_COST'!$G$57="WAGE",'ENG_SCEN'!$O$33,IF('IN_COST'!$G$57="CPI",'ENG_SCEN'!$O$32,1))))),IF('IN_COST'!$E$57="PCT_REV",'ENG_OPS'!$O$81*'IN_COST'!$F$57,IF('IN_COST'!$E$57="PCT_ASSET",'ENG_CAPEX'!$O$84*'IN_COST'!$F$57,IF('IN_COST'!$E$57="DEP",'ENG_CAPEX'!$O$81,IF('IN_COST'!$E$57="PAY",INDEX('IN_COST'!$D$15:$D$19,IFERROR(VALUE(MID('IN_COST'!$F$57,FIND(":",'IN_COST'!$F$57)+1,2)),1))*INDEX('IN_COST'!$E$15:$E$19,IFERROR(VALUE(MID('IN_COST'!$F$57,FIND(":",'IN_COST'!$F$57)+1,2)),1))*'IN_COST'!$D$10*'IN_COST'!$D$11*'ENG_SCEN'!$O$33,IF('IN_COST'!$E$57="SRV",SUM(INDEX('ENG_ALLOC'!$D$29:$P$58,(IFERROR(VALUE(MID('IN_COST'!$F$57,FIND(":",'IN_COST'!$F$57)+1,2)),1)-1)*6+1,12):INDEX('ENG_ALLOC'!$D$29:$P$58,IFERROR(VALUE(MID('IN_COST'!$F$57,FIND(":",'IN_COST'!$F$57)+1,2)),1)*6,12)),0)))))))))))*IF('IN_COST'!$E$57="DEP",'ENG_SCEN'!$G$16,IF('IN_COST'!$I$57="V",IF('IN_COST'!$E$57="SCRAP_LME",'ENG_SCEN'!$G$13,'ENG_SCEN'!$G$14),'ENG_SCEN'!$G$15))</f>
        <v/>
      </c>
      <c r="P71" s="33">
        <f>'IN_MACRO'!$P$34*IF('IN_COST'!$E$57="SCRAP_LME",'ENG_OPS'!$P$20*'IN_COST'!$F$57*'ENG_SCEN'!$P$37,IF('IN_COST'!$E$57="PER_TON_BATT",'ENG_OPS'!$P$20*'IN_COST'!$F$57*IF('IN_COST'!$G$57="FX",'ENG_SCEN'!$P$36,IF('IN_COST'!$G$57="PPI",'ENG_SCEN'!$P$35,IF('IN_COST'!$G$57="ENERGY",'ENG_SCEN'!$P$34,IF('IN_COST'!$G$57="WAGE",'ENG_SCEN'!$P$33,IF('IN_COST'!$G$57="CPI",'ENG_SCEN'!$P$32,1))))),IF('IN_COST'!$E$57="PER_TON_PROD",'ENG_OPS'!$P$43*'IN_COST'!$F$57*IF('IN_COST'!$G$57="FX",'ENG_SCEN'!$P$36,IF('IN_COST'!$G$57="PPI",'ENG_SCEN'!$P$35,IF('IN_COST'!$G$57="ENERGY",'ENG_SCEN'!$P$34,IF('IN_COST'!$G$57="WAGE",'ENG_SCEN'!$P$33,IF('IN_COST'!$G$57="CPI",'ENG_SCEN'!$P$32,1))))),IF('IN_COST'!$E$57="PER_KWH",'ENG_OPS'!$P$63*'IN_COST'!$F$57*IF('IN_COST'!$G$57="FX",'ENG_SCEN'!$P$36,IF('IN_COST'!$G$57="PPI",'ENG_SCEN'!$P$35,IF('IN_COST'!$G$57="ENERGY",'ENG_SCEN'!$P$34,IF('IN_COST'!$G$57="WAGE",'ENG_SCEN'!$P$33,IF('IN_COST'!$G$57="CPI",'ENG_SCEN'!$P$32,1))))),IF('IN_COST'!$E$57="PER_M3",'ENG_OPS'!$P$64*'IN_COST'!$F$57*IF('IN_COST'!$G$57="FX",'ENG_SCEN'!$P$36,IF('IN_COST'!$G$57="PPI",'ENG_SCEN'!$P$35,IF('IN_COST'!$G$57="ENERGY",'ENG_SCEN'!$P$34,IF('IN_COST'!$G$57="WAGE",'ENG_SCEN'!$P$33,IF('IN_COST'!$G$57="CPI",'ENG_SCEN'!$P$32,1))))),IF('IN_COST'!$E$57="ANNUAL",'IN_COST'!$F$57*IF('IN_COST'!$G$57="FX",'ENG_SCEN'!$P$36,IF('IN_COST'!$G$57="PPI",'ENG_SCEN'!$P$35,IF('IN_COST'!$G$57="ENERGY",'ENG_SCEN'!$P$34,IF('IN_COST'!$G$57="WAGE",'ENG_SCEN'!$P$33,IF('IN_COST'!$G$57="CPI",'ENG_SCEN'!$P$32,1))))),IF('IN_COST'!$E$57="PCT_REV",'ENG_OPS'!$P$81*'IN_COST'!$F$57,IF('IN_COST'!$E$57="PCT_ASSET",'ENG_CAPEX'!$P$84*'IN_COST'!$F$57,IF('IN_COST'!$E$57="DEP",'ENG_CAPEX'!$P$81,IF('IN_COST'!$E$57="PAY",INDEX('IN_COST'!$D$15:$D$19,IFERROR(VALUE(MID('IN_COST'!$F$57,FIND(":",'IN_COST'!$F$57)+1,2)),1))*INDEX('IN_COST'!$E$15:$E$19,IFERROR(VALUE(MID('IN_COST'!$F$57,FIND(":",'IN_COST'!$F$57)+1,2)),1))*'IN_COST'!$D$10*'IN_COST'!$D$11*'ENG_SCEN'!$P$33,IF('IN_COST'!$E$57="SRV",SUM(INDEX('ENG_ALLOC'!$D$29:$P$58,(IFERROR(VALUE(MID('IN_COST'!$F$57,FIND(":",'IN_COST'!$F$57)+1,2)),1)-1)*6+1,13):INDEX('ENG_ALLOC'!$D$29:$P$58,IFERROR(VALUE(MID('IN_COST'!$F$57,FIND(":",'IN_COST'!$F$57)+1,2)),1)*6,13)),0)))))))))))*IF('IN_COST'!$E$57="DEP",'ENG_SCEN'!$G$16,IF('IN_COST'!$I$57="V",IF('IN_COST'!$E$57="SCRAP_LME",'ENG_SCEN'!$G$13,'ENG_SCEN'!$G$14),'ENG_SCEN'!$G$15))</f>
        <v/>
      </c>
    </row>
    <row r="72">
      <c r="A72" s="15" t="inlineStr">
        <is>
          <t>FPC-11 | مرکز خدماتی: منابع انسانی</t>
        </is>
      </c>
      <c r="B72" s="16" t="inlineStr">
        <is>
          <t>EC.tot.25</t>
        </is>
      </c>
      <c r="C72" s="17" t="inlineStr">
        <is>
          <t>میلیون ریال</t>
        </is>
      </c>
      <c r="D72" s="33">
        <f>'IN_MACRO'!$D$34*IF('IN_COST'!$E$58="SCRAP_LME",'ENG_OPS'!$D$20*'IN_COST'!$F$58*'ENG_SCEN'!$D$37,IF('IN_COST'!$E$58="PER_TON_BATT",'ENG_OPS'!$D$20*'IN_COST'!$F$58*IF('IN_COST'!$G$58="FX",'ENG_SCEN'!$D$36,IF('IN_COST'!$G$58="PPI",'ENG_SCEN'!$D$35,IF('IN_COST'!$G$58="ENERGY",'ENG_SCEN'!$D$34,IF('IN_COST'!$G$58="WAGE",'ENG_SCEN'!$D$33,IF('IN_COST'!$G$58="CPI",'ENG_SCEN'!$D$32,1))))),IF('IN_COST'!$E$58="PER_TON_PROD",'ENG_OPS'!$D$43*'IN_COST'!$F$58*IF('IN_COST'!$G$58="FX",'ENG_SCEN'!$D$36,IF('IN_COST'!$G$58="PPI",'ENG_SCEN'!$D$35,IF('IN_COST'!$G$58="ENERGY",'ENG_SCEN'!$D$34,IF('IN_COST'!$G$58="WAGE",'ENG_SCEN'!$D$33,IF('IN_COST'!$G$58="CPI",'ENG_SCEN'!$D$32,1))))),IF('IN_COST'!$E$58="PER_KWH",'ENG_OPS'!$D$63*'IN_COST'!$F$58*IF('IN_COST'!$G$58="FX",'ENG_SCEN'!$D$36,IF('IN_COST'!$G$58="PPI",'ENG_SCEN'!$D$35,IF('IN_COST'!$G$58="ENERGY",'ENG_SCEN'!$D$34,IF('IN_COST'!$G$58="WAGE",'ENG_SCEN'!$D$33,IF('IN_COST'!$G$58="CPI",'ENG_SCEN'!$D$32,1))))),IF('IN_COST'!$E$58="PER_M3",'ENG_OPS'!$D$64*'IN_COST'!$F$58*IF('IN_COST'!$G$58="FX",'ENG_SCEN'!$D$36,IF('IN_COST'!$G$58="PPI",'ENG_SCEN'!$D$35,IF('IN_COST'!$G$58="ENERGY",'ENG_SCEN'!$D$34,IF('IN_COST'!$G$58="WAGE",'ENG_SCEN'!$D$33,IF('IN_COST'!$G$58="CPI",'ENG_SCEN'!$D$32,1))))),IF('IN_COST'!$E$58="ANNUAL",'IN_COST'!$F$58*IF('IN_COST'!$G$58="FX",'ENG_SCEN'!$D$36,IF('IN_COST'!$G$58="PPI",'ENG_SCEN'!$D$35,IF('IN_COST'!$G$58="ENERGY",'ENG_SCEN'!$D$34,IF('IN_COST'!$G$58="WAGE",'ENG_SCEN'!$D$33,IF('IN_COST'!$G$58="CPI",'ENG_SCEN'!$D$32,1))))),IF('IN_COST'!$E$58="PCT_REV",'ENG_OPS'!$D$81*'IN_COST'!$F$58,IF('IN_COST'!$E$58="PCT_ASSET",'ENG_CAPEX'!$D$84*'IN_COST'!$F$58,IF('IN_COST'!$E$58="DEP",'ENG_CAPEX'!$D$81,IF('IN_COST'!$E$58="PAY",INDEX('IN_COST'!$D$15:$D$19,IFERROR(VALUE(MID('IN_COST'!$F$58,FIND(":",'IN_COST'!$F$58)+1,2)),1))*INDEX('IN_COST'!$E$15:$E$19,IFERROR(VALUE(MID('IN_COST'!$F$58,FIND(":",'IN_COST'!$F$58)+1,2)),1))*'IN_COST'!$D$10*'IN_COST'!$D$11*'ENG_SCEN'!$D$33,IF('IN_COST'!$E$58="SRV",SUM(INDEX('ENG_ALLOC'!$D$29:$P$58,(IFERROR(VALUE(MID('IN_COST'!$F$58,FIND(":",'IN_COST'!$F$58)+1,2)),1)-1)*6+1,1):INDEX('ENG_ALLOC'!$D$29:$P$58,IFERROR(VALUE(MID('IN_COST'!$F$58,FIND(":",'IN_COST'!$F$58)+1,2)),1)*6,1)),0)))))))))))*IF('IN_COST'!$E$58="DEP",'ENG_SCEN'!$G$16,IF('IN_COST'!$I$58="V",IF('IN_COST'!$E$58="SCRAP_LME",'ENG_SCEN'!$G$13,'ENG_SCEN'!$G$14),'ENG_SCEN'!$G$15))</f>
        <v/>
      </c>
      <c r="E72" s="33">
        <f>'IN_MACRO'!$E$34*IF('IN_COST'!$E$58="SCRAP_LME",'ENG_OPS'!$E$20*'IN_COST'!$F$58*'ENG_SCEN'!$E$37,IF('IN_COST'!$E$58="PER_TON_BATT",'ENG_OPS'!$E$20*'IN_COST'!$F$58*IF('IN_COST'!$G$58="FX",'ENG_SCEN'!$E$36,IF('IN_COST'!$G$58="PPI",'ENG_SCEN'!$E$35,IF('IN_COST'!$G$58="ENERGY",'ENG_SCEN'!$E$34,IF('IN_COST'!$G$58="WAGE",'ENG_SCEN'!$E$33,IF('IN_COST'!$G$58="CPI",'ENG_SCEN'!$E$32,1))))),IF('IN_COST'!$E$58="PER_TON_PROD",'ENG_OPS'!$E$43*'IN_COST'!$F$58*IF('IN_COST'!$G$58="FX",'ENG_SCEN'!$E$36,IF('IN_COST'!$G$58="PPI",'ENG_SCEN'!$E$35,IF('IN_COST'!$G$58="ENERGY",'ENG_SCEN'!$E$34,IF('IN_COST'!$G$58="WAGE",'ENG_SCEN'!$E$33,IF('IN_COST'!$G$58="CPI",'ENG_SCEN'!$E$32,1))))),IF('IN_COST'!$E$58="PER_KWH",'ENG_OPS'!$E$63*'IN_COST'!$F$58*IF('IN_COST'!$G$58="FX",'ENG_SCEN'!$E$36,IF('IN_COST'!$G$58="PPI",'ENG_SCEN'!$E$35,IF('IN_COST'!$G$58="ENERGY",'ENG_SCEN'!$E$34,IF('IN_COST'!$G$58="WAGE",'ENG_SCEN'!$E$33,IF('IN_COST'!$G$58="CPI",'ENG_SCEN'!$E$32,1))))),IF('IN_COST'!$E$58="PER_M3",'ENG_OPS'!$E$64*'IN_COST'!$F$58*IF('IN_COST'!$G$58="FX",'ENG_SCEN'!$E$36,IF('IN_COST'!$G$58="PPI",'ENG_SCEN'!$E$35,IF('IN_COST'!$G$58="ENERGY",'ENG_SCEN'!$E$34,IF('IN_COST'!$G$58="WAGE",'ENG_SCEN'!$E$33,IF('IN_COST'!$G$58="CPI",'ENG_SCEN'!$E$32,1))))),IF('IN_COST'!$E$58="ANNUAL",'IN_COST'!$F$58*IF('IN_COST'!$G$58="FX",'ENG_SCEN'!$E$36,IF('IN_COST'!$G$58="PPI",'ENG_SCEN'!$E$35,IF('IN_COST'!$G$58="ENERGY",'ENG_SCEN'!$E$34,IF('IN_COST'!$G$58="WAGE",'ENG_SCEN'!$E$33,IF('IN_COST'!$G$58="CPI",'ENG_SCEN'!$E$32,1))))),IF('IN_COST'!$E$58="PCT_REV",'ENG_OPS'!$E$81*'IN_COST'!$F$58,IF('IN_COST'!$E$58="PCT_ASSET",'ENG_CAPEX'!$E$84*'IN_COST'!$F$58,IF('IN_COST'!$E$58="DEP",'ENG_CAPEX'!$E$81,IF('IN_COST'!$E$58="PAY",INDEX('IN_COST'!$D$15:$D$19,IFERROR(VALUE(MID('IN_COST'!$F$58,FIND(":",'IN_COST'!$F$58)+1,2)),1))*INDEX('IN_COST'!$E$15:$E$19,IFERROR(VALUE(MID('IN_COST'!$F$58,FIND(":",'IN_COST'!$F$58)+1,2)),1))*'IN_COST'!$D$10*'IN_COST'!$D$11*'ENG_SCEN'!$E$33,IF('IN_COST'!$E$58="SRV",SUM(INDEX('ENG_ALLOC'!$D$29:$P$58,(IFERROR(VALUE(MID('IN_COST'!$F$58,FIND(":",'IN_COST'!$F$58)+1,2)),1)-1)*6+1,2):INDEX('ENG_ALLOC'!$D$29:$P$58,IFERROR(VALUE(MID('IN_COST'!$F$58,FIND(":",'IN_COST'!$F$58)+1,2)),1)*6,2)),0)))))))))))*IF('IN_COST'!$E$58="DEP",'ENG_SCEN'!$G$16,IF('IN_COST'!$I$58="V",IF('IN_COST'!$E$58="SCRAP_LME",'ENG_SCEN'!$G$13,'ENG_SCEN'!$G$14),'ENG_SCEN'!$G$15))</f>
        <v/>
      </c>
      <c r="F72" s="33">
        <f>'IN_MACRO'!$F$34*IF('IN_COST'!$E$58="SCRAP_LME",'ENG_OPS'!$F$20*'IN_COST'!$F$58*'ENG_SCEN'!$F$37,IF('IN_COST'!$E$58="PER_TON_BATT",'ENG_OPS'!$F$20*'IN_COST'!$F$58*IF('IN_COST'!$G$58="FX",'ENG_SCEN'!$F$36,IF('IN_COST'!$G$58="PPI",'ENG_SCEN'!$F$35,IF('IN_COST'!$G$58="ENERGY",'ENG_SCEN'!$F$34,IF('IN_COST'!$G$58="WAGE",'ENG_SCEN'!$F$33,IF('IN_COST'!$G$58="CPI",'ENG_SCEN'!$F$32,1))))),IF('IN_COST'!$E$58="PER_TON_PROD",'ENG_OPS'!$F$43*'IN_COST'!$F$58*IF('IN_COST'!$G$58="FX",'ENG_SCEN'!$F$36,IF('IN_COST'!$G$58="PPI",'ENG_SCEN'!$F$35,IF('IN_COST'!$G$58="ENERGY",'ENG_SCEN'!$F$34,IF('IN_COST'!$G$58="WAGE",'ENG_SCEN'!$F$33,IF('IN_COST'!$G$58="CPI",'ENG_SCEN'!$F$32,1))))),IF('IN_COST'!$E$58="PER_KWH",'ENG_OPS'!$F$63*'IN_COST'!$F$58*IF('IN_COST'!$G$58="FX",'ENG_SCEN'!$F$36,IF('IN_COST'!$G$58="PPI",'ENG_SCEN'!$F$35,IF('IN_COST'!$G$58="ENERGY",'ENG_SCEN'!$F$34,IF('IN_COST'!$G$58="WAGE",'ENG_SCEN'!$F$33,IF('IN_COST'!$G$58="CPI",'ENG_SCEN'!$F$32,1))))),IF('IN_COST'!$E$58="PER_M3",'ENG_OPS'!$F$64*'IN_COST'!$F$58*IF('IN_COST'!$G$58="FX",'ENG_SCEN'!$F$36,IF('IN_COST'!$G$58="PPI",'ENG_SCEN'!$F$35,IF('IN_COST'!$G$58="ENERGY",'ENG_SCEN'!$F$34,IF('IN_COST'!$G$58="WAGE",'ENG_SCEN'!$F$33,IF('IN_COST'!$G$58="CPI",'ENG_SCEN'!$F$32,1))))),IF('IN_COST'!$E$58="ANNUAL",'IN_COST'!$F$58*IF('IN_COST'!$G$58="FX",'ENG_SCEN'!$F$36,IF('IN_COST'!$G$58="PPI",'ENG_SCEN'!$F$35,IF('IN_COST'!$G$58="ENERGY",'ENG_SCEN'!$F$34,IF('IN_COST'!$G$58="WAGE",'ENG_SCEN'!$F$33,IF('IN_COST'!$G$58="CPI",'ENG_SCEN'!$F$32,1))))),IF('IN_COST'!$E$58="PCT_REV",'ENG_OPS'!$F$81*'IN_COST'!$F$58,IF('IN_COST'!$E$58="PCT_ASSET",'ENG_CAPEX'!$F$84*'IN_COST'!$F$58,IF('IN_COST'!$E$58="DEP",'ENG_CAPEX'!$F$81,IF('IN_COST'!$E$58="PAY",INDEX('IN_COST'!$D$15:$D$19,IFERROR(VALUE(MID('IN_COST'!$F$58,FIND(":",'IN_COST'!$F$58)+1,2)),1))*INDEX('IN_COST'!$E$15:$E$19,IFERROR(VALUE(MID('IN_COST'!$F$58,FIND(":",'IN_COST'!$F$58)+1,2)),1))*'IN_COST'!$D$10*'IN_COST'!$D$11*'ENG_SCEN'!$F$33,IF('IN_COST'!$E$58="SRV",SUM(INDEX('ENG_ALLOC'!$D$29:$P$58,(IFERROR(VALUE(MID('IN_COST'!$F$58,FIND(":",'IN_COST'!$F$58)+1,2)),1)-1)*6+1,3):INDEX('ENG_ALLOC'!$D$29:$P$58,IFERROR(VALUE(MID('IN_COST'!$F$58,FIND(":",'IN_COST'!$F$58)+1,2)),1)*6,3)),0)))))))))))*IF('IN_COST'!$E$58="DEP",'ENG_SCEN'!$G$16,IF('IN_COST'!$I$58="V",IF('IN_COST'!$E$58="SCRAP_LME",'ENG_SCEN'!$G$13,'ENG_SCEN'!$G$14),'ENG_SCEN'!$G$15))</f>
        <v/>
      </c>
      <c r="G72" s="33">
        <f>'IN_MACRO'!$G$34*IF('IN_COST'!$E$58="SCRAP_LME",'ENG_OPS'!$G$20*'IN_COST'!$F$58*'ENG_SCEN'!$G$37,IF('IN_COST'!$E$58="PER_TON_BATT",'ENG_OPS'!$G$20*'IN_COST'!$F$58*IF('IN_COST'!$G$58="FX",'ENG_SCEN'!$G$36,IF('IN_COST'!$G$58="PPI",'ENG_SCEN'!$G$35,IF('IN_COST'!$G$58="ENERGY",'ENG_SCEN'!$G$34,IF('IN_COST'!$G$58="WAGE",'ENG_SCEN'!$G$33,IF('IN_COST'!$G$58="CPI",'ENG_SCEN'!$G$32,1))))),IF('IN_COST'!$E$58="PER_TON_PROD",'ENG_OPS'!$G$43*'IN_COST'!$F$58*IF('IN_COST'!$G$58="FX",'ENG_SCEN'!$G$36,IF('IN_COST'!$G$58="PPI",'ENG_SCEN'!$G$35,IF('IN_COST'!$G$58="ENERGY",'ENG_SCEN'!$G$34,IF('IN_COST'!$G$58="WAGE",'ENG_SCEN'!$G$33,IF('IN_COST'!$G$58="CPI",'ENG_SCEN'!$G$32,1))))),IF('IN_COST'!$E$58="PER_KWH",'ENG_OPS'!$G$63*'IN_COST'!$F$58*IF('IN_COST'!$G$58="FX",'ENG_SCEN'!$G$36,IF('IN_COST'!$G$58="PPI",'ENG_SCEN'!$G$35,IF('IN_COST'!$G$58="ENERGY",'ENG_SCEN'!$G$34,IF('IN_COST'!$G$58="WAGE",'ENG_SCEN'!$G$33,IF('IN_COST'!$G$58="CPI",'ENG_SCEN'!$G$32,1))))),IF('IN_COST'!$E$58="PER_M3",'ENG_OPS'!$G$64*'IN_COST'!$F$58*IF('IN_COST'!$G$58="FX",'ENG_SCEN'!$G$36,IF('IN_COST'!$G$58="PPI",'ENG_SCEN'!$G$35,IF('IN_COST'!$G$58="ENERGY",'ENG_SCEN'!$G$34,IF('IN_COST'!$G$58="WAGE",'ENG_SCEN'!$G$33,IF('IN_COST'!$G$58="CPI",'ENG_SCEN'!$G$32,1))))),IF('IN_COST'!$E$58="ANNUAL",'IN_COST'!$F$58*IF('IN_COST'!$G$58="FX",'ENG_SCEN'!$G$36,IF('IN_COST'!$G$58="PPI",'ENG_SCEN'!$G$35,IF('IN_COST'!$G$58="ENERGY",'ENG_SCEN'!$G$34,IF('IN_COST'!$G$58="WAGE",'ENG_SCEN'!$G$33,IF('IN_COST'!$G$58="CPI",'ENG_SCEN'!$G$32,1))))),IF('IN_COST'!$E$58="PCT_REV",'ENG_OPS'!$G$81*'IN_COST'!$F$58,IF('IN_COST'!$E$58="PCT_ASSET",'ENG_CAPEX'!$G$84*'IN_COST'!$F$58,IF('IN_COST'!$E$58="DEP",'ENG_CAPEX'!$G$81,IF('IN_COST'!$E$58="PAY",INDEX('IN_COST'!$D$15:$D$19,IFERROR(VALUE(MID('IN_COST'!$F$58,FIND(":",'IN_COST'!$F$58)+1,2)),1))*INDEX('IN_COST'!$E$15:$E$19,IFERROR(VALUE(MID('IN_COST'!$F$58,FIND(":",'IN_COST'!$F$58)+1,2)),1))*'IN_COST'!$D$10*'IN_COST'!$D$11*'ENG_SCEN'!$G$33,IF('IN_COST'!$E$58="SRV",SUM(INDEX('ENG_ALLOC'!$D$29:$P$58,(IFERROR(VALUE(MID('IN_COST'!$F$58,FIND(":",'IN_COST'!$F$58)+1,2)),1)-1)*6+1,4):INDEX('ENG_ALLOC'!$D$29:$P$58,IFERROR(VALUE(MID('IN_COST'!$F$58,FIND(":",'IN_COST'!$F$58)+1,2)),1)*6,4)),0)))))))))))*IF('IN_COST'!$E$58="DEP",'ENG_SCEN'!$G$16,IF('IN_COST'!$I$58="V",IF('IN_COST'!$E$58="SCRAP_LME",'ENG_SCEN'!$G$13,'ENG_SCEN'!$G$14),'ENG_SCEN'!$G$15))</f>
        <v/>
      </c>
      <c r="H72" s="33">
        <f>'IN_MACRO'!$H$34*IF('IN_COST'!$E$58="SCRAP_LME",'ENG_OPS'!$H$20*'IN_COST'!$F$58*'ENG_SCEN'!$H$37,IF('IN_COST'!$E$58="PER_TON_BATT",'ENG_OPS'!$H$20*'IN_COST'!$F$58*IF('IN_COST'!$G$58="FX",'ENG_SCEN'!$H$36,IF('IN_COST'!$G$58="PPI",'ENG_SCEN'!$H$35,IF('IN_COST'!$G$58="ENERGY",'ENG_SCEN'!$H$34,IF('IN_COST'!$G$58="WAGE",'ENG_SCEN'!$H$33,IF('IN_COST'!$G$58="CPI",'ENG_SCEN'!$H$32,1))))),IF('IN_COST'!$E$58="PER_TON_PROD",'ENG_OPS'!$H$43*'IN_COST'!$F$58*IF('IN_COST'!$G$58="FX",'ENG_SCEN'!$H$36,IF('IN_COST'!$G$58="PPI",'ENG_SCEN'!$H$35,IF('IN_COST'!$G$58="ENERGY",'ENG_SCEN'!$H$34,IF('IN_COST'!$G$58="WAGE",'ENG_SCEN'!$H$33,IF('IN_COST'!$G$58="CPI",'ENG_SCEN'!$H$32,1))))),IF('IN_COST'!$E$58="PER_KWH",'ENG_OPS'!$H$63*'IN_COST'!$F$58*IF('IN_COST'!$G$58="FX",'ENG_SCEN'!$H$36,IF('IN_COST'!$G$58="PPI",'ENG_SCEN'!$H$35,IF('IN_COST'!$G$58="ENERGY",'ENG_SCEN'!$H$34,IF('IN_COST'!$G$58="WAGE",'ENG_SCEN'!$H$33,IF('IN_COST'!$G$58="CPI",'ENG_SCEN'!$H$32,1))))),IF('IN_COST'!$E$58="PER_M3",'ENG_OPS'!$H$64*'IN_COST'!$F$58*IF('IN_COST'!$G$58="FX",'ENG_SCEN'!$H$36,IF('IN_COST'!$G$58="PPI",'ENG_SCEN'!$H$35,IF('IN_COST'!$G$58="ENERGY",'ENG_SCEN'!$H$34,IF('IN_COST'!$G$58="WAGE",'ENG_SCEN'!$H$33,IF('IN_COST'!$G$58="CPI",'ENG_SCEN'!$H$32,1))))),IF('IN_COST'!$E$58="ANNUAL",'IN_COST'!$F$58*IF('IN_COST'!$G$58="FX",'ENG_SCEN'!$H$36,IF('IN_COST'!$G$58="PPI",'ENG_SCEN'!$H$35,IF('IN_COST'!$G$58="ENERGY",'ENG_SCEN'!$H$34,IF('IN_COST'!$G$58="WAGE",'ENG_SCEN'!$H$33,IF('IN_COST'!$G$58="CPI",'ENG_SCEN'!$H$32,1))))),IF('IN_COST'!$E$58="PCT_REV",'ENG_OPS'!$H$81*'IN_COST'!$F$58,IF('IN_COST'!$E$58="PCT_ASSET",'ENG_CAPEX'!$H$84*'IN_COST'!$F$58,IF('IN_COST'!$E$58="DEP",'ENG_CAPEX'!$H$81,IF('IN_COST'!$E$58="PAY",INDEX('IN_COST'!$D$15:$D$19,IFERROR(VALUE(MID('IN_COST'!$F$58,FIND(":",'IN_COST'!$F$58)+1,2)),1))*INDEX('IN_COST'!$E$15:$E$19,IFERROR(VALUE(MID('IN_COST'!$F$58,FIND(":",'IN_COST'!$F$58)+1,2)),1))*'IN_COST'!$D$10*'IN_COST'!$D$11*'ENG_SCEN'!$H$33,IF('IN_COST'!$E$58="SRV",SUM(INDEX('ENG_ALLOC'!$D$29:$P$58,(IFERROR(VALUE(MID('IN_COST'!$F$58,FIND(":",'IN_COST'!$F$58)+1,2)),1)-1)*6+1,5):INDEX('ENG_ALLOC'!$D$29:$P$58,IFERROR(VALUE(MID('IN_COST'!$F$58,FIND(":",'IN_COST'!$F$58)+1,2)),1)*6,5)),0)))))))))))*IF('IN_COST'!$E$58="DEP",'ENG_SCEN'!$G$16,IF('IN_COST'!$I$58="V",IF('IN_COST'!$E$58="SCRAP_LME",'ENG_SCEN'!$G$13,'ENG_SCEN'!$G$14),'ENG_SCEN'!$G$15))</f>
        <v/>
      </c>
      <c r="I72" s="33">
        <f>'IN_MACRO'!$I$34*IF('IN_COST'!$E$58="SCRAP_LME",'ENG_OPS'!$I$20*'IN_COST'!$F$58*'ENG_SCEN'!$I$37,IF('IN_COST'!$E$58="PER_TON_BATT",'ENG_OPS'!$I$20*'IN_COST'!$F$58*IF('IN_COST'!$G$58="FX",'ENG_SCEN'!$I$36,IF('IN_COST'!$G$58="PPI",'ENG_SCEN'!$I$35,IF('IN_COST'!$G$58="ENERGY",'ENG_SCEN'!$I$34,IF('IN_COST'!$G$58="WAGE",'ENG_SCEN'!$I$33,IF('IN_COST'!$G$58="CPI",'ENG_SCEN'!$I$32,1))))),IF('IN_COST'!$E$58="PER_TON_PROD",'ENG_OPS'!$I$43*'IN_COST'!$F$58*IF('IN_COST'!$G$58="FX",'ENG_SCEN'!$I$36,IF('IN_COST'!$G$58="PPI",'ENG_SCEN'!$I$35,IF('IN_COST'!$G$58="ENERGY",'ENG_SCEN'!$I$34,IF('IN_COST'!$G$58="WAGE",'ENG_SCEN'!$I$33,IF('IN_COST'!$G$58="CPI",'ENG_SCEN'!$I$32,1))))),IF('IN_COST'!$E$58="PER_KWH",'ENG_OPS'!$I$63*'IN_COST'!$F$58*IF('IN_COST'!$G$58="FX",'ENG_SCEN'!$I$36,IF('IN_COST'!$G$58="PPI",'ENG_SCEN'!$I$35,IF('IN_COST'!$G$58="ENERGY",'ENG_SCEN'!$I$34,IF('IN_COST'!$G$58="WAGE",'ENG_SCEN'!$I$33,IF('IN_COST'!$G$58="CPI",'ENG_SCEN'!$I$32,1))))),IF('IN_COST'!$E$58="PER_M3",'ENG_OPS'!$I$64*'IN_COST'!$F$58*IF('IN_COST'!$G$58="FX",'ENG_SCEN'!$I$36,IF('IN_COST'!$G$58="PPI",'ENG_SCEN'!$I$35,IF('IN_COST'!$G$58="ENERGY",'ENG_SCEN'!$I$34,IF('IN_COST'!$G$58="WAGE",'ENG_SCEN'!$I$33,IF('IN_COST'!$G$58="CPI",'ENG_SCEN'!$I$32,1))))),IF('IN_COST'!$E$58="ANNUAL",'IN_COST'!$F$58*IF('IN_COST'!$G$58="FX",'ENG_SCEN'!$I$36,IF('IN_COST'!$G$58="PPI",'ENG_SCEN'!$I$35,IF('IN_COST'!$G$58="ENERGY",'ENG_SCEN'!$I$34,IF('IN_COST'!$G$58="WAGE",'ENG_SCEN'!$I$33,IF('IN_COST'!$G$58="CPI",'ENG_SCEN'!$I$32,1))))),IF('IN_COST'!$E$58="PCT_REV",'ENG_OPS'!$I$81*'IN_COST'!$F$58,IF('IN_COST'!$E$58="PCT_ASSET",'ENG_CAPEX'!$I$84*'IN_COST'!$F$58,IF('IN_COST'!$E$58="DEP",'ENG_CAPEX'!$I$81,IF('IN_COST'!$E$58="PAY",INDEX('IN_COST'!$D$15:$D$19,IFERROR(VALUE(MID('IN_COST'!$F$58,FIND(":",'IN_COST'!$F$58)+1,2)),1))*INDEX('IN_COST'!$E$15:$E$19,IFERROR(VALUE(MID('IN_COST'!$F$58,FIND(":",'IN_COST'!$F$58)+1,2)),1))*'IN_COST'!$D$10*'IN_COST'!$D$11*'ENG_SCEN'!$I$33,IF('IN_COST'!$E$58="SRV",SUM(INDEX('ENG_ALLOC'!$D$29:$P$58,(IFERROR(VALUE(MID('IN_COST'!$F$58,FIND(":",'IN_COST'!$F$58)+1,2)),1)-1)*6+1,6):INDEX('ENG_ALLOC'!$D$29:$P$58,IFERROR(VALUE(MID('IN_COST'!$F$58,FIND(":",'IN_COST'!$F$58)+1,2)),1)*6,6)),0)))))))))))*IF('IN_COST'!$E$58="DEP",'ENG_SCEN'!$G$16,IF('IN_COST'!$I$58="V",IF('IN_COST'!$E$58="SCRAP_LME",'ENG_SCEN'!$G$13,'ENG_SCEN'!$G$14),'ENG_SCEN'!$G$15))</f>
        <v/>
      </c>
      <c r="J72" s="33">
        <f>'IN_MACRO'!$J$34*IF('IN_COST'!$E$58="SCRAP_LME",'ENG_OPS'!$J$20*'IN_COST'!$F$58*'ENG_SCEN'!$J$37,IF('IN_COST'!$E$58="PER_TON_BATT",'ENG_OPS'!$J$20*'IN_COST'!$F$58*IF('IN_COST'!$G$58="FX",'ENG_SCEN'!$J$36,IF('IN_COST'!$G$58="PPI",'ENG_SCEN'!$J$35,IF('IN_COST'!$G$58="ENERGY",'ENG_SCEN'!$J$34,IF('IN_COST'!$G$58="WAGE",'ENG_SCEN'!$J$33,IF('IN_COST'!$G$58="CPI",'ENG_SCEN'!$J$32,1))))),IF('IN_COST'!$E$58="PER_TON_PROD",'ENG_OPS'!$J$43*'IN_COST'!$F$58*IF('IN_COST'!$G$58="FX",'ENG_SCEN'!$J$36,IF('IN_COST'!$G$58="PPI",'ENG_SCEN'!$J$35,IF('IN_COST'!$G$58="ENERGY",'ENG_SCEN'!$J$34,IF('IN_COST'!$G$58="WAGE",'ENG_SCEN'!$J$33,IF('IN_COST'!$G$58="CPI",'ENG_SCEN'!$J$32,1))))),IF('IN_COST'!$E$58="PER_KWH",'ENG_OPS'!$J$63*'IN_COST'!$F$58*IF('IN_COST'!$G$58="FX",'ENG_SCEN'!$J$36,IF('IN_COST'!$G$58="PPI",'ENG_SCEN'!$J$35,IF('IN_COST'!$G$58="ENERGY",'ENG_SCEN'!$J$34,IF('IN_COST'!$G$58="WAGE",'ENG_SCEN'!$J$33,IF('IN_COST'!$G$58="CPI",'ENG_SCEN'!$J$32,1))))),IF('IN_COST'!$E$58="PER_M3",'ENG_OPS'!$J$64*'IN_COST'!$F$58*IF('IN_COST'!$G$58="FX",'ENG_SCEN'!$J$36,IF('IN_COST'!$G$58="PPI",'ENG_SCEN'!$J$35,IF('IN_COST'!$G$58="ENERGY",'ENG_SCEN'!$J$34,IF('IN_COST'!$G$58="WAGE",'ENG_SCEN'!$J$33,IF('IN_COST'!$G$58="CPI",'ENG_SCEN'!$J$32,1))))),IF('IN_COST'!$E$58="ANNUAL",'IN_COST'!$F$58*IF('IN_COST'!$G$58="FX",'ENG_SCEN'!$J$36,IF('IN_COST'!$G$58="PPI",'ENG_SCEN'!$J$35,IF('IN_COST'!$G$58="ENERGY",'ENG_SCEN'!$J$34,IF('IN_COST'!$G$58="WAGE",'ENG_SCEN'!$J$33,IF('IN_COST'!$G$58="CPI",'ENG_SCEN'!$J$32,1))))),IF('IN_COST'!$E$58="PCT_REV",'ENG_OPS'!$J$81*'IN_COST'!$F$58,IF('IN_COST'!$E$58="PCT_ASSET",'ENG_CAPEX'!$J$84*'IN_COST'!$F$58,IF('IN_COST'!$E$58="DEP",'ENG_CAPEX'!$J$81,IF('IN_COST'!$E$58="PAY",INDEX('IN_COST'!$D$15:$D$19,IFERROR(VALUE(MID('IN_COST'!$F$58,FIND(":",'IN_COST'!$F$58)+1,2)),1))*INDEX('IN_COST'!$E$15:$E$19,IFERROR(VALUE(MID('IN_COST'!$F$58,FIND(":",'IN_COST'!$F$58)+1,2)),1))*'IN_COST'!$D$10*'IN_COST'!$D$11*'ENG_SCEN'!$J$33,IF('IN_COST'!$E$58="SRV",SUM(INDEX('ENG_ALLOC'!$D$29:$P$58,(IFERROR(VALUE(MID('IN_COST'!$F$58,FIND(":",'IN_COST'!$F$58)+1,2)),1)-1)*6+1,7):INDEX('ENG_ALLOC'!$D$29:$P$58,IFERROR(VALUE(MID('IN_COST'!$F$58,FIND(":",'IN_COST'!$F$58)+1,2)),1)*6,7)),0)))))))))))*IF('IN_COST'!$E$58="DEP",'ENG_SCEN'!$G$16,IF('IN_COST'!$I$58="V",IF('IN_COST'!$E$58="SCRAP_LME",'ENG_SCEN'!$G$13,'ENG_SCEN'!$G$14),'ENG_SCEN'!$G$15))</f>
        <v/>
      </c>
      <c r="K72" s="33">
        <f>'IN_MACRO'!$K$34*IF('IN_COST'!$E$58="SCRAP_LME",'ENG_OPS'!$K$20*'IN_COST'!$F$58*'ENG_SCEN'!$K$37,IF('IN_COST'!$E$58="PER_TON_BATT",'ENG_OPS'!$K$20*'IN_COST'!$F$58*IF('IN_COST'!$G$58="FX",'ENG_SCEN'!$K$36,IF('IN_COST'!$G$58="PPI",'ENG_SCEN'!$K$35,IF('IN_COST'!$G$58="ENERGY",'ENG_SCEN'!$K$34,IF('IN_COST'!$G$58="WAGE",'ENG_SCEN'!$K$33,IF('IN_COST'!$G$58="CPI",'ENG_SCEN'!$K$32,1))))),IF('IN_COST'!$E$58="PER_TON_PROD",'ENG_OPS'!$K$43*'IN_COST'!$F$58*IF('IN_COST'!$G$58="FX",'ENG_SCEN'!$K$36,IF('IN_COST'!$G$58="PPI",'ENG_SCEN'!$K$35,IF('IN_COST'!$G$58="ENERGY",'ENG_SCEN'!$K$34,IF('IN_COST'!$G$58="WAGE",'ENG_SCEN'!$K$33,IF('IN_COST'!$G$58="CPI",'ENG_SCEN'!$K$32,1))))),IF('IN_COST'!$E$58="PER_KWH",'ENG_OPS'!$K$63*'IN_COST'!$F$58*IF('IN_COST'!$G$58="FX",'ENG_SCEN'!$K$36,IF('IN_COST'!$G$58="PPI",'ENG_SCEN'!$K$35,IF('IN_COST'!$G$58="ENERGY",'ENG_SCEN'!$K$34,IF('IN_COST'!$G$58="WAGE",'ENG_SCEN'!$K$33,IF('IN_COST'!$G$58="CPI",'ENG_SCEN'!$K$32,1))))),IF('IN_COST'!$E$58="PER_M3",'ENG_OPS'!$K$64*'IN_COST'!$F$58*IF('IN_COST'!$G$58="FX",'ENG_SCEN'!$K$36,IF('IN_COST'!$G$58="PPI",'ENG_SCEN'!$K$35,IF('IN_COST'!$G$58="ENERGY",'ENG_SCEN'!$K$34,IF('IN_COST'!$G$58="WAGE",'ENG_SCEN'!$K$33,IF('IN_COST'!$G$58="CPI",'ENG_SCEN'!$K$32,1))))),IF('IN_COST'!$E$58="ANNUAL",'IN_COST'!$F$58*IF('IN_COST'!$G$58="FX",'ENG_SCEN'!$K$36,IF('IN_COST'!$G$58="PPI",'ENG_SCEN'!$K$35,IF('IN_COST'!$G$58="ENERGY",'ENG_SCEN'!$K$34,IF('IN_COST'!$G$58="WAGE",'ENG_SCEN'!$K$33,IF('IN_COST'!$G$58="CPI",'ENG_SCEN'!$K$32,1))))),IF('IN_COST'!$E$58="PCT_REV",'ENG_OPS'!$K$81*'IN_COST'!$F$58,IF('IN_COST'!$E$58="PCT_ASSET",'ENG_CAPEX'!$K$84*'IN_COST'!$F$58,IF('IN_COST'!$E$58="DEP",'ENG_CAPEX'!$K$81,IF('IN_COST'!$E$58="PAY",INDEX('IN_COST'!$D$15:$D$19,IFERROR(VALUE(MID('IN_COST'!$F$58,FIND(":",'IN_COST'!$F$58)+1,2)),1))*INDEX('IN_COST'!$E$15:$E$19,IFERROR(VALUE(MID('IN_COST'!$F$58,FIND(":",'IN_COST'!$F$58)+1,2)),1))*'IN_COST'!$D$10*'IN_COST'!$D$11*'ENG_SCEN'!$K$33,IF('IN_COST'!$E$58="SRV",SUM(INDEX('ENG_ALLOC'!$D$29:$P$58,(IFERROR(VALUE(MID('IN_COST'!$F$58,FIND(":",'IN_COST'!$F$58)+1,2)),1)-1)*6+1,8):INDEX('ENG_ALLOC'!$D$29:$P$58,IFERROR(VALUE(MID('IN_COST'!$F$58,FIND(":",'IN_COST'!$F$58)+1,2)),1)*6,8)),0)))))))))))*IF('IN_COST'!$E$58="DEP",'ENG_SCEN'!$G$16,IF('IN_COST'!$I$58="V",IF('IN_COST'!$E$58="SCRAP_LME",'ENG_SCEN'!$G$13,'ENG_SCEN'!$G$14),'ENG_SCEN'!$G$15))</f>
        <v/>
      </c>
      <c r="L72" s="33">
        <f>'IN_MACRO'!$L$34*IF('IN_COST'!$E$58="SCRAP_LME",'ENG_OPS'!$L$20*'IN_COST'!$F$58*'ENG_SCEN'!$L$37,IF('IN_COST'!$E$58="PER_TON_BATT",'ENG_OPS'!$L$20*'IN_COST'!$F$58*IF('IN_COST'!$G$58="FX",'ENG_SCEN'!$L$36,IF('IN_COST'!$G$58="PPI",'ENG_SCEN'!$L$35,IF('IN_COST'!$G$58="ENERGY",'ENG_SCEN'!$L$34,IF('IN_COST'!$G$58="WAGE",'ENG_SCEN'!$L$33,IF('IN_COST'!$G$58="CPI",'ENG_SCEN'!$L$32,1))))),IF('IN_COST'!$E$58="PER_TON_PROD",'ENG_OPS'!$L$43*'IN_COST'!$F$58*IF('IN_COST'!$G$58="FX",'ENG_SCEN'!$L$36,IF('IN_COST'!$G$58="PPI",'ENG_SCEN'!$L$35,IF('IN_COST'!$G$58="ENERGY",'ENG_SCEN'!$L$34,IF('IN_COST'!$G$58="WAGE",'ENG_SCEN'!$L$33,IF('IN_COST'!$G$58="CPI",'ENG_SCEN'!$L$32,1))))),IF('IN_COST'!$E$58="PER_KWH",'ENG_OPS'!$L$63*'IN_COST'!$F$58*IF('IN_COST'!$G$58="FX",'ENG_SCEN'!$L$36,IF('IN_COST'!$G$58="PPI",'ENG_SCEN'!$L$35,IF('IN_COST'!$G$58="ENERGY",'ENG_SCEN'!$L$34,IF('IN_COST'!$G$58="WAGE",'ENG_SCEN'!$L$33,IF('IN_COST'!$G$58="CPI",'ENG_SCEN'!$L$32,1))))),IF('IN_COST'!$E$58="PER_M3",'ENG_OPS'!$L$64*'IN_COST'!$F$58*IF('IN_COST'!$G$58="FX",'ENG_SCEN'!$L$36,IF('IN_COST'!$G$58="PPI",'ENG_SCEN'!$L$35,IF('IN_COST'!$G$58="ENERGY",'ENG_SCEN'!$L$34,IF('IN_COST'!$G$58="WAGE",'ENG_SCEN'!$L$33,IF('IN_COST'!$G$58="CPI",'ENG_SCEN'!$L$32,1))))),IF('IN_COST'!$E$58="ANNUAL",'IN_COST'!$F$58*IF('IN_COST'!$G$58="FX",'ENG_SCEN'!$L$36,IF('IN_COST'!$G$58="PPI",'ENG_SCEN'!$L$35,IF('IN_COST'!$G$58="ENERGY",'ENG_SCEN'!$L$34,IF('IN_COST'!$G$58="WAGE",'ENG_SCEN'!$L$33,IF('IN_COST'!$G$58="CPI",'ENG_SCEN'!$L$32,1))))),IF('IN_COST'!$E$58="PCT_REV",'ENG_OPS'!$L$81*'IN_COST'!$F$58,IF('IN_COST'!$E$58="PCT_ASSET",'ENG_CAPEX'!$L$84*'IN_COST'!$F$58,IF('IN_COST'!$E$58="DEP",'ENG_CAPEX'!$L$81,IF('IN_COST'!$E$58="PAY",INDEX('IN_COST'!$D$15:$D$19,IFERROR(VALUE(MID('IN_COST'!$F$58,FIND(":",'IN_COST'!$F$58)+1,2)),1))*INDEX('IN_COST'!$E$15:$E$19,IFERROR(VALUE(MID('IN_COST'!$F$58,FIND(":",'IN_COST'!$F$58)+1,2)),1))*'IN_COST'!$D$10*'IN_COST'!$D$11*'ENG_SCEN'!$L$33,IF('IN_COST'!$E$58="SRV",SUM(INDEX('ENG_ALLOC'!$D$29:$P$58,(IFERROR(VALUE(MID('IN_COST'!$F$58,FIND(":",'IN_COST'!$F$58)+1,2)),1)-1)*6+1,9):INDEX('ENG_ALLOC'!$D$29:$P$58,IFERROR(VALUE(MID('IN_COST'!$F$58,FIND(":",'IN_COST'!$F$58)+1,2)),1)*6,9)),0)))))))))))*IF('IN_COST'!$E$58="DEP",'ENG_SCEN'!$G$16,IF('IN_COST'!$I$58="V",IF('IN_COST'!$E$58="SCRAP_LME",'ENG_SCEN'!$G$13,'ENG_SCEN'!$G$14),'ENG_SCEN'!$G$15))</f>
        <v/>
      </c>
      <c r="M72" s="33">
        <f>'IN_MACRO'!$M$34*IF('IN_COST'!$E$58="SCRAP_LME",'ENG_OPS'!$M$20*'IN_COST'!$F$58*'ENG_SCEN'!$M$37,IF('IN_COST'!$E$58="PER_TON_BATT",'ENG_OPS'!$M$20*'IN_COST'!$F$58*IF('IN_COST'!$G$58="FX",'ENG_SCEN'!$M$36,IF('IN_COST'!$G$58="PPI",'ENG_SCEN'!$M$35,IF('IN_COST'!$G$58="ENERGY",'ENG_SCEN'!$M$34,IF('IN_COST'!$G$58="WAGE",'ENG_SCEN'!$M$33,IF('IN_COST'!$G$58="CPI",'ENG_SCEN'!$M$32,1))))),IF('IN_COST'!$E$58="PER_TON_PROD",'ENG_OPS'!$M$43*'IN_COST'!$F$58*IF('IN_COST'!$G$58="FX",'ENG_SCEN'!$M$36,IF('IN_COST'!$G$58="PPI",'ENG_SCEN'!$M$35,IF('IN_COST'!$G$58="ENERGY",'ENG_SCEN'!$M$34,IF('IN_COST'!$G$58="WAGE",'ENG_SCEN'!$M$33,IF('IN_COST'!$G$58="CPI",'ENG_SCEN'!$M$32,1))))),IF('IN_COST'!$E$58="PER_KWH",'ENG_OPS'!$M$63*'IN_COST'!$F$58*IF('IN_COST'!$G$58="FX",'ENG_SCEN'!$M$36,IF('IN_COST'!$G$58="PPI",'ENG_SCEN'!$M$35,IF('IN_COST'!$G$58="ENERGY",'ENG_SCEN'!$M$34,IF('IN_COST'!$G$58="WAGE",'ENG_SCEN'!$M$33,IF('IN_COST'!$G$58="CPI",'ENG_SCEN'!$M$32,1))))),IF('IN_COST'!$E$58="PER_M3",'ENG_OPS'!$M$64*'IN_COST'!$F$58*IF('IN_COST'!$G$58="FX",'ENG_SCEN'!$M$36,IF('IN_COST'!$G$58="PPI",'ENG_SCEN'!$M$35,IF('IN_COST'!$G$58="ENERGY",'ENG_SCEN'!$M$34,IF('IN_COST'!$G$58="WAGE",'ENG_SCEN'!$M$33,IF('IN_COST'!$G$58="CPI",'ENG_SCEN'!$M$32,1))))),IF('IN_COST'!$E$58="ANNUAL",'IN_COST'!$F$58*IF('IN_COST'!$G$58="FX",'ENG_SCEN'!$M$36,IF('IN_COST'!$G$58="PPI",'ENG_SCEN'!$M$35,IF('IN_COST'!$G$58="ENERGY",'ENG_SCEN'!$M$34,IF('IN_COST'!$G$58="WAGE",'ENG_SCEN'!$M$33,IF('IN_COST'!$G$58="CPI",'ENG_SCEN'!$M$32,1))))),IF('IN_COST'!$E$58="PCT_REV",'ENG_OPS'!$M$81*'IN_COST'!$F$58,IF('IN_COST'!$E$58="PCT_ASSET",'ENG_CAPEX'!$M$84*'IN_COST'!$F$58,IF('IN_COST'!$E$58="DEP",'ENG_CAPEX'!$M$81,IF('IN_COST'!$E$58="PAY",INDEX('IN_COST'!$D$15:$D$19,IFERROR(VALUE(MID('IN_COST'!$F$58,FIND(":",'IN_COST'!$F$58)+1,2)),1))*INDEX('IN_COST'!$E$15:$E$19,IFERROR(VALUE(MID('IN_COST'!$F$58,FIND(":",'IN_COST'!$F$58)+1,2)),1))*'IN_COST'!$D$10*'IN_COST'!$D$11*'ENG_SCEN'!$M$33,IF('IN_COST'!$E$58="SRV",SUM(INDEX('ENG_ALLOC'!$D$29:$P$58,(IFERROR(VALUE(MID('IN_COST'!$F$58,FIND(":",'IN_COST'!$F$58)+1,2)),1)-1)*6+1,10):INDEX('ENG_ALLOC'!$D$29:$P$58,IFERROR(VALUE(MID('IN_COST'!$F$58,FIND(":",'IN_COST'!$F$58)+1,2)),1)*6,10)),0)))))))))))*IF('IN_COST'!$E$58="DEP",'ENG_SCEN'!$G$16,IF('IN_COST'!$I$58="V",IF('IN_COST'!$E$58="SCRAP_LME",'ENG_SCEN'!$G$13,'ENG_SCEN'!$G$14),'ENG_SCEN'!$G$15))</f>
        <v/>
      </c>
      <c r="N72" s="33">
        <f>'IN_MACRO'!$N$34*IF('IN_COST'!$E$58="SCRAP_LME",'ENG_OPS'!$N$20*'IN_COST'!$F$58*'ENG_SCEN'!$N$37,IF('IN_COST'!$E$58="PER_TON_BATT",'ENG_OPS'!$N$20*'IN_COST'!$F$58*IF('IN_COST'!$G$58="FX",'ENG_SCEN'!$N$36,IF('IN_COST'!$G$58="PPI",'ENG_SCEN'!$N$35,IF('IN_COST'!$G$58="ENERGY",'ENG_SCEN'!$N$34,IF('IN_COST'!$G$58="WAGE",'ENG_SCEN'!$N$33,IF('IN_COST'!$G$58="CPI",'ENG_SCEN'!$N$32,1))))),IF('IN_COST'!$E$58="PER_TON_PROD",'ENG_OPS'!$N$43*'IN_COST'!$F$58*IF('IN_COST'!$G$58="FX",'ENG_SCEN'!$N$36,IF('IN_COST'!$G$58="PPI",'ENG_SCEN'!$N$35,IF('IN_COST'!$G$58="ENERGY",'ENG_SCEN'!$N$34,IF('IN_COST'!$G$58="WAGE",'ENG_SCEN'!$N$33,IF('IN_COST'!$G$58="CPI",'ENG_SCEN'!$N$32,1))))),IF('IN_COST'!$E$58="PER_KWH",'ENG_OPS'!$N$63*'IN_COST'!$F$58*IF('IN_COST'!$G$58="FX",'ENG_SCEN'!$N$36,IF('IN_COST'!$G$58="PPI",'ENG_SCEN'!$N$35,IF('IN_COST'!$G$58="ENERGY",'ENG_SCEN'!$N$34,IF('IN_COST'!$G$58="WAGE",'ENG_SCEN'!$N$33,IF('IN_COST'!$G$58="CPI",'ENG_SCEN'!$N$32,1))))),IF('IN_COST'!$E$58="PER_M3",'ENG_OPS'!$N$64*'IN_COST'!$F$58*IF('IN_COST'!$G$58="FX",'ENG_SCEN'!$N$36,IF('IN_COST'!$G$58="PPI",'ENG_SCEN'!$N$35,IF('IN_COST'!$G$58="ENERGY",'ENG_SCEN'!$N$34,IF('IN_COST'!$G$58="WAGE",'ENG_SCEN'!$N$33,IF('IN_COST'!$G$58="CPI",'ENG_SCEN'!$N$32,1))))),IF('IN_COST'!$E$58="ANNUAL",'IN_COST'!$F$58*IF('IN_COST'!$G$58="FX",'ENG_SCEN'!$N$36,IF('IN_COST'!$G$58="PPI",'ENG_SCEN'!$N$35,IF('IN_COST'!$G$58="ENERGY",'ENG_SCEN'!$N$34,IF('IN_COST'!$G$58="WAGE",'ENG_SCEN'!$N$33,IF('IN_COST'!$G$58="CPI",'ENG_SCEN'!$N$32,1))))),IF('IN_COST'!$E$58="PCT_REV",'ENG_OPS'!$N$81*'IN_COST'!$F$58,IF('IN_COST'!$E$58="PCT_ASSET",'ENG_CAPEX'!$N$84*'IN_COST'!$F$58,IF('IN_COST'!$E$58="DEP",'ENG_CAPEX'!$N$81,IF('IN_COST'!$E$58="PAY",INDEX('IN_COST'!$D$15:$D$19,IFERROR(VALUE(MID('IN_COST'!$F$58,FIND(":",'IN_COST'!$F$58)+1,2)),1))*INDEX('IN_COST'!$E$15:$E$19,IFERROR(VALUE(MID('IN_COST'!$F$58,FIND(":",'IN_COST'!$F$58)+1,2)),1))*'IN_COST'!$D$10*'IN_COST'!$D$11*'ENG_SCEN'!$N$33,IF('IN_COST'!$E$58="SRV",SUM(INDEX('ENG_ALLOC'!$D$29:$P$58,(IFERROR(VALUE(MID('IN_COST'!$F$58,FIND(":",'IN_COST'!$F$58)+1,2)),1)-1)*6+1,11):INDEX('ENG_ALLOC'!$D$29:$P$58,IFERROR(VALUE(MID('IN_COST'!$F$58,FIND(":",'IN_COST'!$F$58)+1,2)),1)*6,11)),0)))))))))))*IF('IN_COST'!$E$58="DEP",'ENG_SCEN'!$G$16,IF('IN_COST'!$I$58="V",IF('IN_COST'!$E$58="SCRAP_LME",'ENG_SCEN'!$G$13,'ENG_SCEN'!$G$14),'ENG_SCEN'!$G$15))</f>
        <v/>
      </c>
      <c r="O72" s="33">
        <f>'IN_MACRO'!$O$34*IF('IN_COST'!$E$58="SCRAP_LME",'ENG_OPS'!$O$20*'IN_COST'!$F$58*'ENG_SCEN'!$O$37,IF('IN_COST'!$E$58="PER_TON_BATT",'ENG_OPS'!$O$20*'IN_COST'!$F$58*IF('IN_COST'!$G$58="FX",'ENG_SCEN'!$O$36,IF('IN_COST'!$G$58="PPI",'ENG_SCEN'!$O$35,IF('IN_COST'!$G$58="ENERGY",'ENG_SCEN'!$O$34,IF('IN_COST'!$G$58="WAGE",'ENG_SCEN'!$O$33,IF('IN_COST'!$G$58="CPI",'ENG_SCEN'!$O$32,1))))),IF('IN_COST'!$E$58="PER_TON_PROD",'ENG_OPS'!$O$43*'IN_COST'!$F$58*IF('IN_COST'!$G$58="FX",'ENG_SCEN'!$O$36,IF('IN_COST'!$G$58="PPI",'ENG_SCEN'!$O$35,IF('IN_COST'!$G$58="ENERGY",'ENG_SCEN'!$O$34,IF('IN_COST'!$G$58="WAGE",'ENG_SCEN'!$O$33,IF('IN_COST'!$G$58="CPI",'ENG_SCEN'!$O$32,1))))),IF('IN_COST'!$E$58="PER_KWH",'ENG_OPS'!$O$63*'IN_COST'!$F$58*IF('IN_COST'!$G$58="FX",'ENG_SCEN'!$O$36,IF('IN_COST'!$G$58="PPI",'ENG_SCEN'!$O$35,IF('IN_COST'!$G$58="ENERGY",'ENG_SCEN'!$O$34,IF('IN_COST'!$G$58="WAGE",'ENG_SCEN'!$O$33,IF('IN_COST'!$G$58="CPI",'ENG_SCEN'!$O$32,1))))),IF('IN_COST'!$E$58="PER_M3",'ENG_OPS'!$O$64*'IN_COST'!$F$58*IF('IN_COST'!$G$58="FX",'ENG_SCEN'!$O$36,IF('IN_COST'!$G$58="PPI",'ENG_SCEN'!$O$35,IF('IN_COST'!$G$58="ENERGY",'ENG_SCEN'!$O$34,IF('IN_COST'!$G$58="WAGE",'ENG_SCEN'!$O$33,IF('IN_COST'!$G$58="CPI",'ENG_SCEN'!$O$32,1))))),IF('IN_COST'!$E$58="ANNUAL",'IN_COST'!$F$58*IF('IN_COST'!$G$58="FX",'ENG_SCEN'!$O$36,IF('IN_COST'!$G$58="PPI",'ENG_SCEN'!$O$35,IF('IN_COST'!$G$58="ENERGY",'ENG_SCEN'!$O$34,IF('IN_COST'!$G$58="WAGE",'ENG_SCEN'!$O$33,IF('IN_COST'!$G$58="CPI",'ENG_SCEN'!$O$32,1))))),IF('IN_COST'!$E$58="PCT_REV",'ENG_OPS'!$O$81*'IN_COST'!$F$58,IF('IN_COST'!$E$58="PCT_ASSET",'ENG_CAPEX'!$O$84*'IN_COST'!$F$58,IF('IN_COST'!$E$58="DEP",'ENG_CAPEX'!$O$81,IF('IN_COST'!$E$58="PAY",INDEX('IN_COST'!$D$15:$D$19,IFERROR(VALUE(MID('IN_COST'!$F$58,FIND(":",'IN_COST'!$F$58)+1,2)),1))*INDEX('IN_COST'!$E$15:$E$19,IFERROR(VALUE(MID('IN_COST'!$F$58,FIND(":",'IN_COST'!$F$58)+1,2)),1))*'IN_COST'!$D$10*'IN_COST'!$D$11*'ENG_SCEN'!$O$33,IF('IN_COST'!$E$58="SRV",SUM(INDEX('ENG_ALLOC'!$D$29:$P$58,(IFERROR(VALUE(MID('IN_COST'!$F$58,FIND(":",'IN_COST'!$F$58)+1,2)),1)-1)*6+1,12):INDEX('ENG_ALLOC'!$D$29:$P$58,IFERROR(VALUE(MID('IN_COST'!$F$58,FIND(":",'IN_COST'!$F$58)+1,2)),1)*6,12)),0)))))))))))*IF('IN_COST'!$E$58="DEP",'ENG_SCEN'!$G$16,IF('IN_COST'!$I$58="V",IF('IN_COST'!$E$58="SCRAP_LME",'ENG_SCEN'!$G$13,'ENG_SCEN'!$G$14),'ENG_SCEN'!$G$15))</f>
        <v/>
      </c>
      <c r="P72" s="33">
        <f>'IN_MACRO'!$P$34*IF('IN_COST'!$E$58="SCRAP_LME",'ENG_OPS'!$P$20*'IN_COST'!$F$58*'ENG_SCEN'!$P$37,IF('IN_COST'!$E$58="PER_TON_BATT",'ENG_OPS'!$P$20*'IN_COST'!$F$58*IF('IN_COST'!$G$58="FX",'ENG_SCEN'!$P$36,IF('IN_COST'!$G$58="PPI",'ENG_SCEN'!$P$35,IF('IN_COST'!$G$58="ENERGY",'ENG_SCEN'!$P$34,IF('IN_COST'!$G$58="WAGE",'ENG_SCEN'!$P$33,IF('IN_COST'!$G$58="CPI",'ENG_SCEN'!$P$32,1))))),IF('IN_COST'!$E$58="PER_TON_PROD",'ENG_OPS'!$P$43*'IN_COST'!$F$58*IF('IN_COST'!$G$58="FX",'ENG_SCEN'!$P$36,IF('IN_COST'!$G$58="PPI",'ENG_SCEN'!$P$35,IF('IN_COST'!$G$58="ENERGY",'ENG_SCEN'!$P$34,IF('IN_COST'!$G$58="WAGE",'ENG_SCEN'!$P$33,IF('IN_COST'!$G$58="CPI",'ENG_SCEN'!$P$32,1))))),IF('IN_COST'!$E$58="PER_KWH",'ENG_OPS'!$P$63*'IN_COST'!$F$58*IF('IN_COST'!$G$58="FX",'ENG_SCEN'!$P$36,IF('IN_COST'!$G$58="PPI",'ENG_SCEN'!$P$35,IF('IN_COST'!$G$58="ENERGY",'ENG_SCEN'!$P$34,IF('IN_COST'!$G$58="WAGE",'ENG_SCEN'!$P$33,IF('IN_COST'!$G$58="CPI",'ENG_SCEN'!$P$32,1))))),IF('IN_COST'!$E$58="PER_M3",'ENG_OPS'!$P$64*'IN_COST'!$F$58*IF('IN_COST'!$G$58="FX",'ENG_SCEN'!$P$36,IF('IN_COST'!$G$58="PPI",'ENG_SCEN'!$P$35,IF('IN_COST'!$G$58="ENERGY",'ENG_SCEN'!$P$34,IF('IN_COST'!$G$58="WAGE",'ENG_SCEN'!$P$33,IF('IN_COST'!$G$58="CPI",'ENG_SCEN'!$P$32,1))))),IF('IN_COST'!$E$58="ANNUAL",'IN_COST'!$F$58*IF('IN_COST'!$G$58="FX",'ENG_SCEN'!$P$36,IF('IN_COST'!$G$58="PPI",'ENG_SCEN'!$P$35,IF('IN_COST'!$G$58="ENERGY",'ENG_SCEN'!$P$34,IF('IN_COST'!$G$58="WAGE",'ENG_SCEN'!$P$33,IF('IN_COST'!$G$58="CPI",'ENG_SCEN'!$P$32,1))))),IF('IN_COST'!$E$58="PCT_REV",'ENG_OPS'!$P$81*'IN_COST'!$F$58,IF('IN_COST'!$E$58="PCT_ASSET",'ENG_CAPEX'!$P$84*'IN_COST'!$F$58,IF('IN_COST'!$E$58="DEP",'ENG_CAPEX'!$P$81,IF('IN_COST'!$E$58="PAY",INDEX('IN_COST'!$D$15:$D$19,IFERROR(VALUE(MID('IN_COST'!$F$58,FIND(":",'IN_COST'!$F$58)+1,2)),1))*INDEX('IN_COST'!$E$15:$E$19,IFERROR(VALUE(MID('IN_COST'!$F$58,FIND(":",'IN_COST'!$F$58)+1,2)),1))*'IN_COST'!$D$10*'IN_COST'!$D$11*'ENG_SCEN'!$P$33,IF('IN_COST'!$E$58="SRV",SUM(INDEX('ENG_ALLOC'!$D$29:$P$58,(IFERROR(VALUE(MID('IN_COST'!$F$58,FIND(":",'IN_COST'!$F$58)+1,2)),1)-1)*6+1,13):INDEX('ENG_ALLOC'!$D$29:$P$58,IFERROR(VALUE(MID('IN_COST'!$F$58,FIND(":",'IN_COST'!$F$58)+1,2)),1)*6,13)),0)))))))))))*IF('IN_COST'!$E$58="DEP",'ENG_SCEN'!$G$16,IF('IN_COST'!$I$58="V",IF('IN_COST'!$E$58="SCRAP_LME",'ENG_SCEN'!$G$13,'ENG_SCEN'!$G$14),'ENG_SCEN'!$G$15))</f>
        <v/>
      </c>
    </row>
    <row r="73">
      <c r="A73" s="15" t="inlineStr">
        <is>
          <t>FPC-12 | سایر هزینه‌های ثابت</t>
        </is>
      </c>
      <c r="B73" s="16" t="inlineStr">
        <is>
          <t>EC.tot.26</t>
        </is>
      </c>
      <c r="C73" s="17" t="inlineStr">
        <is>
          <t>میلیون ریال</t>
        </is>
      </c>
      <c r="D73" s="33">
        <f>'IN_MACRO'!$D$34*IF('IN_COST'!$E$59="SCRAP_LME",'ENG_OPS'!$D$20*'IN_COST'!$F$59*'ENG_SCEN'!$D$37,IF('IN_COST'!$E$59="PER_TON_BATT",'ENG_OPS'!$D$20*'IN_COST'!$F$59*IF('IN_COST'!$G$59="FX",'ENG_SCEN'!$D$36,IF('IN_COST'!$G$59="PPI",'ENG_SCEN'!$D$35,IF('IN_COST'!$G$59="ENERGY",'ENG_SCEN'!$D$34,IF('IN_COST'!$G$59="WAGE",'ENG_SCEN'!$D$33,IF('IN_COST'!$G$59="CPI",'ENG_SCEN'!$D$32,1))))),IF('IN_COST'!$E$59="PER_TON_PROD",'ENG_OPS'!$D$43*'IN_COST'!$F$59*IF('IN_COST'!$G$59="FX",'ENG_SCEN'!$D$36,IF('IN_COST'!$G$59="PPI",'ENG_SCEN'!$D$35,IF('IN_COST'!$G$59="ENERGY",'ENG_SCEN'!$D$34,IF('IN_COST'!$G$59="WAGE",'ENG_SCEN'!$D$33,IF('IN_COST'!$G$59="CPI",'ENG_SCEN'!$D$32,1))))),IF('IN_COST'!$E$59="PER_KWH",'ENG_OPS'!$D$63*'IN_COST'!$F$59*IF('IN_COST'!$G$59="FX",'ENG_SCEN'!$D$36,IF('IN_COST'!$G$59="PPI",'ENG_SCEN'!$D$35,IF('IN_COST'!$G$59="ENERGY",'ENG_SCEN'!$D$34,IF('IN_COST'!$G$59="WAGE",'ENG_SCEN'!$D$33,IF('IN_COST'!$G$59="CPI",'ENG_SCEN'!$D$32,1))))),IF('IN_COST'!$E$59="PER_M3",'ENG_OPS'!$D$64*'IN_COST'!$F$59*IF('IN_COST'!$G$59="FX",'ENG_SCEN'!$D$36,IF('IN_COST'!$G$59="PPI",'ENG_SCEN'!$D$35,IF('IN_COST'!$G$59="ENERGY",'ENG_SCEN'!$D$34,IF('IN_COST'!$G$59="WAGE",'ENG_SCEN'!$D$33,IF('IN_COST'!$G$59="CPI",'ENG_SCEN'!$D$32,1))))),IF('IN_COST'!$E$59="ANNUAL",'IN_COST'!$F$59*IF('IN_COST'!$G$59="FX",'ENG_SCEN'!$D$36,IF('IN_COST'!$G$59="PPI",'ENG_SCEN'!$D$35,IF('IN_COST'!$G$59="ENERGY",'ENG_SCEN'!$D$34,IF('IN_COST'!$G$59="WAGE",'ENG_SCEN'!$D$33,IF('IN_COST'!$G$59="CPI",'ENG_SCEN'!$D$32,1))))),IF('IN_COST'!$E$59="PCT_REV",'ENG_OPS'!$D$81*'IN_COST'!$F$59,IF('IN_COST'!$E$59="PCT_ASSET",'ENG_CAPEX'!$D$84*'IN_COST'!$F$59,IF('IN_COST'!$E$59="DEP",'ENG_CAPEX'!$D$81,IF('IN_COST'!$E$59="PAY",INDEX('IN_COST'!$D$15:$D$19,IFERROR(VALUE(MID('IN_COST'!$F$59,FIND(":",'IN_COST'!$F$59)+1,2)),1))*INDEX('IN_COST'!$E$15:$E$19,IFERROR(VALUE(MID('IN_COST'!$F$59,FIND(":",'IN_COST'!$F$59)+1,2)),1))*'IN_COST'!$D$10*'IN_COST'!$D$11*'ENG_SCEN'!$D$33,IF('IN_COST'!$E$59="SRV",SUM(INDEX('ENG_ALLOC'!$D$29:$P$58,(IFERROR(VALUE(MID('IN_COST'!$F$59,FIND(":",'IN_COST'!$F$59)+1,2)),1)-1)*6+1,1):INDEX('ENG_ALLOC'!$D$29:$P$58,IFERROR(VALUE(MID('IN_COST'!$F$59,FIND(":",'IN_COST'!$F$59)+1,2)),1)*6,1)),0)))))))))))*IF('IN_COST'!$E$59="DEP",'ENG_SCEN'!$G$16,IF('IN_COST'!$I$59="V",IF('IN_COST'!$E$59="SCRAP_LME",'ENG_SCEN'!$G$13,'ENG_SCEN'!$G$14),'ENG_SCEN'!$G$15))</f>
        <v/>
      </c>
      <c r="E73" s="33">
        <f>'IN_MACRO'!$E$34*IF('IN_COST'!$E$59="SCRAP_LME",'ENG_OPS'!$E$20*'IN_COST'!$F$59*'ENG_SCEN'!$E$37,IF('IN_COST'!$E$59="PER_TON_BATT",'ENG_OPS'!$E$20*'IN_COST'!$F$59*IF('IN_COST'!$G$59="FX",'ENG_SCEN'!$E$36,IF('IN_COST'!$G$59="PPI",'ENG_SCEN'!$E$35,IF('IN_COST'!$G$59="ENERGY",'ENG_SCEN'!$E$34,IF('IN_COST'!$G$59="WAGE",'ENG_SCEN'!$E$33,IF('IN_COST'!$G$59="CPI",'ENG_SCEN'!$E$32,1))))),IF('IN_COST'!$E$59="PER_TON_PROD",'ENG_OPS'!$E$43*'IN_COST'!$F$59*IF('IN_COST'!$G$59="FX",'ENG_SCEN'!$E$36,IF('IN_COST'!$G$59="PPI",'ENG_SCEN'!$E$35,IF('IN_COST'!$G$59="ENERGY",'ENG_SCEN'!$E$34,IF('IN_COST'!$G$59="WAGE",'ENG_SCEN'!$E$33,IF('IN_COST'!$G$59="CPI",'ENG_SCEN'!$E$32,1))))),IF('IN_COST'!$E$59="PER_KWH",'ENG_OPS'!$E$63*'IN_COST'!$F$59*IF('IN_COST'!$G$59="FX",'ENG_SCEN'!$E$36,IF('IN_COST'!$G$59="PPI",'ENG_SCEN'!$E$35,IF('IN_COST'!$G$59="ENERGY",'ENG_SCEN'!$E$34,IF('IN_COST'!$G$59="WAGE",'ENG_SCEN'!$E$33,IF('IN_COST'!$G$59="CPI",'ENG_SCEN'!$E$32,1))))),IF('IN_COST'!$E$59="PER_M3",'ENG_OPS'!$E$64*'IN_COST'!$F$59*IF('IN_COST'!$G$59="FX",'ENG_SCEN'!$E$36,IF('IN_COST'!$G$59="PPI",'ENG_SCEN'!$E$35,IF('IN_COST'!$G$59="ENERGY",'ENG_SCEN'!$E$34,IF('IN_COST'!$G$59="WAGE",'ENG_SCEN'!$E$33,IF('IN_COST'!$G$59="CPI",'ENG_SCEN'!$E$32,1))))),IF('IN_COST'!$E$59="ANNUAL",'IN_COST'!$F$59*IF('IN_COST'!$G$59="FX",'ENG_SCEN'!$E$36,IF('IN_COST'!$G$59="PPI",'ENG_SCEN'!$E$35,IF('IN_COST'!$G$59="ENERGY",'ENG_SCEN'!$E$34,IF('IN_COST'!$G$59="WAGE",'ENG_SCEN'!$E$33,IF('IN_COST'!$G$59="CPI",'ENG_SCEN'!$E$32,1))))),IF('IN_COST'!$E$59="PCT_REV",'ENG_OPS'!$E$81*'IN_COST'!$F$59,IF('IN_COST'!$E$59="PCT_ASSET",'ENG_CAPEX'!$E$84*'IN_COST'!$F$59,IF('IN_COST'!$E$59="DEP",'ENG_CAPEX'!$E$81,IF('IN_COST'!$E$59="PAY",INDEX('IN_COST'!$D$15:$D$19,IFERROR(VALUE(MID('IN_COST'!$F$59,FIND(":",'IN_COST'!$F$59)+1,2)),1))*INDEX('IN_COST'!$E$15:$E$19,IFERROR(VALUE(MID('IN_COST'!$F$59,FIND(":",'IN_COST'!$F$59)+1,2)),1))*'IN_COST'!$D$10*'IN_COST'!$D$11*'ENG_SCEN'!$E$33,IF('IN_COST'!$E$59="SRV",SUM(INDEX('ENG_ALLOC'!$D$29:$P$58,(IFERROR(VALUE(MID('IN_COST'!$F$59,FIND(":",'IN_COST'!$F$59)+1,2)),1)-1)*6+1,2):INDEX('ENG_ALLOC'!$D$29:$P$58,IFERROR(VALUE(MID('IN_COST'!$F$59,FIND(":",'IN_COST'!$F$59)+1,2)),1)*6,2)),0)))))))))))*IF('IN_COST'!$E$59="DEP",'ENG_SCEN'!$G$16,IF('IN_COST'!$I$59="V",IF('IN_COST'!$E$59="SCRAP_LME",'ENG_SCEN'!$G$13,'ENG_SCEN'!$G$14),'ENG_SCEN'!$G$15))</f>
        <v/>
      </c>
      <c r="F73" s="33">
        <f>'IN_MACRO'!$F$34*IF('IN_COST'!$E$59="SCRAP_LME",'ENG_OPS'!$F$20*'IN_COST'!$F$59*'ENG_SCEN'!$F$37,IF('IN_COST'!$E$59="PER_TON_BATT",'ENG_OPS'!$F$20*'IN_COST'!$F$59*IF('IN_COST'!$G$59="FX",'ENG_SCEN'!$F$36,IF('IN_COST'!$G$59="PPI",'ENG_SCEN'!$F$35,IF('IN_COST'!$G$59="ENERGY",'ENG_SCEN'!$F$34,IF('IN_COST'!$G$59="WAGE",'ENG_SCEN'!$F$33,IF('IN_COST'!$G$59="CPI",'ENG_SCEN'!$F$32,1))))),IF('IN_COST'!$E$59="PER_TON_PROD",'ENG_OPS'!$F$43*'IN_COST'!$F$59*IF('IN_COST'!$G$59="FX",'ENG_SCEN'!$F$36,IF('IN_COST'!$G$59="PPI",'ENG_SCEN'!$F$35,IF('IN_COST'!$G$59="ENERGY",'ENG_SCEN'!$F$34,IF('IN_COST'!$G$59="WAGE",'ENG_SCEN'!$F$33,IF('IN_COST'!$G$59="CPI",'ENG_SCEN'!$F$32,1))))),IF('IN_COST'!$E$59="PER_KWH",'ENG_OPS'!$F$63*'IN_COST'!$F$59*IF('IN_COST'!$G$59="FX",'ENG_SCEN'!$F$36,IF('IN_COST'!$G$59="PPI",'ENG_SCEN'!$F$35,IF('IN_COST'!$G$59="ENERGY",'ENG_SCEN'!$F$34,IF('IN_COST'!$G$59="WAGE",'ENG_SCEN'!$F$33,IF('IN_COST'!$G$59="CPI",'ENG_SCEN'!$F$32,1))))),IF('IN_COST'!$E$59="PER_M3",'ENG_OPS'!$F$64*'IN_COST'!$F$59*IF('IN_COST'!$G$59="FX",'ENG_SCEN'!$F$36,IF('IN_COST'!$G$59="PPI",'ENG_SCEN'!$F$35,IF('IN_COST'!$G$59="ENERGY",'ENG_SCEN'!$F$34,IF('IN_COST'!$G$59="WAGE",'ENG_SCEN'!$F$33,IF('IN_COST'!$G$59="CPI",'ENG_SCEN'!$F$32,1))))),IF('IN_COST'!$E$59="ANNUAL",'IN_COST'!$F$59*IF('IN_COST'!$G$59="FX",'ENG_SCEN'!$F$36,IF('IN_COST'!$G$59="PPI",'ENG_SCEN'!$F$35,IF('IN_COST'!$G$59="ENERGY",'ENG_SCEN'!$F$34,IF('IN_COST'!$G$59="WAGE",'ENG_SCEN'!$F$33,IF('IN_COST'!$G$59="CPI",'ENG_SCEN'!$F$32,1))))),IF('IN_COST'!$E$59="PCT_REV",'ENG_OPS'!$F$81*'IN_COST'!$F$59,IF('IN_COST'!$E$59="PCT_ASSET",'ENG_CAPEX'!$F$84*'IN_COST'!$F$59,IF('IN_COST'!$E$59="DEP",'ENG_CAPEX'!$F$81,IF('IN_COST'!$E$59="PAY",INDEX('IN_COST'!$D$15:$D$19,IFERROR(VALUE(MID('IN_COST'!$F$59,FIND(":",'IN_COST'!$F$59)+1,2)),1))*INDEX('IN_COST'!$E$15:$E$19,IFERROR(VALUE(MID('IN_COST'!$F$59,FIND(":",'IN_COST'!$F$59)+1,2)),1))*'IN_COST'!$D$10*'IN_COST'!$D$11*'ENG_SCEN'!$F$33,IF('IN_COST'!$E$59="SRV",SUM(INDEX('ENG_ALLOC'!$D$29:$P$58,(IFERROR(VALUE(MID('IN_COST'!$F$59,FIND(":",'IN_COST'!$F$59)+1,2)),1)-1)*6+1,3):INDEX('ENG_ALLOC'!$D$29:$P$58,IFERROR(VALUE(MID('IN_COST'!$F$59,FIND(":",'IN_COST'!$F$59)+1,2)),1)*6,3)),0)))))))))))*IF('IN_COST'!$E$59="DEP",'ENG_SCEN'!$G$16,IF('IN_COST'!$I$59="V",IF('IN_COST'!$E$59="SCRAP_LME",'ENG_SCEN'!$G$13,'ENG_SCEN'!$G$14),'ENG_SCEN'!$G$15))</f>
        <v/>
      </c>
      <c r="G73" s="33">
        <f>'IN_MACRO'!$G$34*IF('IN_COST'!$E$59="SCRAP_LME",'ENG_OPS'!$G$20*'IN_COST'!$F$59*'ENG_SCEN'!$G$37,IF('IN_COST'!$E$59="PER_TON_BATT",'ENG_OPS'!$G$20*'IN_COST'!$F$59*IF('IN_COST'!$G$59="FX",'ENG_SCEN'!$G$36,IF('IN_COST'!$G$59="PPI",'ENG_SCEN'!$G$35,IF('IN_COST'!$G$59="ENERGY",'ENG_SCEN'!$G$34,IF('IN_COST'!$G$59="WAGE",'ENG_SCEN'!$G$33,IF('IN_COST'!$G$59="CPI",'ENG_SCEN'!$G$32,1))))),IF('IN_COST'!$E$59="PER_TON_PROD",'ENG_OPS'!$G$43*'IN_COST'!$F$59*IF('IN_COST'!$G$59="FX",'ENG_SCEN'!$G$36,IF('IN_COST'!$G$59="PPI",'ENG_SCEN'!$G$35,IF('IN_COST'!$G$59="ENERGY",'ENG_SCEN'!$G$34,IF('IN_COST'!$G$59="WAGE",'ENG_SCEN'!$G$33,IF('IN_COST'!$G$59="CPI",'ENG_SCEN'!$G$32,1))))),IF('IN_COST'!$E$59="PER_KWH",'ENG_OPS'!$G$63*'IN_COST'!$F$59*IF('IN_COST'!$G$59="FX",'ENG_SCEN'!$G$36,IF('IN_COST'!$G$59="PPI",'ENG_SCEN'!$G$35,IF('IN_COST'!$G$59="ENERGY",'ENG_SCEN'!$G$34,IF('IN_COST'!$G$59="WAGE",'ENG_SCEN'!$G$33,IF('IN_COST'!$G$59="CPI",'ENG_SCEN'!$G$32,1))))),IF('IN_COST'!$E$59="PER_M3",'ENG_OPS'!$G$64*'IN_COST'!$F$59*IF('IN_COST'!$G$59="FX",'ENG_SCEN'!$G$36,IF('IN_COST'!$G$59="PPI",'ENG_SCEN'!$G$35,IF('IN_COST'!$G$59="ENERGY",'ENG_SCEN'!$G$34,IF('IN_COST'!$G$59="WAGE",'ENG_SCEN'!$G$33,IF('IN_COST'!$G$59="CPI",'ENG_SCEN'!$G$32,1))))),IF('IN_COST'!$E$59="ANNUAL",'IN_COST'!$F$59*IF('IN_COST'!$G$59="FX",'ENG_SCEN'!$G$36,IF('IN_COST'!$G$59="PPI",'ENG_SCEN'!$G$35,IF('IN_COST'!$G$59="ENERGY",'ENG_SCEN'!$G$34,IF('IN_COST'!$G$59="WAGE",'ENG_SCEN'!$G$33,IF('IN_COST'!$G$59="CPI",'ENG_SCEN'!$G$32,1))))),IF('IN_COST'!$E$59="PCT_REV",'ENG_OPS'!$G$81*'IN_COST'!$F$59,IF('IN_COST'!$E$59="PCT_ASSET",'ENG_CAPEX'!$G$84*'IN_COST'!$F$59,IF('IN_COST'!$E$59="DEP",'ENG_CAPEX'!$G$81,IF('IN_COST'!$E$59="PAY",INDEX('IN_COST'!$D$15:$D$19,IFERROR(VALUE(MID('IN_COST'!$F$59,FIND(":",'IN_COST'!$F$59)+1,2)),1))*INDEX('IN_COST'!$E$15:$E$19,IFERROR(VALUE(MID('IN_COST'!$F$59,FIND(":",'IN_COST'!$F$59)+1,2)),1))*'IN_COST'!$D$10*'IN_COST'!$D$11*'ENG_SCEN'!$G$33,IF('IN_COST'!$E$59="SRV",SUM(INDEX('ENG_ALLOC'!$D$29:$P$58,(IFERROR(VALUE(MID('IN_COST'!$F$59,FIND(":",'IN_COST'!$F$59)+1,2)),1)-1)*6+1,4):INDEX('ENG_ALLOC'!$D$29:$P$58,IFERROR(VALUE(MID('IN_COST'!$F$59,FIND(":",'IN_COST'!$F$59)+1,2)),1)*6,4)),0)))))))))))*IF('IN_COST'!$E$59="DEP",'ENG_SCEN'!$G$16,IF('IN_COST'!$I$59="V",IF('IN_COST'!$E$59="SCRAP_LME",'ENG_SCEN'!$G$13,'ENG_SCEN'!$G$14),'ENG_SCEN'!$G$15))</f>
        <v/>
      </c>
      <c r="H73" s="33">
        <f>'IN_MACRO'!$H$34*IF('IN_COST'!$E$59="SCRAP_LME",'ENG_OPS'!$H$20*'IN_COST'!$F$59*'ENG_SCEN'!$H$37,IF('IN_COST'!$E$59="PER_TON_BATT",'ENG_OPS'!$H$20*'IN_COST'!$F$59*IF('IN_COST'!$G$59="FX",'ENG_SCEN'!$H$36,IF('IN_COST'!$G$59="PPI",'ENG_SCEN'!$H$35,IF('IN_COST'!$G$59="ENERGY",'ENG_SCEN'!$H$34,IF('IN_COST'!$G$59="WAGE",'ENG_SCEN'!$H$33,IF('IN_COST'!$G$59="CPI",'ENG_SCEN'!$H$32,1))))),IF('IN_COST'!$E$59="PER_TON_PROD",'ENG_OPS'!$H$43*'IN_COST'!$F$59*IF('IN_COST'!$G$59="FX",'ENG_SCEN'!$H$36,IF('IN_COST'!$G$59="PPI",'ENG_SCEN'!$H$35,IF('IN_COST'!$G$59="ENERGY",'ENG_SCEN'!$H$34,IF('IN_COST'!$G$59="WAGE",'ENG_SCEN'!$H$33,IF('IN_COST'!$G$59="CPI",'ENG_SCEN'!$H$32,1))))),IF('IN_COST'!$E$59="PER_KWH",'ENG_OPS'!$H$63*'IN_COST'!$F$59*IF('IN_COST'!$G$59="FX",'ENG_SCEN'!$H$36,IF('IN_COST'!$G$59="PPI",'ENG_SCEN'!$H$35,IF('IN_COST'!$G$59="ENERGY",'ENG_SCEN'!$H$34,IF('IN_COST'!$G$59="WAGE",'ENG_SCEN'!$H$33,IF('IN_COST'!$G$59="CPI",'ENG_SCEN'!$H$32,1))))),IF('IN_COST'!$E$59="PER_M3",'ENG_OPS'!$H$64*'IN_COST'!$F$59*IF('IN_COST'!$G$59="FX",'ENG_SCEN'!$H$36,IF('IN_COST'!$G$59="PPI",'ENG_SCEN'!$H$35,IF('IN_COST'!$G$59="ENERGY",'ENG_SCEN'!$H$34,IF('IN_COST'!$G$59="WAGE",'ENG_SCEN'!$H$33,IF('IN_COST'!$G$59="CPI",'ENG_SCEN'!$H$32,1))))),IF('IN_COST'!$E$59="ANNUAL",'IN_COST'!$F$59*IF('IN_COST'!$G$59="FX",'ENG_SCEN'!$H$36,IF('IN_COST'!$G$59="PPI",'ENG_SCEN'!$H$35,IF('IN_COST'!$G$59="ENERGY",'ENG_SCEN'!$H$34,IF('IN_COST'!$G$59="WAGE",'ENG_SCEN'!$H$33,IF('IN_COST'!$G$59="CPI",'ENG_SCEN'!$H$32,1))))),IF('IN_COST'!$E$59="PCT_REV",'ENG_OPS'!$H$81*'IN_COST'!$F$59,IF('IN_COST'!$E$59="PCT_ASSET",'ENG_CAPEX'!$H$84*'IN_COST'!$F$59,IF('IN_COST'!$E$59="DEP",'ENG_CAPEX'!$H$81,IF('IN_COST'!$E$59="PAY",INDEX('IN_COST'!$D$15:$D$19,IFERROR(VALUE(MID('IN_COST'!$F$59,FIND(":",'IN_COST'!$F$59)+1,2)),1))*INDEX('IN_COST'!$E$15:$E$19,IFERROR(VALUE(MID('IN_COST'!$F$59,FIND(":",'IN_COST'!$F$59)+1,2)),1))*'IN_COST'!$D$10*'IN_COST'!$D$11*'ENG_SCEN'!$H$33,IF('IN_COST'!$E$59="SRV",SUM(INDEX('ENG_ALLOC'!$D$29:$P$58,(IFERROR(VALUE(MID('IN_COST'!$F$59,FIND(":",'IN_COST'!$F$59)+1,2)),1)-1)*6+1,5):INDEX('ENG_ALLOC'!$D$29:$P$58,IFERROR(VALUE(MID('IN_COST'!$F$59,FIND(":",'IN_COST'!$F$59)+1,2)),1)*6,5)),0)))))))))))*IF('IN_COST'!$E$59="DEP",'ENG_SCEN'!$G$16,IF('IN_COST'!$I$59="V",IF('IN_COST'!$E$59="SCRAP_LME",'ENG_SCEN'!$G$13,'ENG_SCEN'!$G$14),'ENG_SCEN'!$G$15))</f>
        <v/>
      </c>
      <c r="I73" s="33">
        <f>'IN_MACRO'!$I$34*IF('IN_COST'!$E$59="SCRAP_LME",'ENG_OPS'!$I$20*'IN_COST'!$F$59*'ENG_SCEN'!$I$37,IF('IN_COST'!$E$59="PER_TON_BATT",'ENG_OPS'!$I$20*'IN_COST'!$F$59*IF('IN_COST'!$G$59="FX",'ENG_SCEN'!$I$36,IF('IN_COST'!$G$59="PPI",'ENG_SCEN'!$I$35,IF('IN_COST'!$G$59="ENERGY",'ENG_SCEN'!$I$34,IF('IN_COST'!$G$59="WAGE",'ENG_SCEN'!$I$33,IF('IN_COST'!$G$59="CPI",'ENG_SCEN'!$I$32,1))))),IF('IN_COST'!$E$59="PER_TON_PROD",'ENG_OPS'!$I$43*'IN_COST'!$F$59*IF('IN_COST'!$G$59="FX",'ENG_SCEN'!$I$36,IF('IN_COST'!$G$59="PPI",'ENG_SCEN'!$I$35,IF('IN_COST'!$G$59="ENERGY",'ENG_SCEN'!$I$34,IF('IN_COST'!$G$59="WAGE",'ENG_SCEN'!$I$33,IF('IN_COST'!$G$59="CPI",'ENG_SCEN'!$I$32,1))))),IF('IN_COST'!$E$59="PER_KWH",'ENG_OPS'!$I$63*'IN_COST'!$F$59*IF('IN_COST'!$G$59="FX",'ENG_SCEN'!$I$36,IF('IN_COST'!$G$59="PPI",'ENG_SCEN'!$I$35,IF('IN_COST'!$G$59="ENERGY",'ENG_SCEN'!$I$34,IF('IN_COST'!$G$59="WAGE",'ENG_SCEN'!$I$33,IF('IN_COST'!$G$59="CPI",'ENG_SCEN'!$I$32,1))))),IF('IN_COST'!$E$59="PER_M3",'ENG_OPS'!$I$64*'IN_COST'!$F$59*IF('IN_COST'!$G$59="FX",'ENG_SCEN'!$I$36,IF('IN_COST'!$G$59="PPI",'ENG_SCEN'!$I$35,IF('IN_COST'!$G$59="ENERGY",'ENG_SCEN'!$I$34,IF('IN_COST'!$G$59="WAGE",'ENG_SCEN'!$I$33,IF('IN_COST'!$G$59="CPI",'ENG_SCEN'!$I$32,1))))),IF('IN_COST'!$E$59="ANNUAL",'IN_COST'!$F$59*IF('IN_COST'!$G$59="FX",'ENG_SCEN'!$I$36,IF('IN_COST'!$G$59="PPI",'ENG_SCEN'!$I$35,IF('IN_COST'!$G$59="ENERGY",'ENG_SCEN'!$I$34,IF('IN_COST'!$G$59="WAGE",'ENG_SCEN'!$I$33,IF('IN_COST'!$G$59="CPI",'ENG_SCEN'!$I$32,1))))),IF('IN_COST'!$E$59="PCT_REV",'ENG_OPS'!$I$81*'IN_COST'!$F$59,IF('IN_COST'!$E$59="PCT_ASSET",'ENG_CAPEX'!$I$84*'IN_COST'!$F$59,IF('IN_COST'!$E$59="DEP",'ENG_CAPEX'!$I$81,IF('IN_COST'!$E$59="PAY",INDEX('IN_COST'!$D$15:$D$19,IFERROR(VALUE(MID('IN_COST'!$F$59,FIND(":",'IN_COST'!$F$59)+1,2)),1))*INDEX('IN_COST'!$E$15:$E$19,IFERROR(VALUE(MID('IN_COST'!$F$59,FIND(":",'IN_COST'!$F$59)+1,2)),1))*'IN_COST'!$D$10*'IN_COST'!$D$11*'ENG_SCEN'!$I$33,IF('IN_COST'!$E$59="SRV",SUM(INDEX('ENG_ALLOC'!$D$29:$P$58,(IFERROR(VALUE(MID('IN_COST'!$F$59,FIND(":",'IN_COST'!$F$59)+1,2)),1)-1)*6+1,6):INDEX('ENG_ALLOC'!$D$29:$P$58,IFERROR(VALUE(MID('IN_COST'!$F$59,FIND(":",'IN_COST'!$F$59)+1,2)),1)*6,6)),0)))))))))))*IF('IN_COST'!$E$59="DEP",'ENG_SCEN'!$G$16,IF('IN_COST'!$I$59="V",IF('IN_COST'!$E$59="SCRAP_LME",'ENG_SCEN'!$G$13,'ENG_SCEN'!$G$14),'ENG_SCEN'!$G$15))</f>
        <v/>
      </c>
      <c r="J73" s="33">
        <f>'IN_MACRO'!$J$34*IF('IN_COST'!$E$59="SCRAP_LME",'ENG_OPS'!$J$20*'IN_COST'!$F$59*'ENG_SCEN'!$J$37,IF('IN_COST'!$E$59="PER_TON_BATT",'ENG_OPS'!$J$20*'IN_COST'!$F$59*IF('IN_COST'!$G$59="FX",'ENG_SCEN'!$J$36,IF('IN_COST'!$G$59="PPI",'ENG_SCEN'!$J$35,IF('IN_COST'!$G$59="ENERGY",'ENG_SCEN'!$J$34,IF('IN_COST'!$G$59="WAGE",'ENG_SCEN'!$J$33,IF('IN_COST'!$G$59="CPI",'ENG_SCEN'!$J$32,1))))),IF('IN_COST'!$E$59="PER_TON_PROD",'ENG_OPS'!$J$43*'IN_COST'!$F$59*IF('IN_COST'!$G$59="FX",'ENG_SCEN'!$J$36,IF('IN_COST'!$G$59="PPI",'ENG_SCEN'!$J$35,IF('IN_COST'!$G$59="ENERGY",'ENG_SCEN'!$J$34,IF('IN_COST'!$G$59="WAGE",'ENG_SCEN'!$J$33,IF('IN_COST'!$G$59="CPI",'ENG_SCEN'!$J$32,1))))),IF('IN_COST'!$E$59="PER_KWH",'ENG_OPS'!$J$63*'IN_COST'!$F$59*IF('IN_COST'!$G$59="FX",'ENG_SCEN'!$J$36,IF('IN_COST'!$G$59="PPI",'ENG_SCEN'!$J$35,IF('IN_COST'!$G$59="ENERGY",'ENG_SCEN'!$J$34,IF('IN_COST'!$G$59="WAGE",'ENG_SCEN'!$J$33,IF('IN_COST'!$G$59="CPI",'ENG_SCEN'!$J$32,1))))),IF('IN_COST'!$E$59="PER_M3",'ENG_OPS'!$J$64*'IN_COST'!$F$59*IF('IN_COST'!$G$59="FX",'ENG_SCEN'!$J$36,IF('IN_COST'!$G$59="PPI",'ENG_SCEN'!$J$35,IF('IN_COST'!$G$59="ENERGY",'ENG_SCEN'!$J$34,IF('IN_COST'!$G$59="WAGE",'ENG_SCEN'!$J$33,IF('IN_COST'!$G$59="CPI",'ENG_SCEN'!$J$32,1))))),IF('IN_COST'!$E$59="ANNUAL",'IN_COST'!$F$59*IF('IN_COST'!$G$59="FX",'ENG_SCEN'!$J$36,IF('IN_COST'!$G$59="PPI",'ENG_SCEN'!$J$35,IF('IN_COST'!$G$59="ENERGY",'ENG_SCEN'!$J$34,IF('IN_COST'!$G$59="WAGE",'ENG_SCEN'!$J$33,IF('IN_COST'!$G$59="CPI",'ENG_SCEN'!$J$32,1))))),IF('IN_COST'!$E$59="PCT_REV",'ENG_OPS'!$J$81*'IN_COST'!$F$59,IF('IN_COST'!$E$59="PCT_ASSET",'ENG_CAPEX'!$J$84*'IN_COST'!$F$59,IF('IN_COST'!$E$59="DEP",'ENG_CAPEX'!$J$81,IF('IN_COST'!$E$59="PAY",INDEX('IN_COST'!$D$15:$D$19,IFERROR(VALUE(MID('IN_COST'!$F$59,FIND(":",'IN_COST'!$F$59)+1,2)),1))*INDEX('IN_COST'!$E$15:$E$19,IFERROR(VALUE(MID('IN_COST'!$F$59,FIND(":",'IN_COST'!$F$59)+1,2)),1))*'IN_COST'!$D$10*'IN_COST'!$D$11*'ENG_SCEN'!$J$33,IF('IN_COST'!$E$59="SRV",SUM(INDEX('ENG_ALLOC'!$D$29:$P$58,(IFERROR(VALUE(MID('IN_COST'!$F$59,FIND(":",'IN_COST'!$F$59)+1,2)),1)-1)*6+1,7):INDEX('ENG_ALLOC'!$D$29:$P$58,IFERROR(VALUE(MID('IN_COST'!$F$59,FIND(":",'IN_COST'!$F$59)+1,2)),1)*6,7)),0)))))))))))*IF('IN_COST'!$E$59="DEP",'ENG_SCEN'!$G$16,IF('IN_COST'!$I$59="V",IF('IN_COST'!$E$59="SCRAP_LME",'ENG_SCEN'!$G$13,'ENG_SCEN'!$G$14),'ENG_SCEN'!$G$15))</f>
        <v/>
      </c>
      <c r="K73" s="33">
        <f>'IN_MACRO'!$K$34*IF('IN_COST'!$E$59="SCRAP_LME",'ENG_OPS'!$K$20*'IN_COST'!$F$59*'ENG_SCEN'!$K$37,IF('IN_COST'!$E$59="PER_TON_BATT",'ENG_OPS'!$K$20*'IN_COST'!$F$59*IF('IN_COST'!$G$59="FX",'ENG_SCEN'!$K$36,IF('IN_COST'!$G$59="PPI",'ENG_SCEN'!$K$35,IF('IN_COST'!$G$59="ENERGY",'ENG_SCEN'!$K$34,IF('IN_COST'!$G$59="WAGE",'ENG_SCEN'!$K$33,IF('IN_COST'!$G$59="CPI",'ENG_SCEN'!$K$32,1))))),IF('IN_COST'!$E$59="PER_TON_PROD",'ENG_OPS'!$K$43*'IN_COST'!$F$59*IF('IN_COST'!$G$59="FX",'ENG_SCEN'!$K$36,IF('IN_COST'!$G$59="PPI",'ENG_SCEN'!$K$35,IF('IN_COST'!$G$59="ENERGY",'ENG_SCEN'!$K$34,IF('IN_COST'!$G$59="WAGE",'ENG_SCEN'!$K$33,IF('IN_COST'!$G$59="CPI",'ENG_SCEN'!$K$32,1))))),IF('IN_COST'!$E$59="PER_KWH",'ENG_OPS'!$K$63*'IN_COST'!$F$59*IF('IN_COST'!$G$59="FX",'ENG_SCEN'!$K$36,IF('IN_COST'!$G$59="PPI",'ENG_SCEN'!$K$35,IF('IN_COST'!$G$59="ENERGY",'ENG_SCEN'!$K$34,IF('IN_COST'!$G$59="WAGE",'ENG_SCEN'!$K$33,IF('IN_COST'!$G$59="CPI",'ENG_SCEN'!$K$32,1))))),IF('IN_COST'!$E$59="PER_M3",'ENG_OPS'!$K$64*'IN_COST'!$F$59*IF('IN_COST'!$G$59="FX",'ENG_SCEN'!$K$36,IF('IN_COST'!$G$59="PPI",'ENG_SCEN'!$K$35,IF('IN_COST'!$G$59="ENERGY",'ENG_SCEN'!$K$34,IF('IN_COST'!$G$59="WAGE",'ENG_SCEN'!$K$33,IF('IN_COST'!$G$59="CPI",'ENG_SCEN'!$K$32,1))))),IF('IN_COST'!$E$59="ANNUAL",'IN_COST'!$F$59*IF('IN_COST'!$G$59="FX",'ENG_SCEN'!$K$36,IF('IN_COST'!$G$59="PPI",'ENG_SCEN'!$K$35,IF('IN_COST'!$G$59="ENERGY",'ENG_SCEN'!$K$34,IF('IN_COST'!$G$59="WAGE",'ENG_SCEN'!$K$33,IF('IN_COST'!$G$59="CPI",'ENG_SCEN'!$K$32,1))))),IF('IN_COST'!$E$59="PCT_REV",'ENG_OPS'!$K$81*'IN_COST'!$F$59,IF('IN_COST'!$E$59="PCT_ASSET",'ENG_CAPEX'!$K$84*'IN_COST'!$F$59,IF('IN_COST'!$E$59="DEP",'ENG_CAPEX'!$K$81,IF('IN_COST'!$E$59="PAY",INDEX('IN_COST'!$D$15:$D$19,IFERROR(VALUE(MID('IN_COST'!$F$59,FIND(":",'IN_COST'!$F$59)+1,2)),1))*INDEX('IN_COST'!$E$15:$E$19,IFERROR(VALUE(MID('IN_COST'!$F$59,FIND(":",'IN_COST'!$F$59)+1,2)),1))*'IN_COST'!$D$10*'IN_COST'!$D$11*'ENG_SCEN'!$K$33,IF('IN_COST'!$E$59="SRV",SUM(INDEX('ENG_ALLOC'!$D$29:$P$58,(IFERROR(VALUE(MID('IN_COST'!$F$59,FIND(":",'IN_COST'!$F$59)+1,2)),1)-1)*6+1,8):INDEX('ENG_ALLOC'!$D$29:$P$58,IFERROR(VALUE(MID('IN_COST'!$F$59,FIND(":",'IN_COST'!$F$59)+1,2)),1)*6,8)),0)))))))))))*IF('IN_COST'!$E$59="DEP",'ENG_SCEN'!$G$16,IF('IN_COST'!$I$59="V",IF('IN_COST'!$E$59="SCRAP_LME",'ENG_SCEN'!$G$13,'ENG_SCEN'!$G$14),'ENG_SCEN'!$G$15))</f>
        <v/>
      </c>
      <c r="L73" s="33">
        <f>'IN_MACRO'!$L$34*IF('IN_COST'!$E$59="SCRAP_LME",'ENG_OPS'!$L$20*'IN_COST'!$F$59*'ENG_SCEN'!$L$37,IF('IN_COST'!$E$59="PER_TON_BATT",'ENG_OPS'!$L$20*'IN_COST'!$F$59*IF('IN_COST'!$G$59="FX",'ENG_SCEN'!$L$36,IF('IN_COST'!$G$59="PPI",'ENG_SCEN'!$L$35,IF('IN_COST'!$G$59="ENERGY",'ENG_SCEN'!$L$34,IF('IN_COST'!$G$59="WAGE",'ENG_SCEN'!$L$33,IF('IN_COST'!$G$59="CPI",'ENG_SCEN'!$L$32,1))))),IF('IN_COST'!$E$59="PER_TON_PROD",'ENG_OPS'!$L$43*'IN_COST'!$F$59*IF('IN_COST'!$G$59="FX",'ENG_SCEN'!$L$36,IF('IN_COST'!$G$59="PPI",'ENG_SCEN'!$L$35,IF('IN_COST'!$G$59="ENERGY",'ENG_SCEN'!$L$34,IF('IN_COST'!$G$59="WAGE",'ENG_SCEN'!$L$33,IF('IN_COST'!$G$59="CPI",'ENG_SCEN'!$L$32,1))))),IF('IN_COST'!$E$59="PER_KWH",'ENG_OPS'!$L$63*'IN_COST'!$F$59*IF('IN_COST'!$G$59="FX",'ENG_SCEN'!$L$36,IF('IN_COST'!$G$59="PPI",'ENG_SCEN'!$L$35,IF('IN_COST'!$G$59="ENERGY",'ENG_SCEN'!$L$34,IF('IN_COST'!$G$59="WAGE",'ENG_SCEN'!$L$33,IF('IN_COST'!$G$59="CPI",'ENG_SCEN'!$L$32,1))))),IF('IN_COST'!$E$59="PER_M3",'ENG_OPS'!$L$64*'IN_COST'!$F$59*IF('IN_COST'!$G$59="FX",'ENG_SCEN'!$L$36,IF('IN_COST'!$G$59="PPI",'ENG_SCEN'!$L$35,IF('IN_COST'!$G$59="ENERGY",'ENG_SCEN'!$L$34,IF('IN_COST'!$G$59="WAGE",'ENG_SCEN'!$L$33,IF('IN_COST'!$G$59="CPI",'ENG_SCEN'!$L$32,1))))),IF('IN_COST'!$E$59="ANNUAL",'IN_COST'!$F$59*IF('IN_COST'!$G$59="FX",'ENG_SCEN'!$L$36,IF('IN_COST'!$G$59="PPI",'ENG_SCEN'!$L$35,IF('IN_COST'!$G$59="ENERGY",'ENG_SCEN'!$L$34,IF('IN_COST'!$G$59="WAGE",'ENG_SCEN'!$L$33,IF('IN_COST'!$G$59="CPI",'ENG_SCEN'!$L$32,1))))),IF('IN_COST'!$E$59="PCT_REV",'ENG_OPS'!$L$81*'IN_COST'!$F$59,IF('IN_COST'!$E$59="PCT_ASSET",'ENG_CAPEX'!$L$84*'IN_COST'!$F$59,IF('IN_COST'!$E$59="DEP",'ENG_CAPEX'!$L$81,IF('IN_COST'!$E$59="PAY",INDEX('IN_COST'!$D$15:$D$19,IFERROR(VALUE(MID('IN_COST'!$F$59,FIND(":",'IN_COST'!$F$59)+1,2)),1))*INDEX('IN_COST'!$E$15:$E$19,IFERROR(VALUE(MID('IN_COST'!$F$59,FIND(":",'IN_COST'!$F$59)+1,2)),1))*'IN_COST'!$D$10*'IN_COST'!$D$11*'ENG_SCEN'!$L$33,IF('IN_COST'!$E$59="SRV",SUM(INDEX('ENG_ALLOC'!$D$29:$P$58,(IFERROR(VALUE(MID('IN_COST'!$F$59,FIND(":",'IN_COST'!$F$59)+1,2)),1)-1)*6+1,9):INDEX('ENG_ALLOC'!$D$29:$P$58,IFERROR(VALUE(MID('IN_COST'!$F$59,FIND(":",'IN_COST'!$F$59)+1,2)),1)*6,9)),0)))))))))))*IF('IN_COST'!$E$59="DEP",'ENG_SCEN'!$G$16,IF('IN_COST'!$I$59="V",IF('IN_COST'!$E$59="SCRAP_LME",'ENG_SCEN'!$G$13,'ENG_SCEN'!$G$14),'ENG_SCEN'!$G$15))</f>
        <v/>
      </c>
      <c r="M73" s="33">
        <f>'IN_MACRO'!$M$34*IF('IN_COST'!$E$59="SCRAP_LME",'ENG_OPS'!$M$20*'IN_COST'!$F$59*'ENG_SCEN'!$M$37,IF('IN_COST'!$E$59="PER_TON_BATT",'ENG_OPS'!$M$20*'IN_COST'!$F$59*IF('IN_COST'!$G$59="FX",'ENG_SCEN'!$M$36,IF('IN_COST'!$G$59="PPI",'ENG_SCEN'!$M$35,IF('IN_COST'!$G$59="ENERGY",'ENG_SCEN'!$M$34,IF('IN_COST'!$G$59="WAGE",'ENG_SCEN'!$M$33,IF('IN_COST'!$G$59="CPI",'ENG_SCEN'!$M$32,1))))),IF('IN_COST'!$E$59="PER_TON_PROD",'ENG_OPS'!$M$43*'IN_COST'!$F$59*IF('IN_COST'!$G$59="FX",'ENG_SCEN'!$M$36,IF('IN_COST'!$G$59="PPI",'ENG_SCEN'!$M$35,IF('IN_COST'!$G$59="ENERGY",'ENG_SCEN'!$M$34,IF('IN_COST'!$G$59="WAGE",'ENG_SCEN'!$M$33,IF('IN_COST'!$G$59="CPI",'ENG_SCEN'!$M$32,1))))),IF('IN_COST'!$E$59="PER_KWH",'ENG_OPS'!$M$63*'IN_COST'!$F$59*IF('IN_COST'!$G$59="FX",'ENG_SCEN'!$M$36,IF('IN_COST'!$G$59="PPI",'ENG_SCEN'!$M$35,IF('IN_COST'!$G$59="ENERGY",'ENG_SCEN'!$M$34,IF('IN_COST'!$G$59="WAGE",'ENG_SCEN'!$M$33,IF('IN_COST'!$G$59="CPI",'ENG_SCEN'!$M$32,1))))),IF('IN_COST'!$E$59="PER_M3",'ENG_OPS'!$M$64*'IN_COST'!$F$59*IF('IN_COST'!$G$59="FX",'ENG_SCEN'!$M$36,IF('IN_COST'!$G$59="PPI",'ENG_SCEN'!$M$35,IF('IN_COST'!$G$59="ENERGY",'ENG_SCEN'!$M$34,IF('IN_COST'!$G$59="WAGE",'ENG_SCEN'!$M$33,IF('IN_COST'!$G$59="CPI",'ENG_SCEN'!$M$32,1))))),IF('IN_COST'!$E$59="ANNUAL",'IN_COST'!$F$59*IF('IN_COST'!$G$59="FX",'ENG_SCEN'!$M$36,IF('IN_COST'!$G$59="PPI",'ENG_SCEN'!$M$35,IF('IN_COST'!$G$59="ENERGY",'ENG_SCEN'!$M$34,IF('IN_COST'!$G$59="WAGE",'ENG_SCEN'!$M$33,IF('IN_COST'!$G$59="CPI",'ENG_SCEN'!$M$32,1))))),IF('IN_COST'!$E$59="PCT_REV",'ENG_OPS'!$M$81*'IN_COST'!$F$59,IF('IN_COST'!$E$59="PCT_ASSET",'ENG_CAPEX'!$M$84*'IN_COST'!$F$59,IF('IN_COST'!$E$59="DEP",'ENG_CAPEX'!$M$81,IF('IN_COST'!$E$59="PAY",INDEX('IN_COST'!$D$15:$D$19,IFERROR(VALUE(MID('IN_COST'!$F$59,FIND(":",'IN_COST'!$F$59)+1,2)),1))*INDEX('IN_COST'!$E$15:$E$19,IFERROR(VALUE(MID('IN_COST'!$F$59,FIND(":",'IN_COST'!$F$59)+1,2)),1))*'IN_COST'!$D$10*'IN_COST'!$D$11*'ENG_SCEN'!$M$33,IF('IN_COST'!$E$59="SRV",SUM(INDEX('ENG_ALLOC'!$D$29:$P$58,(IFERROR(VALUE(MID('IN_COST'!$F$59,FIND(":",'IN_COST'!$F$59)+1,2)),1)-1)*6+1,10):INDEX('ENG_ALLOC'!$D$29:$P$58,IFERROR(VALUE(MID('IN_COST'!$F$59,FIND(":",'IN_COST'!$F$59)+1,2)),1)*6,10)),0)))))))))))*IF('IN_COST'!$E$59="DEP",'ENG_SCEN'!$G$16,IF('IN_COST'!$I$59="V",IF('IN_COST'!$E$59="SCRAP_LME",'ENG_SCEN'!$G$13,'ENG_SCEN'!$G$14),'ENG_SCEN'!$G$15))</f>
        <v/>
      </c>
      <c r="N73" s="33">
        <f>'IN_MACRO'!$N$34*IF('IN_COST'!$E$59="SCRAP_LME",'ENG_OPS'!$N$20*'IN_COST'!$F$59*'ENG_SCEN'!$N$37,IF('IN_COST'!$E$59="PER_TON_BATT",'ENG_OPS'!$N$20*'IN_COST'!$F$59*IF('IN_COST'!$G$59="FX",'ENG_SCEN'!$N$36,IF('IN_COST'!$G$59="PPI",'ENG_SCEN'!$N$35,IF('IN_COST'!$G$59="ENERGY",'ENG_SCEN'!$N$34,IF('IN_COST'!$G$59="WAGE",'ENG_SCEN'!$N$33,IF('IN_COST'!$G$59="CPI",'ENG_SCEN'!$N$32,1))))),IF('IN_COST'!$E$59="PER_TON_PROD",'ENG_OPS'!$N$43*'IN_COST'!$F$59*IF('IN_COST'!$G$59="FX",'ENG_SCEN'!$N$36,IF('IN_COST'!$G$59="PPI",'ENG_SCEN'!$N$35,IF('IN_COST'!$G$59="ENERGY",'ENG_SCEN'!$N$34,IF('IN_COST'!$G$59="WAGE",'ENG_SCEN'!$N$33,IF('IN_COST'!$G$59="CPI",'ENG_SCEN'!$N$32,1))))),IF('IN_COST'!$E$59="PER_KWH",'ENG_OPS'!$N$63*'IN_COST'!$F$59*IF('IN_COST'!$G$59="FX",'ENG_SCEN'!$N$36,IF('IN_COST'!$G$59="PPI",'ENG_SCEN'!$N$35,IF('IN_COST'!$G$59="ENERGY",'ENG_SCEN'!$N$34,IF('IN_COST'!$G$59="WAGE",'ENG_SCEN'!$N$33,IF('IN_COST'!$G$59="CPI",'ENG_SCEN'!$N$32,1))))),IF('IN_COST'!$E$59="PER_M3",'ENG_OPS'!$N$64*'IN_COST'!$F$59*IF('IN_COST'!$G$59="FX",'ENG_SCEN'!$N$36,IF('IN_COST'!$G$59="PPI",'ENG_SCEN'!$N$35,IF('IN_COST'!$G$59="ENERGY",'ENG_SCEN'!$N$34,IF('IN_COST'!$G$59="WAGE",'ENG_SCEN'!$N$33,IF('IN_COST'!$G$59="CPI",'ENG_SCEN'!$N$32,1))))),IF('IN_COST'!$E$59="ANNUAL",'IN_COST'!$F$59*IF('IN_COST'!$G$59="FX",'ENG_SCEN'!$N$36,IF('IN_COST'!$G$59="PPI",'ENG_SCEN'!$N$35,IF('IN_COST'!$G$59="ENERGY",'ENG_SCEN'!$N$34,IF('IN_COST'!$G$59="WAGE",'ENG_SCEN'!$N$33,IF('IN_COST'!$G$59="CPI",'ENG_SCEN'!$N$32,1))))),IF('IN_COST'!$E$59="PCT_REV",'ENG_OPS'!$N$81*'IN_COST'!$F$59,IF('IN_COST'!$E$59="PCT_ASSET",'ENG_CAPEX'!$N$84*'IN_COST'!$F$59,IF('IN_COST'!$E$59="DEP",'ENG_CAPEX'!$N$81,IF('IN_COST'!$E$59="PAY",INDEX('IN_COST'!$D$15:$D$19,IFERROR(VALUE(MID('IN_COST'!$F$59,FIND(":",'IN_COST'!$F$59)+1,2)),1))*INDEX('IN_COST'!$E$15:$E$19,IFERROR(VALUE(MID('IN_COST'!$F$59,FIND(":",'IN_COST'!$F$59)+1,2)),1))*'IN_COST'!$D$10*'IN_COST'!$D$11*'ENG_SCEN'!$N$33,IF('IN_COST'!$E$59="SRV",SUM(INDEX('ENG_ALLOC'!$D$29:$P$58,(IFERROR(VALUE(MID('IN_COST'!$F$59,FIND(":",'IN_COST'!$F$59)+1,2)),1)-1)*6+1,11):INDEX('ENG_ALLOC'!$D$29:$P$58,IFERROR(VALUE(MID('IN_COST'!$F$59,FIND(":",'IN_COST'!$F$59)+1,2)),1)*6,11)),0)))))))))))*IF('IN_COST'!$E$59="DEP",'ENG_SCEN'!$G$16,IF('IN_COST'!$I$59="V",IF('IN_COST'!$E$59="SCRAP_LME",'ENG_SCEN'!$G$13,'ENG_SCEN'!$G$14),'ENG_SCEN'!$G$15))</f>
        <v/>
      </c>
      <c r="O73" s="33">
        <f>'IN_MACRO'!$O$34*IF('IN_COST'!$E$59="SCRAP_LME",'ENG_OPS'!$O$20*'IN_COST'!$F$59*'ENG_SCEN'!$O$37,IF('IN_COST'!$E$59="PER_TON_BATT",'ENG_OPS'!$O$20*'IN_COST'!$F$59*IF('IN_COST'!$G$59="FX",'ENG_SCEN'!$O$36,IF('IN_COST'!$G$59="PPI",'ENG_SCEN'!$O$35,IF('IN_COST'!$G$59="ENERGY",'ENG_SCEN'!$O$34,IF('IN_COST'!$G$59="WAGE",'ENG_SCEN'!$O$33,IF('IN_COST'!$G$59="CPI",'ENG_SCEN'!$O$32,1))))),IF('IN_COST'!$E$59="PER_TON_PROD",'ENG_OPS'!$O$43*'IN_COST'!$F$59*IF('IN_COST'!$G$59="FX",'ENG_SCEN'!$O$36,IF('IN_COST'!$G$59="PPI",'ENG_SCEN'!$O$35,IF('IN_COST'!$G$59="ENERGY",'ENG_SCEN'!$O$34,IF('IN_COST'!$G$59="WAGE",'ENG_SCEN'!$O$33,IF('IN_COST'!$G$59="CPI",'ENG_SCEN'!$O$32,1))))),IF('IN_COST'!$E$59="PER_KWH",'ENG_OPS'!$O$63*'IN_COST'!$F$59*IF('IN_COST'!$G$59="FX",'ENG_SCEN'!$O$36,IF('IN_COST'!$G$59="PPI",'ENG_SCEN'!$O$35,IF('IN_COST'!$G$59="ENERGY",'ENG_SCEN'!$O$34,IF('IN_COST'!$G$59="WAGE",'ENG_SCEN'!$O$33,IF('IN_COST'!$G$59="CPI",'ENG_SCEN'!$O$32,1))))),IF('IN_COST'!$E$59="PER_M3",'ENG_OPS'!$O$64*'IN_COST'!$F$59*IF('IN_COST'!$G$59="FX",'ENG_SCEN'!$O$36,IF('IN_COST'!$G$59="PPI",'ENG_SCEN'!$O$35,IF('IN_COST'!$G$59="ENERGY",'ENG_SCEN'!$O$34,IF('IN_COST'!$G$59="WAGE",'ENG_SCEN'!$O$33,IF('IN_COST'!$G$59="CPI",'ENG_SCEN'!$O$32,1))))),IF('IN_COST'!$E$59="ANNUAL",'IN_COST'!$F$59*IF('IN_COST'!$G$59="FX",'ENG_SCEN'!$O$36,IF('IN_COST'!$G$59="PPI",'ENG_SCEN'!$O$35,IF('IN_COST'!$G$59="ENERGY",'ENG_SCEN'!$O$34,IF('IN_COST'!$G$59="WAGE",'ENG_SCEN'!$O$33,IF('IN_COST'!$G$59="CPI",'ENG_SCEN'!$O$32,1))))),IF('IN_COST'!$E$59="PCT_REV",'ENG_OPS'!$O$81*'IN_COST'!$F$59,IF('IN_COST'!$E$59="PCT_ASSET",'ENG_CAPEX'!$O$84*'IN_COST'!$F$59,IF('IN_COST'!$E$59="DEP",'ENG_CAPEX'!$O$81,IF('IN_COST'!$E$59="PAY",INDEX('IN_COST'!$D$15:$D$19,IFERROR(VALUE(MID('IN_COST'!$F$59,FIND(":",'IN_COST'!$F$59)+1,2)),1))*INDEX('IN_COST'!$E$15:$E$19,IFERROR(VALUE(MID('IN_COST'!$F$59,FIND(":",'IN_COST'!$F$59)+1,2)),1))*'IN_COST'!$D$10*'IN_COST'!$D$11*'ENG_SCEN'!$O$33,IF('IN_COST'!$E$59="SRV",SUM(INDEX('ENG_ALLOC'!$D$29:$P$58,(IFERROR(VALUE(MID('IN_COST'!$F$59,FIND(":",'IN_COST'!$F$59)+1,2)),1)-1)*6+1,12):INDEX('ENG_ALLOC'!$D$29:$P$58,IFERROR(VALUE(MID('IN_COST'!$F$59,FIND(":",'IN_COST'!$F$59)+1,2)),1)*6,12)),0)))))))))))*IF('IN_COST'!$E$59="DEP",'ENG_SCEN'!$G$16,IF('IN_COST'!$I$59="V",IF('IN_COST'!$E$59="SCRAP_LME",'ENG_SCEN'!$G$13,'ENG_SCEN'!$G$14),'ENG_SCEN'!$G$15))</f>
        <v/>
      </c>
      <c r="P73" s="33">
        <f>'IN_MACRO'!$P$34*IF('IN_COST'!$E$59="SCRAP_LME",'ENG_OPS'!$P$20*'IN_COST'!$F$59*'ENG_SCEN'!$P$37,IF('IN_COST'!$E$59="PER_TON_BATT",'ENG_OPS'!$P$20*'IN_COST'!$F$59*IF('IN_COST'!$G$59="FX",'ENG_SCEN'!$P$36,IF('IN_COST'!$G$59="PPI",'ENG_SCEN'!$P$35,IF('IN_COST'!$G$59="ENERGY",'ENG_SCEN'!$P$34,IF('IN_COST'!$G$59="WAGE",'ENG_SCEN'!$P$33,IF('IN_COST'!$G$59="CPI",'ENG_SCEN'!$P$32,1))))),IF('IN_COST'!$E$59="PER_TON_PROD",'ENG_OPS'!$P$43*'IN_COST'!$F$59*IF('IN_COST'!$G$59="FX",'ENG_SCEN'!$P$36,IF('IN_COST'!$G$59="PPI",'ENG_SCEN'!$P$35,IF('IN_COST'!$G$59="ENERGY",'ENG_SCEN'!$P$34,IF('IN_COST'!$G$59="WAGE",'ENG_SCEN'!$P$33,IF('IN_COST'!$G$59="CPI",'ENG_SCEN'!$P$32,1))))),IF('IN_COST'!$E$59="PER_KWH",'ENG_OPS'!$P$63*'IN_COST'!$F$59*IF('IN_COST'!$G$59="FX",'ENG_SCEN'!$P$36,IF('IN_COST'!$G$59="PPI",'ENG_SCEN'!$P$35,IF('IN_COST'!$G$59="ENERGY",'ENG_SCEN'!$P$34,IF('IN_COST'!$G$59="WAGE",'ENG_SCEN'!$P$33,IF('IN_COST'!$G$59="CPI",'ENG_SCEN'!$P$32,1))))),IF('IN_COST'!$E$59="PER_M3",'ENG_OPS'!$P$64*'IN_COST'!$F$59*IF('IN_COST'!$G$59="FX",'ENG_SCEN'!$P$36,IF('IN_COST'!$G$59="PPI",'ENG_SCEN'!$P$35,IF('IN_COST'!$G$59="ENERGY",'ENG_SCEN'!$P$34,IF('IN_COST'!$G$59="WAGE",'ENG_SCEN'!$P$33,IF('IN_COST'!$G$59="CPI",'ENG_SCEN'!$P$32,1))))),IF('IN_COST'!$E$59="ANNUAL",'IN_COST'!$F$59*IF('IN_COST'!$G$59="FX",'ENG_SCEN'!$P$36,IF('IN_COST'!$G$59="PPI",'ENG_SCEN'!$P$35,IF('IN_COST'!$G$59="ENERGY",'ENG_SCEN'!$P$34,IF('IN_COST'!$G$59="WAGE",'ENG_SCEN'!$P$33,IF('IN_COST'!$G$59="CPI",'ENG_SCEN'!$P$32,1))))),IF('IN_COST'!$E$59="PCT_REV",'ENG_OPS'!$P$81*'IN_COST'!$F$59,IF('IN_COST'!$E$59="PCT_ASSET",'ENG_CAPEX'!$P$84*'IN_COST'!$F$59,IF('IN_COST'!$E$59="DEP",'ENG_CAPEX'!$P$81,IF('IN_COST'!$E$59="PAY",INDEX('IN_COST'!$D$15:$D$19,IFERROR(VALUE(MID('IN_COST'!$F$59,FIND(":",'IN_COST'!$F$59)+1,2)),1))*INDEX('IN_COST'!$E$15:$E$19,IFERROR(VALUE(MID('IN_COST'!$F$59,FIND(":",'IN_COST'!$F$59)+1,2)),1))*'IN_COST'!$D$10*'IN_COST'!$D$11*'ENG_SCEN'!$P$33,IF('IN_COST'!$E$59="SRV",SUM(INDEX('ENG_ALLOC'!$D$29:$P$58,(IFERROR(VALUE(MID('IN_COST'!$F$59,FIND(":",'IN_COST'!$F$59)+1,2)),1)-1)*6+1,13):INDEX('ENG_ALLOC'!$D$29:$P$58,IFERROR(VALUE(MID('IN_COST'!$F$59,FIND(":",'IN_COST'!$F$59)+1,2)),1)*6,13)),0)))))))))))*IF('IN_COST'!$E$59="DEP",'ENG_SCEN'!$G$16,IF('IN_COST'!$I$59="V",IF('IN_COST'!$E$59="SCRAP_LME",'ENG_SCEN'!$G$13,'ENG_SCEN'!$G$14),'ENG_SCEN'!$G$15))</f>
        <v/>
      </c>
    </row>
    <row r="74"/>
    <row r="75">
      <c r="A75" s="4" t="inlineStr">
        <is>
          <t>د) تخصیص هر قلم هزینه به ایستگاه‌ها</t>
        </is>
      </c>
      <c r="B75" s="5" t="n"/>
      <c r="C75" s="5" t="n"/>
      <c r="D75" s="5" t="n"/>
      <c r="E75" s="5" t="n"/>
      <c r="F75" s="5" t="n"/>
      <c r="G75" s="5" t="n"/>
      <c r="H75" s="5" t="n"/>
      <c r="I75" s="5" t="n"/>
      <c r="J75" s="5" t="n"/>
      <c r="K75" s="5" t="n"/>
      <c r="L75" s="5" t="n"/>
      <c r="M75" s="5" t="n"/>
      <c r="N75" s="5" t="n"/>
      <c r="O75" s="5" t="n"/>
      <c r="P75" s="5" t="n"/>
      <c r="Q75" s="5" t="n"/>
    </row>
    <row r="76">
      <c r="A76" s="15" t="inlineStr">
        <is>
          <t>DPC-01 ← ایستگاه 1</t>
        </is>
      </c>
      <c r="B76" s="16" t="inlineStr"/>
      <c r="C76" s="17" t="inlineStr">
        <is>
          <t>میلیون ریال</t>
        </is>
      </c>
      <c r="D76" s="33">
        <f>'ENG_COST'!$D$47*'ENG_COST'!$D$18</f>
        <v/>
      </c>
      <c r="E76" s="33">
        <f>'ENG_COST'!$E$47*'ENG_COST'!$D$18</f>
        <v/>
      </c>
      <c r="F76" s="33">
        <f>'ENG_COST'!$F$47*'ENG_COST'!$D$18</f>
        <v/>
      </c>
      <c r="G76" s="33">
        <f>'ENG_COST'!$G$47*'ENG_COST'!$D$18</f>
        <v/>
      </c>
      <c r="H76" s="33">
        <f>'ENG_COST'!$H$47*'ENG_COST'!$D$18</f>
        <v/>
      </c>
      <c r="I76" s="33">
        <f>'ENG_COST'!$I$47*'ENG_COST'!$D$18</f>
        <v/>
      </c>
      <c r="J76" s="33">
        <f>'ENG_COST'!$J$47*'ENG_COST'!$D$18</f>
        <v/>
      </c>
      <c r="K76" s="33">
        <f>'ENG_COST'!$K$47*'ENG_COST'!$D$18</f>
        <v/>
      </c>
      <c r="L76" s="33">
        <f>'ENG_COST'!$L$47*'ENG_COST'!$D$18</f>
        <v/>
      </c>
      <c r="M76" s="33">
        <f>'ENG_COST'!$M$47*'ENG_COST'!$D$18</f>
        <v/>
      </c>
      <c r="N76" s="33">
        <f>'ENG_COST'!$N$47*'ENG_COST'!$D$18</f>
        <v/>
      </c>
      <c r="O76" s="33">
        <f>'ENG_COST'!$O$47*'ENG_COST'!$D$18</f>
        <v/>
      </c>
      <c r="P76" s="33">
        <f>'ENG_COST'!$P$47*'ENG_COST'!$D$18</f>
        <v/>
      </c>
    </row>
    <row r="77">
      <c r="A77" s="15" t="inlineStr">
        <is>
          <t>DPC-01 ← ایستگاه 2</t>
        </is>
      </c>
      <c r="B77" s="16" t="inlineStr"/>
      <c r="C77" s="17" t="inlineStr">
        <is>
          <t>میلیون ریال</t>
        </is>
      </c>
      <c r="D77" s="33">
        <f>'ENG_COST'!$D$47*'ENG_COST'!$E$18</f>
        <v/>
      </c>
      <c r="E77" s="33">
        <f>'ENG_COST'!$E$47*'ENG_COST'!$E$18</f>
        <v/>
      </c>
      <c r="F77" s="33">
        <f>'ENG_COST'!$F$47*'ENG_COST'!$E$18</f>
        <v/>
      </c>
      <c r="G77" s="33">
        <f>'ENG_COST'!$G$47*'ENG_COST'!$E$18</f>
        <v/>
      </c>
      <c r="H77" s="33">
        <f>'ENG_COST'!$H$47*'ENG_COST'!$E$18</f>
        <v/>
      </c>
      <c r="I77" s="33">
        <f>'ENG_COST'!$I$47*'ENG_COST'!$E$18</f>
        <v/>
      </c>
      <c r="J77" s="33">
        <f>'ENG_COST'!$J$47*'ENG_COST'!$E$18</f>
        <v/>
      </c>
      <c r="K77" s="33">
        <f>'ENG_COST'!$K$47*'ENG_COST'!$E$18</f>
        <v/>
      </c>
      <c r="L77" s="33">
        <f>'ENG_COST'!$L$47*'ENG_COST'!$E$18</f>
        <v/>
      </c>
      <c r="M77" s="33">
        <f>'ENG_COST'!$M$47*'ENG_COST'!$E$18</f>
        <v/>
      </c>
      <c r="N77" s="33">
        <f>'ENG_COST'!$N$47*'ENG_COST'!$E$18</f>
        <v/>
      </c>
      <c r="O77" s="33">
        <f>'ENG_COST'!$O$47*'ENG_COST'!$E$18</f>
        <v/>
      </c>
      <c r="P77" s="33">
        <f>'ENG_COST'!$P$47*'ENG_COST'!$E$18</f>
        <v/>
      </c>
    </row>
    <row r="78">
      <c r="A78" s="15" t="inlineStr">
        <is>
          <t>DPC-01 ← ایستگاه 3</t>
        </is>
      </c>
      <c r="B78" s="16" t="inlineStr"/>
      <c r="C78" s="17" t="inlineStr">
        <is>
          <t>میلیون ریال</t>
        </is>
      </c>
      <c r="D78" s="33">
        <f>'ENG_COST'!$D$47*'ENG_COST'!$F$18</f>
        <v/>
      </c>
      <c r="E78" s="33">
        <f>'ENG_COST'!$E$47*'ENG_COST'!$F$18</f>
        <v/>
      </c>
      <c r="F78" s="33">
        <f>'ENG_COST'!$F$47*'ENG_COST'!$F$18</f>
        <v/>
      </c>
      <c r="G78" s="33">
        <f>'ENG_COST'!$G$47*'ENG_COST'!$F$18</f>
        <v/>
      </c>
      <c r="H78" s="33">
        <f>'ENG_COST'!$H$47*'ENG_COST'!$F$18</f>
        <v/>
      </c>
      <c r="I78" s="33">
        <f>'ENG_COST'!$I$47*'ENG_COST'!$F$18</f>
        <v/>
      </c>
      <c r="J78" s="33">
        <f>'ENG_COST'!$J$47*'ENG_COST'!$F$18</f>
        <v/>
      </c>
      <c r="K78" s="33">
        <f>'ENG_COST'!$K$47*'ENG_COST'!$F$18</f>
        <v/>
      </c>
      <c r="L78" s="33">
        <f>'ENG_COST'!$L$47*'ENG_COST'!$F$18</f>
        <v/>
      </c>
      <c r="M78" s="33">
        <f>'ENG_COST'!$M$47*'ENG_COST'!$F$18</f>
        <v/>
      </c>
      <c r="N78" s="33">
        <f>'ENG_COST'!$N$47*'ENG_COST'!$F$18</f>
        <v/>
      </c>
      <c r="O78" s="33">
        <f>'ENG_COST'!$O$47*'ENG_COST'!$F$18</f>
        <v/>
      </c>
      <c r="P78" s="33">
        <f>'ENG_COST'!$P$47*'ENG_COST'!$F$18</f>
        <v/>
      </c>
    </row>
    <row r="79">
      <c r="A79" s="15" t="inlineStr">
        <is>
          <t>DPC-01 ← ایستگاه 4</t>
        </is>
      </c>
      <c r="B79" s="16" t="inlineStr"/>
      <c r="C79" s="17" t="inlineStr">
        <is>
          <t>میلیون ریال</t>
        </is>
      </c>
      <c r="D79" s="33">
        <f>'ENG_COST'!$D$47*'ENG_COST'!$G$18</f>
        <v/>
      </c>
      <c r="E79" s="33">
        <f>'ENG_COST'!$E$47*'ENG_COST'!$G$18</f>
        <v/>
      </c>
      <c r="F79" s="33">
        <f>'ENG_COST'!$F$47*'ENG_COST'!$G$18</f>
        <v/>
      </c>
      <c r="G79" s="33">
        <f>'ENG_COST'!$G$47*'ENG_COST'!$G$18</f>
        <v/>
      </c>
      <c r="H79" s="33">
        <f>'ENG_COST'!$H$47*'ENG_COST'!$G$18</f>
        <v/>
      </c>
      <c r="I79" s="33">
        <f>'ENG_COST'!$I$47*'ENG_COST'!$G$18</f>
        <v/>
      </c>
      <c r="J79" s="33">
        <f>'ENG_COST'!$J$47*'ENG_COST'!$G$18</f>
        <v/>
      </c>
      <c r="K79" s="33">
        <f>'ENG_COST'!$K$47*'ENG_COST'!$G$18</f>
        <v/>
      </c>
      <c r="L79" s="33">
        <f>'ENG_COST'!$L$47*'ENG_COST'!$G$18</f>
        <v/>
      </c>
      <c r="M79" s="33">
        <f>'ENG_COST'!$M$47*'ENG_COST'!$G$18</f>
        <v/>
      </c>
      <c r="N79" s="33">
        <f>'ENG_COST'!$N$47*'ENG_COST'!$G$18</f>
        <v/>
      </c>
      <c r="O79" s="33">
        <f>'ENG_COST'!$O$47*'ENG_COST'!$G$18</f>
        <v/>
      </c>
      <c r="P79" s="33">
        <f>'ENG_COST'!$P$47*'ENG_COST'!$G$18</f>
        <v/>
      </c>
    </row>
    <row r="80">
      <c r="A80" s="15" t="inlineStr">
        <is>
          <t>DPC-01 ← ایستگاه 5</t>
        </is>
      </c>
      <c r="B80" s="16" t="inlineStr"/>
      <c r="C80" s="17" t="inlineStr">
        <is>
          <t>میلیون ریال</t>
        </is>
      </c>
      <c r="D80" s="33">
        <f>'ENG_COST'!$D$47*'ENG_COST'!$H$18</f>
        <v/>
      </c>
      <c r="E80" s="33">
        <f>'ENG_COST'!$E$47*'ENG_COST'!$H$18</f>
        <v/>
      </c>
      <c r="F80" s="33">
        <f>'ENG_COST'!$F$47*'ENG_COST'!$H$18</f>
        <v/>
      </c>
      <c r="G80" s="33">
        <f>'ENG_COST'!$G$47*'ENG_COST'!$H$18</f>
        <v/>
      </c>
      <c r="H80" s="33">
        <f>'ENG_COST'!$H$47*'ENG_COST'!$H$18</f>
        <v/>
      </c>
      <c r="I80" s="33">
        <f>'ENG_COST'!$I$47*'ENG_COST'!$H$18</f>
        <v/>
      </c>
      <c r="J80" s="33">
        <f>'ENG_COST'!$J$47*'ENG_COST'!$H$18</f>
        <v/>
      </c>
      <c r="K80" s="33">
        <f>'ENG_COST'!$K$47*'ENG_COST'!$H$18</f>
        <v/>
      </c>
      <c r="L80" s="33">
        <f>'ENG_COST'!$L$47*'ENG_COST'!$H$18</f>
        <v/>
      </c>
      <c r="M80" s="33">
        <f>'ENG_COST'!$M$47*'ENG_COST'!$H$18</f>
        <v/>
      </c>
      <c r="N80" s="33">
        <f>'ENG_COST'!$N$47*'ENG_COST'!$H$18</f>
        <v/>
      </c>
      <c r="O80" s="33">
        <f>'ENG_COST'!$O$47*'ENG_COST'!$H$18</f>
        <v/>
      </c>
      <c r="P80" s="33">
        <f>'ENG_COST'!$P$47*'ENG_COST'!$H$18</f>
        <v/>
      </c>
    </row>
    <row r="81">
      <c r="A81" s="15" t="inlineStr">
        <is>
          <t>DPC-01 ← ایستگاه 6</t>
        </is>
      </c>
      <c r="B81" s="16" t="inlineStr"/>
      <c r="C81" s="17" t="inlineStr">
        <is>
          <t>میلیون ریال</t>
        </is>
      </c>
      <c r="D81" s="33">
        <f>'ENG_COST'!$D$47*'ENG_COST'!$I$18</f>
        <v/>
      </c>
      <c r="E81" s="33">
        <f>'ENG_COST'!$E$47*'ENG_COST'!$I$18</f>
        <v/>
      </c>
      <c r="F81" s="33">
        <f>'ENG_COST'!$F$47*'ENG_COST'!$I$18</f>
        <v/>
      </c>
      <c r="G81" s="33">
        <f>'ENG_COST'!$G$47*'ENG_COST'!$I$18</f>
        <v/>
      </c>
      <c r="H81" s="33">
        <f>'ENG_COST'!$H$47*'ENG_COST'!$I$18</f>
        <v/>
      </c>
      <c r="I81" s="33">
        <f>'ENG_COST'!$I$47*'ENG_COST'!$I$18</f>
        <v/>
      </c>
      <c r="J81" s="33">
        <f>'ENG_COST'!$J$47*'ENG_COST'!$I$18</f>
        <v/>
      </c>
      <c r="K81" s="33">
        <f>'ENG_COST'!$K$47*'ENG_COST'!$I$18</f>
        <v/>
      </c>
      <c r="L81" s="33">
        <f>'ENG_COST'!$L$47*'ENG_COST'!$I$18</f>
        <v/>
      </c>
      <c r="M81" s="33">
        <f>'ENG_COST'!$M$47*'ENG_COST'!$I$18</f>
        <v/>
      </c>
      <c r="N81" s="33">
        <f>'ENG_COST'!$N$47*'ENG_COST'!$I$18</f>
        <v/>
      </c>
      <c r="O81" s="33">
        <f>'ENG_COST'!$O$47*'ENG_COST'!$I$18</f>
        <v/>
      </c>
      <c r="P81" s="33">
        <f>'ENG_COST'!$P$47*'ENG_COST'!$I$18</f>
        <v/>
      </c>
    </row>
    <row r="82">
      <c r="A82" s="15" t="inlineStr">
        <is>
          <t>DPC-02 ← ایستگاه 1</t>
        </is>
      </c>
      <c r="B82" s="16" t="inlineStr"/>
      <c r="C82" s="17" t="inlineStr">
        <is>
          <t>میلیون ریال</t>
        </is>
      </c>
      <c r="D82" s="33">
        <f>'ENG_COST'!$D$48*'ENG_COST'!$D$19</f>
        <v/>
      </c>
      <c r="E82" s="33">
        <f>'ENG_COST'!$E$48*'ENG_COST'!$D$19</f>
        <v/>
      </c>
      <c r="F82" s="33">
        <f>'ENG_COST'!$F$48*'ENG_COST'!$D$19</f>
        <v/>
      </c>
      <c r="G82" s="33">
        <f>'ENG_COST'!$G$48*'ENG_COST'!$D$19</f>
        <v/>
      </c>
      <c r="H82" s="33">
        <f>'ENG_COST'!$H$48*'ENG_COST'!$D$19</f>
        <v/>
      </c>
      <c r="I82" s="33">
        <f>'ENG_COST'!$I$48*'ENG_COST'!$D$19</f>
        <v/>
      </c>
      <c r="J82" s="33">
        <f>'ENG_COST'!$J$48*'ENG_COST'!$D$19</f>
        <v/>
      </c>
      <c r="K82" s="33">
        <f>'ENG_COST'!$K$48*'ENG_COST'!$D$19</f>
        <v/>
      </c>
      <c r="L82" s="33">
        <f>'ENG_COST'!$L$48*'ENG_COST'!$D$19</f>
        <v/>
      </c>
      <c r="M82" s="33">
        <f>'ENG_COST'!$M$48*'ENG_COST'!$D$19</f>
        <v/>
      </c>
      <c r="N82" s="33">
        <f>'ENG_COST'!$N$48*'ENG_COST'!$D$19</f>
        <v/>
      </c>
      <c r="O82" s="33">
        <f>'ENG_COST'!$O$48*'ENG_COST'!$D$19</f>
        <v/>
      </c>
      <c r="P82" s="33">
        <f>'ENG_COST'!$P$48*'ENG_COST'!$D$19</f>
        <v/>
      </c>
    </row>
    <row r="83">
      <c r="A83" s="15" t="inlineStr">
        <is>
          <t>DPC-02 ← ایستگاه 2</t>
        </is>
      </c>
      <c r="B83" s="16" t="inlineStr"/>
      <c r="C83" s="17" t="inlineStr">
        <is>
          <t>میلیون ریال</t>
        </is>
      </c>
      <c r="D83" s="33">
        <f>'ENG_COST'!$D$48*'ENG_COST'!$E$19</f>
        <v/>
      </c>
      <c r="E83" s="33">
        <f>'ENG_COST'!$E$48*'ENG_COST'!$E$19</f>
        <v/>
      </c>
      <c r="F83" s="33">
        <f>'ENG_COST'!$F$48*'ENG_COST'!$E$19</f>
        <v/>
      </c>
      <c r="G83" s="33">
        <f>'ENG_COST'!$G$48*'ENG_COST'!$E$19</f>
        <v/>
      </c>
      <c r="H83" s="33">
        <f>'ENG_COST'!$H$48*'ENG_COST'!$E$19</f>
        <v/>
      </c>
      <c r="I83" s="33">
        <f>'ENG_COST'!$I$48*'ENG_COST'!$E$19</f>
        <v/>
      </c>
      <c r="J83" s="33">
        <f>'ENG_COST'!$J$48*'ENG_COST'!$E$19</f>
        <v/>
      </c>
      <c r="K83" s="33">
        <f>'ENG_COST'!$K$48*'ENG_COST'!$E$19</f>
        <v/>
      </c>
      <c r="L83" s="33">
        <f>'ENG_COST'!$L$48*'ENG_COST'!$E$19</f>
        <v/>
      </c>
      <c r="M83" s="33">
        <f>'ENG_COST'!$M$48*'ENG_COST'!$E$19</f>
        <v/>
      </c>
      <c r="N83" s="33">
        <f>'ENG_COST'!$N$48*'ENG_COST'!$E$19</f>
        <v/>
      </c>
      <c r="O83" s="33">
        <f>'ENG_COST'!$O$48*'ENG_COST'!$E$19</f>
        <v/>
      </c>
      <c r="P83" s="33">
        <f>'ENG_COST'!$P$48*'ENG_COST'!$E$19</f>
        <v/>
      </c>
    </row>
    <row r="84">
      <c r="A84" s="15" t="inlineStr">
        <is>
          <t>DPC-02 ← ایستگاه 3</t>
        </is>
      </c>
      <c r="B84" s="16" t="inlineStr"/>
      <c r="C84" s="17" t="inlineStr">
        <is>
          <t>میلیون ریال</t>
        </is>
      </c>
      <c r="D84" s="33">
        <f>'ENG_COST'!$D$48*'ENG_COST'!$F$19</f>
        <v/>
      </c>
      <c r="E84" s="33">
        <f>'ENG_COST'!$E$48*'ENG_COST'!$F$19</f>
        <v/>
      </c>
      <c r="F84" s="33">
        <f>'ENG_COST'!$F$48*'ENG_COST'!$F$19</f>
        <v/>
      </c>
      <c r="G84" s="33">
        <f>'ENG_COST'!$G$48*'ENG_COST'!$F$19</f>
        <v/>
      </c>
      <c r="H84" s="33">
        <f>'ENG_COST'!$H$48*'ENG_COST'!$F$19</f>
        <v/>
      </c>
      <c r="I84" s="33">
        <f>'ENG_COST'!$I$48*'ENG_COST'!$F$19</f>
        <v/>
      </c>
      <c r="J84" s="33">
        <f>'ENG_COST'!$J$48*'ENG_COST'!$F$19</f>
        <v/>
      </c>
      <c r="K84" s="33">
        <f>'ENG_COST'!$K$48*'ENG_COST'!$F$19</f>
        <v/>
      </c>
      <c r="L84" s="33">
        <f>'ENG_COST'!$L$48*'ENG_COST'!$F$19</f>
        <v/>
      </c>
      <c r="M84" s="33">
        <f>'ENG_COST'!$M$48*'ENG_COST'!$F$19</f>
        <v/>
      </c>
      <c r="N84" s="33">
        <f>'ENG_COST'!$N$48*'ENG_COST'!$F$19</f>
        <v/>
      </c>
      <c r="O84" s="33">
        <f>'ENG_COST'!$O$48*'ENG_COST'!$F$19</f>
        <v/>
      </c>
      <c r="P84" s="33">
        <f>'ENG_COST'!$P$48*'ENG_COST'!$F$19</f>
        <v/>
      </c>
    </row>
    <row r="85">
      <c r="A85" s="15" t="inlineStr">
        <is>
          <t>DPC-02 ← ایستگاه 4</t>
        </is>
      </c>
      <c r="B85" s="16" t="inlineStr"/>
      <c r="C85" s="17" t="inlineStr">
        <is>
          <t>میلیون ریال</t>
        </is>
      </c>
      <c r="D85" s="33">
        <f>'ENG_COST'!$D$48*'ENG_COST'!$G$19</f>
        <v/>
      </c>
      <c r="E85" s="33">
        <f>'ENG_COST'!$E$48*'ENG_COST'!$G$19</f>
        <v/>
      </c>
      <c r="F85" s="33">
        <f>'ENG_COST'!$F$48*'ENG_COST'!$G$19</f>
        <v/>
      </c>
      <c r="G85" s="33">
        <f>'ENG_COST'!$G$48*'ENG_COST'!$G$19</f>
        <v/>
      </c>
      <c r="H85" s="33">
        <f>'ENG_COST'!$H$48*'ENG_COST'!$G$19</f>
        <v/>
      </c>
      <c r="I85" s="33">
        <f>'ENG_COST'!$I$48*'ENG_COST'!$G$19</f>
        <v/>
      </c>
      <c r="J85" s="33">
        <f>'ENG_COST'!$J$48*'ENG_COST'!$G$19</f>
        <v/>
      </c>
      <c r="K85" s="33">
        <f>'ENG_COST'!$K$48*'ENG_COST'!$G$19</f>
        <v/>
      </c>
      <c r="L85" s="33">
        <f>'ENG_COST'!$L$48*'ENG_COST'!$G$19</f>
        <v/>
      </c>
      <c r="M85" s="33">
        <f>'ENG_COST'!$M$48*'ENG_COST'!$G$19</f>
        <v/>
      </c>
      <c r="N85" s="33">
        <f>'ENG_COST'!$N$48*'ENG_COST'!$G$19</f>
        <v/>
      </c>
      <c r="O85" s="33">
        <f>'ENG_COST'!$O$48*'ENG_COST'!$G$19</f>
        <v/>
      </c>
      <c r="P85" s="33">
        <f>'ENG_COST'!$P$48*'ENG_COST'!$G$19</f>
        <v/>
      </c>
    </row>
    <row r="86">
      <c r="A86" s="15" t="inlineStr">
        <is>
          <t>DPC-02 ← ایستگاه 5</t>
        </is>
      </c>
      <c r="B86" s="16" t="inlineStr"/>
      <c r="C86" s="17" t="inlineStr">
        <is>
          <t>میلیون ریال</t>
        </is>
      </c>
      <c r="D86" s="33">
        <f>'ENG_COST'!$D$48*'ENG_COST'!$H$19</f>
        <v/>
      </c>
      <c r="E86" s="33">
        <f>'ENG_COST'!$E$48*'ENG_COST'!$H$19</f>
        <v/>
      </c>
      <c r="F86" s="33">
        <f>'ENG_COST'!$F$48*'ENG_COST'!$H$19</f>
        <v/>
      </c>
      <c r="G86" s="33">
        <f>'ENG_COST'!$G$48*'ENG_COST'!$H$19</f>
        <v/>
      </c>
      <c r="H86" s="33">
        <f>'ENG_COST'!$H$48*'ENG_COST'!$H$19</f>
        <v/>
      </c>
      <c r="I86" s="33">
        <f>'ENG_COST'!$I$48*'ENG_COST'!$H$19</f>
        <v/>
      </c>
      <c r="J86" s="33">
        <f>'ENG_COST'!$J$48*'ENG_COST'!$H$19</f>
        <v/>
      </c>
      <c r="K86" s="33">
        <f>'ENG_COST'!$K$48*'ENG_COST'!$H$19</f>
        <v/>
      </c>
      <c r="L86" s="33">
        <f>'ENG_COST'!$L$48*'ENG_COST'!$H$19</f>
        <v/>
      </c>
      <c r="M86" s="33">
        <f>'ENG_COST'!$M$48*'ENG_COST'!$H$19</f>
        <v/>
      </c>
      <c r="N86" s="33">
        <f>'ENG_COST'!$N$48*'ENG_COST'!$H$19</f>
        <v/>
      </c>
      <c r="O86" s="33">
        <f>'ENG_COST'!$O$48*'ENG_COST'!$H$19</f>
        <v/>
      </c>
      <c r="P86" s="33">
        <f>'ENG_COST'!$P$48*'ENG_COST'!$H$19</f>
        <v/>
      </c>
    </row>
    <row r="87">
      <c r="A87" s="15" t="inlineStr">
        <is>
          <t>DPC-02 ← ایستگاه 6</t>
        </is>
      </c>
      <c r="B87" s="16" t="inlineStr"/>
      <c r="C87" s="17" t="inlineStr">
        <is>
          <t>میلیون ریال</t>
        </is>
      </c>
      <c r="D87" s="33">
        <f>'ENG_COST'!$D$48*'ENG_COST'!$I$19</f>
        <v/>
      </c>
      <c r="E87" s="33">
        <f>'ENG_COST'!$E$48*'ENG_COST'!$I$19</f>
        <v/>
      </c>
      <c r="F87" s="33">
        <f>'ENG_COST'!$F$48*'ENG_COST'!$I$19</f>
        <v/>
      </c>
      <c r="G87" s="33">
        <f>'ENG_COST'!$G$48*'ENG_COST'!$I$19</f>
        <v/>
      </c>
      <c r="H87" s="33">
        <f>'ENG_COST'!$H$48*'ENG_COST'!$I$19</f>
        <v/>
      </c>
      <c r="I87" s="33">
        <f>'ENG_COST'!$I$48*'ENG_COST'!$I$19</f>
        <v/>
      </c>
      <c r="J87" s="33">
        <f>'ENG_COST'!$J$48*'ENG_COST'!$I$19</f>
        <v/>
      </c>
      <c r="K87" s="33">
        <f>'ENG_COST'!$K$48*'ENG_COST'!$I$19</f>
        <v/>
      </c>
      <c r="L87" s="33">
        <f>'ENG_COST'!$L$48*'ENG_COST'!$I$19</f>
        <v/>
      </c>
      <c r="M87" s="33">
        <f>'ENG_COST'!$M$48*'ENG_COST'!$I$19</f>
        <v/>
      </c>
      <c r="N87" s="33">
        <f>'ENG_COST'!$N$48*'ENG_COST'!$I$19</f>
        <v/>
      </c>
      <c r="O87" s="33">
        <f>'ENG_COST'!$O$48*'ENG_COST'!$I$19</f>
        <v/>
      </c>
      <c r="P87" s="33">
        <f>'ENG_COST'!$P$48*'ENG_COST'!$I$19</f>
        <v/>
      </c>
    </row>
    <row r="88">
      <c r="A88" s="15" t="inlineStr">
        <is>
          <t>DPC-03 ← ایستگاه 1</t>
        </is>
      </c>
      <c r="B88" s="16" t="inlineStr"/>
      <c r="C88" s="17" t="inlineStr">
        <is>
          <t>میلیون ریال</t>
        </is>
      </c>
      <c r="D88" s="33">
        <f>'ENG_COST'!$D$49*'ENG_COST'!$D$20</f>
        <v/>
      </c>
      <c r="E88" s="33">
        <f>'ENG_COST'!$E$49*'ENG_COST'!$D$20</f>
        <v/>
      </c>
      <c r="F88" s="33">
        <f>'ENG_COST'!$F$49*'ENG_COST'!$D$20</f>
        <v/>
      </c>
      <c r="G88" s="33">
        <f>'ENG_COST'!$G$49*'ENG_COST'!$D$20</f>
        <v/>
      </c>
      <c r="H88" s="33">
        <f>'ENG_COST'!$H$49*'ENG_COST'!$D$20</f>
        <v/>
      </c>
      <c r="I88" s="33">
        <f>'ENG_COST'!$I$49*'ENG_COST'!$D$20</f>
        <v/>
      </c>
      <c r="J88" s="33">
        <f>'ENG_COST'!$J$49*'ENG_COST'!$D$20</f>
        <v/>
      </c>
      <c r="K88" s="33">
        <f>'ENG_COST'!$K$49*'ENG_COST'!$D$20</f>
        <v/>
      </c>
      <c r="L88" s="33">
        <f>'ENG_COST'!$L$49*'ENG_COST'!$D$20</f>
        <v/>
      </c>
      <c r="M88" s="33">
        <f>'ENG_COST'!$M$49*'ENG_COST'!$D$20</f>
        <v/>
      </c>
      <c r="N88" s="33">
        <f>'ENG_COST'!$N$49*'ENG_COST'!$D$20</f>
        <v/>
      </c>
      <c r="O88" s="33">
        <f>'ENG_COST'!$O$49*'ENG_COST'!$D$20</f>
        <v/>
      </c>
      <c r="P88" s="33">
        <f>'ENG_COST'!$P$49*'ENG_COST'!$D$20</f>
        <v/>
      </c>
    </row>
    <row r="89">
      <c r="A89" s="15" t="inlineStr">
        <is>
          <t>DPC-03 ← ایستگاه 2</t>
        </is>
      </c>
      <c r="B89" s="16" t="inlineStr"/>
      <c r="C89" s="17" t="inlineStr">
        <is>
          <t>میلیون ریال</t>
        </is>
      </c>
      <c r="D89" s="33">
        <f>'ENG_COST'!$D$49*'ENG_COST'!$E$20</f>
        <v/>
      </c>
      <c r="E89" s="33">
        <f>'ENG_COST'!$E$49*'ENG_COST'!$E$20</f>
        <v/>
      </c>
      <c r="F89" s="33">
        <f>'ENG_COST'!$F$49*'ENG_COST'!$E$20</f>
        <v/>
      </c>
      <c r="G89" s="33">
        <f>'ENG_COST'!$G$49*'ENG_COST'!$E$20</f>
        <v/>
      </c>
      <c r="H89" s="33">
        <f>'ENG_COST'!$H$49*'ENG_COST'!$E$20</f>
        <v/>
      </c>
      <c r="I89" s="33">
        <f>'ENG_COST'!$I$49*'ENG_COST'!$E$20</f>
        <v/>
      </c>
      <c r="J89" s="33">
        <f>'ENG_COST'!$J$49*'ENG_COST'!$E$20</f>
        <v/>
      </c>
      <c r="K89" s="33">
        <f>'ENG_COST'!$K$49*'ENG_COST'!$E$20</f>
        <v/>
      </c>
      <c r="L89" s="33">
        <f>'ENG_COST'!$L$49*'ENG_COST'!$E$20</f>
        <v/>
      </c>
      <c r="M89" s="33">
        <f>'ENG_COST'!$M$49*'ENG_COST'!$E$20</f>
        <v/>
      </c>
      <c r="N89" s="33">
        <f>'ENG_COST'!$N$49*'ENG_COST'!$E$20</f>
        <v/>
      </c>
      <c r="O89" s="33">
        <f>'ENG_COST'!$O$49*'ENG_COST'!$E$20</f>
        <v/>
      </c>
      <c r="P89" s="33">
        <f>'ENG_COST'!$P$49*'ENG_COST'!$E$20</f>
        <v/>
      </c>
    </row>
    <row r="90">
      <c r="A90" s="15" t="inlineStr">
        <is>
          <t>DPC-03 ← ایستگاه 3</t>
        </is>
      </c>
      <c r="B90" s="16" t="inlineStr"/>
      <c r="C90" s="17" t="inlineStr">
        <is>
          <t>میلیون ریال</t>
        </is>
      </c>
      <c r="D90" s="33">
        <f>'ENG_COST'!$D$49*'ENG_COST'!$F$20</f>
        <v/>
      </c>
      <c r="E90" s="33">
        <f>'ENG_COST'!$E$49*'ENG_COST'!$F$20</f>
        <v/>
      </c>
      <c r="F90" s="33">
        <f>'ENG_COST'!$F$49*'ENG_COST'!$F$20</f>
        <v/>
      </c>
      <c r="G90" s="33">
        <f>'ENG_COST'!$G$49*'ENG_COST'!$F$20</f>
        <v/>
      </c>
      <c r="H90" s="33">
        <f>'ENG_COST'!$H$49*'ENG_COST'!$F$20</f>
        <v/>
      </c>
      <c r="I90" s="33">
        <f>'ENG_COST'!$I$49*'ENG_COST'!$F$20</f>
        <v/>
      </c>
      <c r="J90" s="33">
        <f>'ENG_COST'!$J$49*'ENG_COST'!$F$20</f>
        <v/>
      </c>
      <c r="K90" s="33">
        <f>'ENG_COST'!$K$49*'ENG_COST'!$F$20</f>
        <v/>
      </c>
      <c r="L90" s="33">
        <f>'ENG_COST'!$L$49*'ENG_COST'!$F$20</f>
        <v/>
      </c>
      <c r="M90" s="33">
        <f>'ENG_COST'!$M$49*'ENG_COST'!$F$20</f>
        <v/>
      </c>
      <c r="N90" s="33">
        <f>'ENG_COST'!$N$49*'ENG_COST'!$F$20</f>
        <v/>
      </c>
      <c r="O90" s="33">
        <f>'ENG_COST'!$O$49*'ENG_COST'!$F$20</f>
        <v/>
      </c>
      <c r="P90" s="33">
        <f>'ENG_COST'!$P$49*'ENG_COST'!$F$20</f>
        <v/>
      </c>
    </row>
    <row r="91">
      <c r="A91" s="15" t="inlineStr">
        <is>
          <t>DPC-03 ← ایستگاه 4</t>
        </is>
      </c>
      <c r="B91" s="16" t="inlineStr"/>
      <c r="C91" s="17" t="inlineStr">
        <is>
          <t>میلیون ریال</t>
        </is>
      </c>
      <c r="D91" s="33">
        <f>'ENG_COST'!$D$49*'ENG_COST'!$G$20</f>
        <v/>
      </c>
      <c r="E91" s="33">
        <f>'ENG_COST'!$E$49*'ENG_COST'!$G$20</f>
        <v/>
      </c>
      <c r="F91" s="33">
        <f>'ENG_COST'!$F$49*'ENG_COST'!$G$20</f>
        <v/>
      </c>
      <c r="G91" s="33">
        <f>'ENG_COST'!$G$49*'ENG_COST'!$G$20</f>
        <v/>
      </c>
      <c r="H91" s="33">
        <f>'ENG_COST'!$H$49*'ENG_COST'!$G$20</f>
        <v/>
      </c>
      <c r="I91" s="33">
        <f>'ENG_COST'!$I$49*'ENG_COST'!$G$20</f>
        <v/>
      </c>
      <c r="J91" s="33">
        <f>'ENG_COST'!$J$49*'ENG_COST'!$G$20</f>
        <v/>
      </c>
      <c r="K91" s="33">
        <f>'ENG_COST'!$K$49*'ENG_COST'!$G$20</f>
        <v/>
      </c>
      <c r="L91" s="33">
        <f>'ENG_COST'!$L$49*'ENG_COST'!$G$20</f>
        <v/>
      </c>
      <c r="M91" s="33">
        <f>'ENG_COST'!$M$49*'ENG_COST'!$G$20</f>
        <v/>
      </c>
      <c r="N91" s="33">
        <f>'ENG_COST'!$N$49*'ENG_COST'!$G$20</f>
        <v/>
      </c>
      <c r="O91" s="33">
        <f>'ENG_COST'!$O$49*'ENG_COST'!$G$20</f>
        <v/>
      </c>
      <c r="P91" s="33">
        <f>'ENG_COST'!$P$49*'ENG_COST'!$G$20</f>
        <v/>
      </c>
    </row>
    <row r="92">
      <c r="A92" s="15" t="inlineStr">
        <is>
          <t>DPC-03 ← ایستگاه 5</t>
        </is>
      </c>
      <c r="B92" s="16" t="inlineStr"/>
      <c r="C92" s="17" t="inlineStr">
        <is>
          <t>میلیون ریال</t>
        </is>
      </c>
      <c r="D92" s="33">
        <f>'ENG_COST'!$D$49*'ENG_COST'!$H$20</f>
        <v/>
      </c>
      <c r="E92" s="33">
        <f>'ENG_COST'!$E$49*'ENG_COST'!$H$20</f>
        <v/>
      </c>
      <c r="F92" s="33">
        <f>'ENG_COST'!$F$49*'ENG_COST'!$H$20</f>
        <v/>
      </c>
      <c r="G92" s="33">
        <f>'ENG_COST'!$G$49*'ENG_COST'!$H$20</f>
        <v/>
      </c>
      <c r="H92" s="33">
        <f>'ENG_COST'!$H$49*'ENG_COST'!$H$20</f>
        <v/>
      </c>
      <c r="I92" s="33">
        <f>'ENG_COST'!$I$49*'ENG_COST'!$H$20</f>
        <v/>
      </c>
      <c r="J92" s="33">
        <f>'ENG_COST'!$J$49*'ENG_COST'!$H$20</f>
        <v/>
      </c>
      <c r="K92" s="33">
        <f>'ENG_COST'!$K$49*'ENG_COST'!$H$20</f>
        <v/>
      </c>
      <c r="L92" s="33">
        <f>'ENG_COST'!$L$49*'ENG_COST'!$H$20</f>
        <v/>
      </c>
      <c r="M92" s="33">
        <f>'ENG_COST'!$M$49*'ENG_COST'!$H$20</f>
        <v/>
      </c>
      <c r="N92" s="33">
        <f>'ENG_COST'!$N$49*'ENG_COST'!$H$20</f>
        <v/>
      </c>
      <c r="O92" s="33">
        <f>'ENG_COST'!$O$49*'ENG_COST'!$H$20</f>
        <v/>
      </c>
      <c r="P92" s="33">
        <f>'ENG_COST'!$P$49*'ENG_COST'!$H$20</f>
        <v/>
      </c>
    </row>
    <row r="93">
      <c r="A93" s="15" t="inlineStr">
        <is>
          <t>DPC-03 ← ایستگاه 6</t>
        </is>
      </c>
      <c r="B93" s="16" t="inlineStr"/>
      <c r="C93" s="17" t="inlineStr">
        <is>
          <t>میلیون ریال</t>
        </is>
      </c>
      <c r="D93" s="33">
        <f>'ENG_COST'!$D$49*'ENG_COST'!$I$20</f>
        <v/>
      </c>
      <c r="E93" s="33">
        <f>'ENG_COST'!$E$49*'ENG_COST'!$I$20</f>
        <v/>
      </c>
      <c r="F93" s="33">
        <f>'ENG_COST'!$F$49*'ENG_COST'!$I$20</f>
        <v/>
      </c>
      <c r="G93" s="33">
        <f>'ENG_COST'!$G$49*'ENG_COST'!$I$20</f>
        <v/>
      </c>
      <c r="H93" s="33">
        <f>'ENG_COST'!$H$49*'ENG_COST'!$I$20</f>
        <v/>
      </c>
      <c r="I93" s="33">
        <f>'ENG_COST'!$I$49*'ENG_COST'!$I$20</f>
        <v/>
      </c>
      <c r="J93" s="33">
        <f>'ENG_COST'!$J$49*'ENG_COST'!$I$20</f>
        <v/>
      </c>
      <c r="K93" s="33">
        <f>'ENG_COST'!$K$49*'ENG_COST'!$I$20</f>
        <v/>
      </c>
      <c r="L93" s="33">
        <f>'ENG_COST'!$L$49*'ENG_COST'!$I$20</f>
        <v/>
      </c>
      <c r="M93" s="33">
        <f>'ENG_COST'!$M$49*'ENG_COST'!$I$20</f>
        <v/>
      </c>
      <c r="N93" s="33">
        <f>'ENG_COST'!$N$49*'ENG_COST'!$I$20</f>
        <v/>
      </c>
      <c r="O93" s="33">
        <f>'ENG_COST'!$O$49*'ENG_COST'!$I$20</f>
        <v/>
      </c>
      <c r="P93" s="33">
        <f>'ENG_COST'!$P$49*'ENG_COST'!$I$20</f>
        <v/>
      </c>
    </row>
    <row r="94">
      <c r="A94" s="15" t="inlineStr">
        <is>
          <t>DPC-04 ← ایستگاه 1</t>
        </is>
      </c>
      <c r="B94" s="16" t="inlineStr"/>
      <c r="C94" s="17" t="inlineStr">
        <is>
          <t>میلیون ریال</t>
        </is>
      </c>
      <c r="D94" s="33">
        <f>'ENG_COST'!$D$50*'ENG_COST'!$D$21</f>
        <v/>
      </c>
      <c r="E94" s="33">
        <f>'ENG_COST'!$E$50*'ENG_COST'!$D$21</f>
        <v/>
      </c>
      <c r="F94" s="33">
        <f>'ENG_COST'!$F$50*'ENG_COST'!$D$21</f>
        <v/>
      </c>
      <c r="G94" s="33">
        <f>'ENG_COST'!$G$50*'ENG_COST'!$D$21</f>
        <v/>
      </c>
      <c r="H94" s="33">
        <f>'ENG_COST'!$H$50*'ENG_COST'!$D$21</f>
        <v/>
      </c>
      <c r="I94" s="33">
        <f>'ENG_COST'!$I$50*'ENG_COST'!$D$21</f>
        <v/>
      </c>
      <c r="J94" s="33">
        <f>'ENG_COST'!$J$50*'ENG_COST'!$D$21</f>
        <v/>
      </c>
      <c r="K94" s="33">
        <f>'ENG_COST'!$K$50*'ENG_COST'!$D$21</f>
        <v/>
      </c>
      <c r="L94" s="33">
        <f>'ENG_COST'!$L$50*'ENG_COST'!$D$21</f>
        <v/>
      </c>
      <c r="M94" s="33">
        <f>'ENG_COST'!$M$50*'ENG_COST'!$D$21</f>
        <v/>
      </c>
      <c r="N94" s="33">
        <f>'ENG_COST'!$N$50*'ENG_COST'!$D$21</f>
        <v/>
      </c>
      <c r="O94" s="33">
        <f>'ENG_COST'!$O$50*'ENG_COST'!$D$21</f>
        <v/>
      </c>
      <c r="P94" s="33">
        <f>'ENG_COST'!$P$50*'ENG_COST'!$D$21</f>
        <v/>
      </c>
    </row>
    <row r="95">
      <c r="A95" s="15" t="inlineStr">
        <is>
          <t>DPC-04 ← ایستگاه 2</t>
        </is>
      </c>
      <c r="B95" s="16" t="inlineStr"/>
      <c r="C95" s="17" t="inlineStr">
        <is>
          <t>میلیون ریال</t>
        </is>
      </c>
      <c r="D95" s="33">
        <f>'ENG_COST'!$D$50*'ENG_COST'!$E$21</f>
        <v/>
      </c>
      <c r="E95" s="33">
        <f>'ENG_COST'!$E$50*'ENG_COST'!$E$21</f>
        <v/>
      </c>
      <c r="F95" s="33">
        <f>'ENG_COST'!$F$50*'ENG_COST'!$E$21</f>
        <v/>
      </c>
      <c r="G95" s="33">
        <f>'ENG_COST'!$G$50*'ENG_COST'!$E$21</f>
        <v/>
      </c>
      <c r="H95" s="33">
        <f>'ENG_COST'!$H$50*'ENG_COST'!$E$21</f>
        <v/>
      </c>
      <c r="I95" s="33">
        <f>'ENG_COST'!$I$50*'ENG_COST'!$E$21</f>
        <v/>
      </c>
      <c r="J95" s="33">
        <f>'ENG_COST'!$J$50*'ENG_COST'!$E$21</f>
        <v/>
      </c>
      <c r="K95" s="33">
        <f>'ENG_COST'!$K$50*'ENG_COST'!$E$21</f>
        <v/>
      </c>
      <c r="L95" s="33">
        <f>'ENG_COST'!$L$50*'ENG_COST'!$E$21</f>
        <v/>
      </c>
      <c r="M95" s="33">
        <f>'ENG_COST'!$M$50*'ENG_COST'!$E$21</f>
        <v/>
      </c>
      <c r="N95" s="33">
        <f>'ENG_COST'!$N$50*'ENG_COST'!$E$21</f>
        <v/>
      </c>
      <c r="O95" s="33">
        <f>'ENG_COST'!$O$50*'ENG_COST'!$E$21</f>
        <v/>
      </c>
      <c r="P95" s="33">
        <f>'ENG_COST'!$P$50*'ENG_COST'!$E$21</f>
        <v/>
      </c>
    </row>
    <row r="96">
      <c r="A96" s="15" t="inlineStr">
        <is>
          <t>DPC-04 ← ایستگاه 3</t>
        </is>
      </c>
      <c r="B96" s="16" t="inlineStr"/>
      <c r="C96" s="17" t="inlineStr">
        <is>
          <t>میلیون ریال</t>
        </is>
      </c>
      <c r="D96" s="33">
        <f>'ENG_COST'!$D$50*'ENG_COST'!$F$21</f>
        <v/>
      </c>
      <c r="E96" s="33">
        <f>'ENG_COST'!$E$50*'ENG_COST'!$F$21</f>
        <v/>
      </c>
      <c r="F96" s="33">
        <f>'ENG_COST'!$F$50*'ENG_COST'!$F$21</f>
        <v/>
      </c>
      <c r="G96" s="33">
        <f>'ENG_COST'!$G$50*'ENG_COST'!$F$21</f>
        <v/>
      </c>
      <c r="H96" s="33">
        <f>'ENG_COST'!$H$50*'ENG_COST'!$F$21</f>
        <v/>
      </c>
      <c r="I96" s="33">
        <f>'ENG_COST'!$I$50*'ENG_COST'!$F$21</f>
        <v/>
      </c>
      <c r="J96" s="33">
        <f>'ENG_COST'!$J$50*'ENG_COST'!$F$21</f>
        <v/>
      </c>
      <c r="K96" s="33">
        <f>'ENG_COST'!$K$50*'ENG_COST'!$F$21</f>
        <v/>
      </c>
      <c r="L96" s="33">
        <f>'ENG_COST'!$L$50*'ENG_COST'!$F$21</f>
        <v/>
      </c>
      <c r="M96" s="33">
        <f>'ENG_COST'!$M$50*'ENG_COST'!$F$21</f>
        <v/>
      </c>
      <c r="N96" s="33">
        <f>'ENG_COST'!$N$50*'ENG_COST'!$F$21</f>
        <v/>
      </c>
      <c r="O96" s="33">
        <f>'ENG_COST'!$O$50*'ENG_COST'!$F$21</f>
        <v/>
      </c>
      <c r="P96" s="33">
        <f>'ENG_COST'!$P$50*'ENG_COST'!$F$21</f>
        <v/>
      </c>
    </row>
    <row r="97">
      <c r="A97" s="15" t="inlineStr">
        <is>
          <t>DPC-04 ← ایستگاه 4</t>
        </is>
      </c>
      <c r="B97" s="16" t="inlineStr"/>
      <c r="C97" s="17" t="inlineStr">
        <is>
          <t>میلیون ریال</t>
        </is>
      </c>
      <c r="D97" s="33">
        <f>'ENG_COST'!$D$50*'ENG_COST'!$G$21</f>
        <v/>
      </c>
      <c r="E97" s="33">
        <f>'ENG_COST'!$E$50*'ENG_COST'!$G$21</f>
        <v/>
      </c>
      <c r="F97" s="33">
        <f>'ENG_COST'!$F$50*'ENG_COST'!$G$21</f>
        <v/>
      </c>
      <c r="G97" s="33">
        <f>'ENG_COST'!$G$50*'ENG_COST'!$G$21</f>
        <v/>
      </c>
      <c r="H97" s="33">
        <f>'ENG_COST'!$H$50*'ENG_COST'!$G$21</f>
        <v/>
      </c>
      <c r="I97" s="33">
        <f>'ENG_COST'!$I$50*'ENG_COST'!$G$21</f>
        <v/>
      </c>
      <c r="J97" s="33">
        <f>'ENG_COST'!$J$50*'ENG_COST'!$G$21</f>
        <v/>
      </c>
      <c r="K97" s="33">
        <f>'ENG_COST'!$K$50*'ENG_COST'!$G$21</f>
        <v/>
      </c>
      <c r="L97" s="33">
        <f>'ENG_COST'!$L$50*'ENG_COST'!$G$21</f>
        <v/>
      </c>
      <c r="M97" s="33">
        <f>'ENG_COST'!$M$50*'ENG_COST'!$G$21</f>
        <v/>
      </c>
      <c r="N97" s="33">
        <f>'ENG_COST'!$N$50*'ENG_COST'!$G$21</f>
        <v/>
      </c>
      <c r="O97" s="33">
        <f>'ENG_COST'!$O$50*'ENG_COST'!$G$21</f>
        <v/>
      </c>
      <c r="P97" s="33">
        <f>'ENG_COST'!$P$50*'ENG_COST'!$G$21</f>
        <v/>
      </c>
    </row>
    <row r="98">
      <c r="A98" s="15" t="inlineStr">
        <is>
          <t>DPC-04 ← ایستگاه 5</t>
        </is>
      </c>
      <c r="B98" s="16" t="inlineStr"/>
      <c r="C98" s="17" t="inlineStr">
        <is>
          <t>میلیون ریال</t>
        </is>
      </c>
      <c r="D98" s="33">
        <f>'ENG_COST'!$D$50*'ENG_COST'!$H$21</f>
        <v/>
      </c>
      <c r="E98" s="33">
        <f>'ENG_COST'!$E$50*'ENG_COST'!$H$21</f>
        <v/>
      </c>
      <c r="F98" s="33">
        <f>'ENG_COST'!$F$50*'ENG_COST'!$H$21</f>
        <v/>
      </c>
      <c r="G98" s="33">
        <f>'ENG_COST'!$G$50*'ENG_COST'!$H$21</f>
        <v/>
      </c>
      <c r="H98" s="33">
        <f>'ENG_COST'!$H$50*'ENG_COST'!$H$21</f>
        <v/>
      </c>
      <c r="I98" s="33">
        <f>'ENG_COST'!$I$50*'ENG_COST'!$H$21</f>
        <v/>
      </c>
      <c r="J98" s="33">
        <f>'ENG_COST'!$J$50*'ENG_COST'!$H$21</f>
        <v/>
      </c>
      <c r="K98" s="33">
        <f>'ENG_COST'!$K$50*'ENG_COST'!$H$21</f>
        <v/>
      </c>
      <c r="L98" s="33">
        <f>'ENG_COST'!$L$50*'ENG_COST'!$H$21</f>
        <v/>
      </c>
      <c r="M98" s="33">
        <f>'ENG_COST'!$M$50*'ENG_COST'!$H$21</f>
        <v/>
      </c>
      <c r="N98" s="33">
        <f>'ENG_COST'!$N$50*'ENG_COST'!$H$21</f>
        <v/>
      </c>
      <c r="O98" s="33">
        <f>'ENG_COST'!$O$50*'ENG_COST'!$H$21</f>
        <v/>
      </c>
      <c r="P98" s="33">
        <f>'ENG_COST'!$P$50*'ENG_COST'!$H$21</f>
        <v/>
      </c>
    </row>
    <row r="99">
      <c r="A99" s="15" t="inlineStr">
        <is>
          <t>DPC-04 ← ایستگاه 6</t>
        </is>
      </c>
      <c r="B99" s="16" t="inlineStr"/>
      <c r="C99" s="17" t="inlineStr">
        <is>
          <t>میلیون ریال</t>
        </is>
      </c>
      <c r="D99" s="33">
        <f>'ENG_COST'!$D$50*'ENG_COST'!$I$21</f>
        <v/>
      </c>
      <c r="E99" s="33">
        <f>'ENG_COST'!$E$50*'ENG_COST'!$I$21</f>
        <v/>
      </c>
      <c r="F99" s="33">
        <f>'ENG_COST'!$F$50*'ENG_COST'!$I$21</f>
        <v/>
      </c>
      <c r="G99" s="33">
        <f>'ENG_COST'!$G$50*'ENG_COST'!$I$21</f>
        <v/>
      </c>
      <c r="H99" s="33">
        <f>'ENG_COST'!$H$50*'ENG_COST'!$I$21</f>
        <v/>
      </c>
      <c r="I99" s="33">
        <f>'ENG_COST'!$I$50*'ENG_COST'!$I$21</f>
        <v/>
      </c>
      <c r="J99" s="33">
        <f>'ENG_COST'!$J$50*'ENG_COST'!$I$21</f>
        <v/>
      </c>
      <c r="K99" s="33">
        <f>'ENG_COST'!$K$50*'ENG_COST'!$I$21</f>
        <v/>
      </c>
      <c r="L99" s="33">
        <f>'ENG_COST'!$L$50*'ENG_COST'!$I$21</f>
        <v/>
      </c>
      <c r="M99" s="33">
        <f>'ENG_COST'!$M$50*'ENG_COST'!$I$21</f>
        <v/>
      </c>
      <c r="N99" s="33">
        <f>'ENG_COST'!$N$50*'ENG_COST'!$I$21</f>
        <v/>
      </c>
      <c r="O99" s="33">
        <f>'ENG_COST'!$O$50*'ENG_COST'!$I$21</f>
        <v/>
      </c>
      <c r="P99" s="33">
        <f>'ENG_COST'!$P$50*'ENG_COST'!$I$21</f>
        <v/>
      </c>
    </row>
    <row r="100">
      <c r="A100" s="15" t="inlineStr">
        <is>
          <t>DPC-05 ← ایستگاه 1</t>
        </is>
      </c>
      <c r="B100" s="16" t="inlineStr"/>
      <c r="C100" s="17" t="inlineStr">
        <is>
          <t>میلیون ریال</t>
        </is>
      </c>
      <c r="D100" s="33">
        <f>'ENG_COST'!$D$51*'ENG_COST'!$D$22</f>
        <v/>
      </c>
      <c r="E100" s="33">
        <f>'ENG_COST'!$E$51*'ENG_COST'!$D$22</f>
        <v/>
      </c>
      <c r="F100" s="33">
        <f>'ENG_COST'!$F$51*'ENG_COST'!$D$22</f>
        <v/>
      </c>
      <c r="G100" s="33">
        <f>'ENG_COST'!$G$51*'ENG_COST'!$D$22</f>
        <v/>
      </c>
      <c r="H100" s="33">
        <f>'ENG_COST'!$H$51*'ENG_COST'!$D$22</f>
        <v/>
      </c>
      <c r="I100" s="33">
        <f>'ENG_COST'!$I$51*'ENG_COST'!$D$22</f>
        <v/>
      </c>
      <c r="J100" s="33">
        <f>'ENG_COST'!$J$51*'ENG_COST'!$D$22</f>
        <v/>
      </c>
      <c r="K100" s="33">
        <f>'ENG_COST'!$K$51*'ENG_COST'!$D$22</f>
        <v/>
      </c>
      <c r="L100" s="33">
        <f>'ENG_COST'!$L$51*'ENG_COST'!$D$22</f>
        <v/>
      </c>
      <c r="M100" s="33">
        <f>'ENG_COST'!$M$51*'ENG_COST'!$D$22</f>
        <v/>
      </c>
      <c r="N100" s="33">
        <f>'ENG_COST'!$N$51*'ENG_COST'!$D$22</f>
        <v/>
      </c>
      <c r="O100" s="33">
        <f>'ENG_COST'!$O$51*'ENG_COST'!$D$22</f>
        <v/>
      </c>
      <c r="P100" s="33">
        <f>'ENG_COST'!$P$51*'ENG_COST'!$D$22</f>
        <v/>
      </c>
    </row>
    <row r="101">
      <c r="A101" s="15" t="inlineStr">
        <is>
          <t>DPC-05 ← ایستگاه 2</t>
        </is>
      </c>
      <c r="B101" s="16" t="inlineStr"/>
      <c r="C101" s="17" t="inlineStr">
        <is>
          <t>میلیون ریال</t>
        </is>
      </c>
      <c r="D101" s="33">
        <f>'ENG_COST'!$D$51*'ENG_COST'!$E$22</f>
        <v/>
      </c>
      <c r="E101" s="33">
        <f>'ENG_COST'!$E$51*'ENG_COST'!$E$22</f>
        <v/>
      </c>
      <c r="F101" s="33">
        <f>'ENG_COST'!$F$51*'ENG_COST'!$E$22</f>
        <v/>
      </c>
      <c r="G101" s="33">
        <f>'ENG_COST'!$G$51*'ENG_COST'!$E$22</f>
        <v/>
      </c>
      <c r="H101" s="33">
        <f>'ENG_COST'!$H$51*'ENG_COST'!$E$22</f>
        <v/>
      </c>
      <c r="I101" s="33">
        <f>'ENG_COST'!$I$51*'ENG_COST'!$E$22</f>
        <v/>
      </c>
      <c r="J101" s="33">
        <f>'ENG_COST'!$J$51*'ENG_COST'!$E$22</f>
        <v/>
      </c>
      <c r="K101" s="33">
        <f>'ENG_COST'!$K$51*'ENG_COST'!$E$22</f>
        <v/>
      </c>
      <c r="L101" s="33">
        <f>'ENG_COST'!$L$51*'ENG_COST'!$E$22</f>
        <v/>
      </c>
      <c r="M101" s="33">
        <f>'ENG_COST'!$M$51*'ENG_COST'!$E$22</f>
        <v/>
      </c>
      <c r="N101" s="33">
        <f>'ENG_COST'!$N$51*'ENG_COST'!$E$22</f>
        <v/>
      </c>
      <c r="O101" s="33">
        <f>'ENG_COST'!$O$51*'ENG_COST'!$E$22</f>
        <v/>
      </c>
      <c r="P101" s="33">
        <f>'ENG_COST'!$P$51*'ENG_COST'!$E$22</f>
        <v/>
      </c>
    </row>
    <row r="102">
      <c r="A102" s="15" t="inlineStr">
        <is>
          <t>DPC-05 ← ایستگاه 3</t>
        </is>
      </c>
      <c r="B102" s="16" t="inlineStr"/>
      <c r="C102" s="17" t="inlineStr">
        <is>
          <t>میلیون ریال</t>
        </is>
      </c>
      <c r="D102" s="33">
        <f>'ENG_COST'!$D$51*'ENG_COST'!$F$22</f>
        <v/>
      </c>
      <c r="E102" s="33">
        <f>'ENG_COST'!$E$51*'ENG_COST'!$F$22</f>
        <v/>
      </c>
      <c r="F102" s="33">
        <f>'ENG_COST'!$F$51*'ENG_COST'!$F$22</f>
        <v/>
      </c>
      <c r="G102" s="33">
        <f>'ENG_COST'!$G$51*'ENG_COST'!$F$22</f>
        <v/>
      </c>
      <c r="H102" s="33">
        <f>'ENG_COST'!$H$51*'ENG_COST'!$F$22</f>
        <v/>
      </c>
      <c r="I102" s="33">
        <f>'ENG_COST'!$I$51*'ENG_COST'!$F$22</f>
        <v/>
      </c>
      <c r="J102" s="33">
        <f>'ENG_COST'!$J$51*'ENG_COST'!$F$22</f>
        <v/>
      </c>
      <c r="K102" s="33">
        <f>'ENG_COST'!$K$51*'ENG_COST'!$F$22</f>
        <v/>
      </c>
      <c r="L102" s="33">
        <f>'ENG_COST'!$L$51*'ENG_COST'!$F$22</f>
        <v/>
      </c>
      <c r="M102" s="33">
        <f>'ENG_COST'!$M$51*'ENG_COST'!$F$22</f>
        <v/>
      </c>
      <c r="N102" s="33">
        <f>'ENG_COST'!$N$51*'ENG_COST'!$F$22</f>
        <v/>
      </c>
      <c r="O102" s="33">
        <f>'ENG_COST'!$O$51*'ENG_COST'!$F$22</f>
        <v/>
      </c>
      <c r="P102" s="33">
        <f>'ENG_COST'!$P$51*'ENG_COST'!$F$22</f>
        <v/>
      </c>
    </row>
    <row r="103">
      <c r="A103" s="15" t="inlineStr">
        <is>
          <t>DPC-05 ← ایستگاه 4</t>
        </is>
      </c>
      <c r="B103" s="16" t="inlineStr"/>
      <c r="C103" s="17" t="inlineStr">
        <is>
          <t>میلیون ریال</t>
        </is>
      </c>
      <c r="D103" s="33">
        <f>'ENG_COST'!$D$51*'ENG_COST'!$G$22</f>
        <v/>
      </c>
      <c r="E103" s="33">
        <f>'ENG_COST'!$E$51*'ENG_COST'!$G$22</f>
        <v/>
      </c>
      <c r="F103" s="33">
        <f>'ENG_COST'!$F$51*'ENG_COST'!$G$22</f>
        <v/>
      </c>
      <c r="G103" s="33">
        <f>'ENG_COST'!$G$51*'ENG_COST'!$G$22</f>
        <v/>
      </c>
      <c r="H103" s="33">
        <f>'ENG_COST'!$H$51*'ENG_COST'!$G$22</f>
        <v/>
      </c>
      <c r="I103" s="33">
        <f>'ENG_COST'!$I$51*'ENG_COST'!$G$22</f>
        <v/>
      </c>
      <c r="J103" s="33">
        <f>'ENG_COST'!$J$51*'ENG_COST'!$G$22</f>
        <v/>
      </c>
      <c r="K103" s="33">
        <f>'ENG_COST'!$K$51*'ENG_COST'!$G$22</f>
        <v/>
      </c>
      <c r="L103" s="33">
        <f>'ENG_COST'!$L$51*'ENG_COST'!$G$22</f>
        <v/>
      </c>
      <c r="M103" s="33">
        <f>'ENG_COST'!$M$51*'ENG_COST'!$G$22</f>
        <v/>
      </c>
      <c r="N103" s="33">
        <f>'ENG_COST'!$N$51*'ENG_COST'!$G$22</f>
        <v/>
      </c>
      <c r="O103" s="33">
        <f>'ENG_COST'!$O$51*'ENG_COST'!$G$22</f>
        <v/>
      </c>
      <c r="P103" s="33">
        <f>'ENG_COST'!$P$51*'ENG_COST'!$G$22</f>
        <v/>
      </c>
    </row>
    <row r="104">
      <c r="A104" s="15" t="inlineStr">
        <is>
          <t>DPC-05 ← ایستگاه 5</t>
        </is>
      </c>
      <c r="B104" s="16" t="inlineStr"/>
      <c r="C104" s="17" t="inlineStr">
        <is>
          <t>میلیون ریال</t>
        </is>
      </c>
      <c r="D104" s="33">
        <f>'ENG_COST'!$D$51*'ENG_COST'!$H$22</f>
        <v/>
      </c>
      <c r="E104" s="33">
        <f>'ENG_COST'!$E$51*'ENG_COST'!$H$22</f>
        <v/>
      </c>
      <c r="F104" s="33">
        <f>'ENG_COST'!$F$51*'ENG_COST'!$H$22</f>
        <v/>
      </c>
      <c r="G104" s="33">
        <f>'ENG_COST'!$G$51*'ENG_COST'!$H$22</f>
        <v/>
      </c>
      <c r="H104" s="33">
        <f>'ENG_COST'!$H$51*'ENG_COST'!$H$22</f>
        <v/>
      </c>
      <c r="I104" s="33">
        <f>'ENG_COST'!$I$51*'ENG_COST'!$H$22</f>
        <v/>
      </c>
      <c r="J104" s="33">
        <f>'ENG_COST'!$J$51*'ENG_COST'!$H$22</f>
        <v/>
      </c>
      <c r="K104" s="33">
        <f>'ENG_COST'!$K$51*'ENG_COST'!$H$22</f>
        <v/>
      </c>
      <c r="L104" s="33">
        <f>'ENG_COST'!$L$51*'ENG_COST'!$H$22</f>
        <v/>
      </c>
      <c r="M104" s="33">
        <f>'ENG_COST'!$M$51*'ENG_COST'!$H$22</f>
        <v/>
      </c>
      <c r="N104" s="33">
        <f>'ENG_COST'!$N$51*'ENG_COST'!$H$22</f>
        <v/>
      </c>
      <c r="O104" s="33">
        <f>'ENG_COST'!$O$51*'ENG_COST'!$H$22</f>
        <v/>
      </c>
      <c r="P104" s="33">
        <f>'ENG_COST'!$P$51*'ENG_COST'!$H$22</f>
        <v/>
      </c>
    </row>
    <row r="105">
      <c r="A105" s="15" t="inlineStr">
        <is>
          <t>DPC-05 ← ایستگاه 6</t>
        </is>
      </c>
      <c r="B105" s="16" t="inlineStr"/>
      <c r="C105" s="17" t="inlineStr">
        <is>
          <t>میلیون ریال</t>
        </is>
      </c>
      <c r="D105" s="33">
        <f>'ENG_COST'!$D$51*'ENG_COST'!$I$22</f>
        <v/>
      </c>
      <c r="E105" s="33">
        <f>'ENG_COST'!$E$51*'ENG_COST'!$I$22</f>
        <v/>
      </c>
      <c r="F105" s="33">
        <f>'ENG_COST'!$F$51*'ENG_COST'!$I$22</f>
        <v/>
      </c>
      <c r="G105" s="33">
        <f>'ENG_COST'!$G$51*'ENG_COST'!$I$22</f>
        <v/>
      </c>
      <c r="H105" s="33">
        <f>'ENG_COST'!$H$51*'ENG_COST'!$I$22</f>
        <v/>
      </c>
      <c r="I105" s="33">
        <f>'ENG_COST'!$I$51*'ENG_COST'!$I$22</f>
        <v/>
      </c>
      <c r="J105" s="33">
        <f>'ENG_COST'!$J$51*'ENG_COST'!$I$22</f>
        <v/>
      </c>
      <c r="K105" s="33">
        <f>'ENG_COST'!$K$51*'ENG_COST'!$I$22</f>
        <v/>
      </c>
      <c r="L105" s="33">
        <f>'ENG_COST'!$L$51*'ENG_COST'!$I$22</f>
        <v/>
      </c>
      <c r="M105" s="33">
        <f>'ENG_COST'!$M$51*'ENG_COST'!$I$22</f>
        <v/>
      </c>
      <c r="N105" s="33">
        <f>'ENG_COST'!$N$51*'ENG_COST'!$I$22</f>
        <v/>
      </c>
      <c r="O105" s="33">
        <f>'ENG_COST'!$O$51*'ENG_COST'!$I$22</f>
        <v/>
      </c>
      <c r="P105" s="33">
        <f>'ENG_COST'!$P$51*'ENG_COST'!$I$22</f>
        <v/>
      </c>
    </row>
    <row r="106">
      <c r="A106" s="15" t="inlineStr">
        <is>
          <t>DPC-06 ← ایستگاه 1</t>
        </is>
      </c>
      <c r="B106" s="16" t="inlineStr"/>
      <c r="C106" s="17" t="inlineStr">
        <is>
          <t>میلیون ریال</t>
        </is>
      </c>
      <c r="D106" s="33">
        <f>'ENG_COST'!$D$52*'ENG_COST'!$D$23</f>
        <v/>
      </c>
      <c r="E106" s="33">
        <f>'ENG_COST'!$E$52*'ENG_COST'!$D$23</f>
        <v/>
      </c>
      <c r="F106" s="33">
        <f>'ENG_COST'!$F$52*'ENG_COST'!$D$23</f>
        <v/>
      </c>
      <c r="G106" s="33">
        <f>'ENG_COST'!$G$52*'ENG_COST'!$D$23</f>
        <v/>
      </c>
      <c r="H106" s="33">
        <f>'ENG_COST'!$H$52*'ENG_COST'!$D$23</f>
        <v/>
      </c>
      <c r="I106" s="33">
        <f>'ENG_COST'!$I$52*'ENG_COST'!$D$23</f>
        <v/>
      </c>
      <c r="J106" s="33">
        <f>'ENG_COST'!$J$52*'ENG_COST'!$D$23</f>
        <v/>
      </c>
      <c r="K106" s="33">
        <f>'ENG_COST'!$K$52*'ENG_COST'!$D$23</f>
        <v/>
      </c>
      <c r="L106" s="33">
        <f>'ENG_COST'!$L$52*'ENG_COST'!$D$23</f>
        <v/>
      </c>
      <c r="M106" s="33">
        <f>'ENG_COST'!$M$52*'ENG_COST'!$D$23</f>
        <v/>
      </c>
      <c r="N106" s="33">
        <f>'ENG_COST'!$N$52*'ENG_COST'!$D$23</f>
        <v/>
      </c>
      <c r="O106" s="33">
        <f>'ENG_COST'!$O$52*'ENG_COST'!$D$23</f>
        <v/>
      </c>
      <c r="P106" s="33">
        <f>'ENG_COST'!$P$52*'ENG_COST'!$D$23</f>
        <v/>
      </c>
    </row>
    <row r="107">
      <c r="A107" s="15" t="inlineStr">
        <is>
          <t>DPC-06 ← ایستگاه 2</t>
        </is>
      </c>
      <c r="B107" s="16" t="inlineStr"/>
      <c r="C107" s="17" t="inlineStr">
        <is>
          <t>میلیون ریال</t>
        </is>
      </c>
      <c r="D107" s="33">
        <f>'ENG_COST'!$D$52*'ENG_COST'!$E$23</f>
        <v/>
      </c>
      <c r="E107" s="33">
        <f>'ENG_COST'!$E$52*'ENG_COST'!$E$23</f>
        <v/>
      </c>
      <c r="F107" s="33">
        <f>'ENG_COST'!$F$52*'ENG_COST'!$E$23</f>
        <v/>
      </c>
      <c r="G107" s="33">
        <f>'ENG_COST'!$G$52*'ENG_COST'!$E$23</f>
        <v/>
      </c>
      <c r="H107" s="33">
        <f>'ENG_COST'!$H$52*'ENG_COST'!$E$23</f>
        <v/>
      </c>
      <c r="I107" s="33">
        <f>'ENG_COST'!$I$52*'ENG_COST'!$E$23</f>
        <v/>
      </c>
      <c r="J107" s="33">
        <f>'ENG_COST'!$J$52*'ENG_COST'!$E$23</f>
        <v/>
      </c>
      <c r="K107" s="33">
        <f>'ENG_COST'!$K$52*'ENG_COST'!$E$23</f>
        <v/>
      </c>
      <c r="L107" s="33">
        <f>'ENG_COST'!$L$52*'ENG_COST'!$E$23</f>
        <v/>
      </c>
      <c r="M107" s="33">
        <f>'ENG_COST'!$M$52*'ENG_COST'!$E$23</f>
        <v/>
      </c>
      <c r="N107" s="33">
        <f>'ENG_COST'!$N$52*'ENG_COST'!$E$23</f>
        <v/>
      </c>
      <c r="O107" s="33">
        <f>'ENG_COST'!$O$52*'ENG_COST'!$E$23</f>
        <v/>
      </c>
      <c r="P107" s="33">
        <f>'ENG_COST'!$P$52*'ENG_COST'!$E$23</f>
        <v/>
      </c>
    </row>
    <row r="108">
      <c r="A108" s="15" t="inlineStr">
        <is>
          <t>DPC-06 ← ایستگاه 3</t>
        </is>
      </c>
      <c r="B108" s="16" t="inlineStr"/>
      <c r="C108" s="17" t="inlineStr">
        <is>
          <t>میلیون ریال</t>
        </is>
      </c>
      <c r="D108" s="33">
        <f>'ENG_COST'!$D$52*'ENG_COST'!$F$23</f>
        <v/>
      </c>
      <c r="E108" s="33">
        <f>'ENG_COST'!$E$52*'ENG_COST'!$F$23</f>
        <v/>
      </c>
      <c r="F108" s="33">
        <f>'ENG_COST'!$F$52*'ENG_COST'!$F$23</f>
        <v/>
      </c>
      <c r="G108" s="33">
        <f>'ENG_COST'!$G$52*'ENG_COST'!$F$23</f>
        <v/>
      </c>
      <c r="H108" s="33">
        <f>'ENG_COST'!$H$52*'ENG_COST'!$F$23</f>
        <v/>
      </c>
      <c r="I108" s="33">
        <f>'ENG_COST'!$I$52*'ENG_COST'!$F$23</f>
        <v/>
      </c>
      <c r="J108" s="33">
        <f>'ENG_COST'!$J$52*'ENG_COST'!$F$23</f>
        <v/>
      </c>
      <c r="K108" s="33">
        <f>'ENG_COST'!$K$52*'ENG_COST'!$F$23</f>
        <v/>
      </c>
      <c r="L108" s="33">
        <f>'ENG_COST'!$L$52*'ENG_COST'!$F$23</f>
        <v/>
      </c>
      <c r="M108" s="33">
        <f>'ENG_COST'!$M$52*'ENG_COST'!$F$23</f>
        <v/>
      </c>
      <c r="N108" s="33">
        <f>'ENG_COST'!$N$52*'ENG_COST'!$F$23</f>
        <v/>
      </c>
      <c r="O108" s="33">
        <f>'ENG_COST'!$O$52*'ENG_COST'!$F$23</f>
        <v/>
      </c>
      <c r="P108" s="33">
        <f>'ENG_COST'!$P$52*'ENG_COST'!$F$23</f>
        <v/>
      </c>
    </row>
    <row r="109">
      <c r="A109" s="15" t="inlineStr">
        <is>
          <t>DPC-06 ← ایستگاه 4</t>
        </is>
      </c>
      <c r="B109" s="16" t="inlineStr"/>
      <c r="C109" s="17" t="inlineStr">
        <is>
          <t>میلیون ریال</t>
        </is>
      </c>
      <c r="D109" s="33">
        <f>'ENG_COST'!$D$52*'ENG_COST'!$G$23</f>
        <v/>
      </c>
      <c r="E109" s="33">
        <f>'ENG_COST'!$E$52*'ENG_COST'!$G$23</f>
        <v/>
      </c>
      <c r="F109" s="33">
        <f>'ENG_COST'!$F$52*'ENG_COST'!$G$23</f>
        <v/>
      </c>
      <c r="G109" s="33">
        <f>'ENG_COST'!$G$52*'ENG_COST'!$G$23</f>
        <v/>
      </c>
      <c r="H109" s="33">
        <f>'ENG_COST'!$H$52*'ENG_COST'!$G$23</f>
        <v/>
      </c>
      <c r="I109" s="33">
        <f>'ENG_COST'!$I$52*'ENG_COST'!$G$23</f>
        <v/>
      </c>
      <c r="J109" s="33">
        <f>'ENG_COST'!$J$52*'ENG_COST'!$G$23</f>
        <v/>
      </c>
      <c r="K109" s="33">
        <f>'ENG_COST'!$K$52*'ENG_COST'!$G$23</f>
        <v/>
      </c>
      <c r="L109" s="33">
        <f>'ENG_COST'!$L$52*'ENG_COST'!$G$23</f>
        <v/>
      </c>
      <c r="M109" s="33">
        <f>'ENG_COST'!$M$52*'ENG_COST'!$G$23</f>
        <v/>
      </c>
      <c r="N109" s="33">
        <f>'ENG_COST'!$N$52*'ENG_COST'!$G$23</f>
        <v/>
      </c>
      <c r="O109" s="33">
        <f>'ENG_COST'!$O$52*'ENG_COST'!$G$23</f>
        <v/>
      </c>
      <c r="P109" s="33">
        <f>'ENG_COST'!$P$52*'ENG_COST'!$G$23</f>
        <v/>
      </c>
    </row>
    <row r="110">
      <c r="A110" s="15" t="inlineStr">
        <is>
          <t>DPC-06 ← ایستگاه 5</t>
        </is>
      </c>
      <c r="B110" s="16" t="inlineStr"/>
      <c r="C110" s="17" t="inlineStr">
        <is>
          <t>میلیون ریال</t>
        </is>
      </c>
      <c r="D110" s="33">
        <f>'ENG_COST'!$D$52*'ENG_COST'!$H$23</f>
        <v/>
      </c>
      <c r="E110" s="33">
        <f>'ENG_COST'!$E$52*'ENG_COST'!$H$23</f>
        <v/>
      </c>
      <c r="F110" s="33">
        <f>'ENG_COST'!$F$52*'ENG_COST'!$H$23</f>
        <v/>
      </c>
      <c r="G110" s="33">
        <f>'ENG_COST'!$G$52*'ENG_COST'!$H$23</f>
        <v/>
      </c>
      <c r="H110" s="33">
        <f>'ENG_COST'!$H$52*'ENG_COST'!$H$23</f>
        <v/>
      </c>
      <c r="I110" s="33">
        <f>'ENG_COST'!$I$52*'ENG_COST'!$H$23</f>
        <v/>
      </c>
      <c r="J110" s="33">
        <f>'ENG_COST'!$J$52*'ENG_COST'!$H$23</f>
        <v/>
      </c>
      <c r="K110" s="33">
        <f>'ENG_COST'!$K$52*'ENG_COST'!$H$23</f>
        <v/>
      </c>
      <c r="L110" s="33">
        <f>'ENG_COST'!$L$52*'ENG_COST'!$H$23</f>
        <v/>
      </c>
      <c r="M110" s="33">
        <f>'ENG_COST'!$M$52*'ENG_COST'!$H$23</f>
        <v/>
      </c>
      <c r="N110" s="33">
        <f>'ENG_COST'!$N$52*'ENG_COST'!$H$23</f>
        <v/>
      </c>
      <c r="O110" s="33">
        <f>'ENG_COST'!$O$52*'ENG_COST'!$H$23</f>
        <v/>
      </c>
      <c r="P110" s="33">
        <f>'ENG_COST'!$P$52*'ENG_COST'!$H$23</f>
        <v/>
      </c>
    </row>
    <row r="111">
      <c r="A111" s="15" t="inlineStr">
        <is>
          <t>DPC-06 ← ایستگاه 6</t>
        </is>
      </c>
      <c r="B111" s="16" t="inlineStr"/>
      <c r="C111" s="17" t="inlineStr">
        <is>
          <t>میلیون ریال</t>
        </is>
      </c>
      <c r="D111" s="33">
        <f>'ENG_COST'!$D$52*'ENG_COST'!$I$23</f>
        <v/>
      </c>
      <c r="E111" s="33">
        <f>'ENG_COST'!$E$52*'ENG_COST'!$I$23</f>
        <v/>
      </c>
      <c r="F111" s="33">
        <f>'ENG_COST'!$F$52*'ENG_COST'!$I$23</f>
        <v/>
      </c>
      <c r="G111" s="33">
        <f>'ENG_COST'!$G$52*'ENG_COST'!$I$23</f>
        <v/>
      </c>
      <c r="H111" s="33">
        <f>'ENG_COST'!$H$52*'ENG_COST'!$I$23</f>
        <v/>
      </c>
      <c r="I111" s="33">
        <f>'ENG_COST'!$I$52*'ENG_COST'!$I$23</f>
        <v/>
      </c>
      <c r="J111" s="33">
        <f>'ENG_COST'!$J$52*'ENG_COST'!$I$23</f>
        <v/>
      </c>
      <c r="K111" s="33">
        <f>'ENG_COST'!$K$52*'ENG_COST'!$I$23</f>
        <v/>
      </c>
      <c r="L111" s="33">
        <f>'ENG_COST'!$L$52*'ENG_COST'!$I$23</f>
        <v/>
      </c>
      <c r="M111" s="33">
        <f>'ENG_COST'!$M$52*'ENG_COST'!$I$23</f>
        <v/>
      </c>
      <c r="N111" s="33">
        <f>'ENG_COST'!$N$52*'ENG_COST'!$I$23</f>
        <v/>
      </c>
      <c r="O111" s="33">
        <f>'ENG_COST'!$O$52*'ENG_COST'!$I$23</f>
        <v/>
      </c>
      <c r="P111" s="33">
        <f>'ENG_COST'!$P$52*'ENG_COST'!$I$23</f>
        <v/>
      </c>
    </row>
    <row r="112">
      <c r="A112" s="15" t="inlineStr">
        <is>
          <t>OPC-01 ← ایستگاه 1</t>
        </is>
      </c>
      <c r="B112" s="16" t="inlineStr"/>
      <c r="C112" s="17" t="inlineStr">
        <is>
          <t>میلیون ریال</t>
        </is>
      </c>
      <c r="D112" s="33">
        <f>'ENG_COST'!$D$53*'ENG_COST'!$D$24</f>
        <v/>
      </c>
      <c r="E112" s="33">
        <f>'ENG_COST'!$E$53*'ENG_COST'!$D$24</f>
        <v/>
      </c>
      <c r="F112" s="33">
        <f>'ENG_COST'!$F$53*'ENG_COST'!$D$24</f>
        <v/>
      </c>
      <c r="G112" s="33">
        <f>'ENG_COST'!$G$53*'ENG_COST'!$D$24</f>
        <v/>
      </c>
      <c r="H112" s="33">
        <f>'ENG_COST'!$H$53*'ENG_COST'!$D$24</f>
        <v/>
      </c>
      <c r="I112" s="33">
        <f>'ENG_COST'!$I$53*'ENG_COST'!$D$24</f>
        <v/>
      </c>
      <c r="J112" s="33">
        <f>'ENG_COST'!$J$53*'ENG_COST'!$D$24</f>
        <v/>
      </c>
      <c r="K112" s="33">
        <f>'ENG_COST'!$K$53*'ENG_COST'!$D$24</f>
        <v/>
      </c>
      <c r="L112" s="33">
        <f>'ENG_COST'!$L$53*'ENG_COST'!$D$24</f>
        <v/>
      </c>
      <c r="M112" s="33">
        <f>'ENG_COST'!$M$53*'ENG_COST'!$D$24</f>
        <v/>
      </c>
      <c r="N112" s="33">
        <f>'ENG_COST'!$N$53*'ENG_COST'!$D$24</f>
        <v/>
      </c>
      <c r="O112" s="33">
        <f>'ENG_COST'!$O$53*'ENG_COST'!$D$24</f>
        <v/>
      </c>
      <c r="P112" s="33">
        <f>'ENG_COST'!$P$53*'ENG_COST'!$D$24</f>
        <v/>
      </c>
    </row>
    <row r="113">
      <c r="A113" s="15" t="inlineStr">
        <is>
          <t>OPC-01 ← ایستگاه 2</t>
        </is>
      </c>
      <c r="B113" s="16" t="inlineStr"/>
      <c r="C113" s="17" t="inlineStr">
        <is>
          <t>میلیون ریال</t>
        </is>
      </c>
      <c r="D113" s="33">
        <f>'ENG_COST'!$D$53*'ENG_COST'!$E$24</f>
        <v/>
      </c>
      <c r="E113" s="33">
        <f>'ENG_COST'!$E$53*'ENG_COST'!$E$24</f>
        <v/>
      </c>
      <c r="F113" s="33">
        <f>'ENG_COST'!$F$53*'ENG_COST'!$E$24</f>
        <v/>
      </c>
      <c r="G113" s="33">
        <f>'ENG_COST'!$G$53*'ENG_COST'!$E$24</f>
        <v/>
      </c>
      <c r="H113" s="33">
        <f>'ENG_COST'!$H$53*'ENG_COST'!$E$24</f>
        <v/>
      </c>
      <c r="I113" s="33">
        <f>'ENG_COST'!$I$53*'ENG_COST'!$E$24</f>
        <v/>
      </c>
      <c r="J113" s="33">
        <f>'ENG_COST'!$J$53*'ENG_COST'!$E$24</f>
        <v/>
      </c>
      <c r="K113" s="33">
        <f>'ENG_COST'!$K$53*'ENG_COST'!$E$24</f>
        <v/>
      </c>
      <c r="L113" s="33">
        <f>'ENG_COST'!$L$53*'ENG_COST'!$E$24</f>
        <v/>
      </c>
      <c r="M113" s="33">
        <f>'ENG_COST'!$M$53*'ENG_COST'!$E$24</f>
        <v/>
      </c>
      <c r="N113" s="33">
        <f>'ENG_COST'!$N$53*'ENG_COST'!$E$24</f>
        <v/>
      </c>
      <c r="O113" s="33">
        <f>'ENG_COST'!$O$53*'ENG_COST'!$E$24</f>
        <v/>
      </c>
      <c r="P113" s="33">
        <f>'ENG_COST'!$P$53*'ENG_COST'!$E$24</f>
        <v/>
      </c>
    </row>
    <row r="114">
      <c r="A114" s="15" t="inlineStr">
        <is>
          <t>OPC-01 ← ایستگاه 3</t>
        </is>
      </c>
      <c r="B114" s="16" t="inlineStr"/>
      <c r="C114" s="17" t="inlineStr">
        <is>
          <t>میلیون ریال</t>
        </is>
      </c>
      <c r="D114" s="33">
        <f>'ENG_COST'!$D$53*'ENG_COST'!$F$24</f>
        <v/>
      </c>
      <c r="E114" s="33">
        <f>'ENG_COST'!$E$53*'ENG_COST'!$F$24</f>
        <v/>
      </c>
      <c r="F114" s="33">
        <f>'ENG_COST'!$F$53*'ENG_COST'!$F$24</f>
        <v/>
      </c>
      <c r="G114" s="33">
        <f>'ENG_COST'!$G$53*'ENG_COST'!$F$24</f>
        <v/>
      </c>
      <c r="H114" s="33">
        <f>'ENG_COST'!$H$53*'ENG_COST'!$F$24</f>
        <v/>
      </c>
      <c r="I114" s="33">
        <f>'ENG_COST'!$I$53*'ENG_COST'!$F$24</f>
        <v/>
      </c>
      <c r="J114" s="33">
        <f>'ENG_COST'!$J$53*'ENG_COST'!$F$24</f>
        <v/>
      </c>
      <c r="K114" s="33">
        <f>'ENG_COST'!$K$53*'ENG_COST'!$F$24</f>
        <v/>
      </c>
      <c r="L114" s="33">
        <f>'ENG_COST'!$L$53*'ENG_COST'!$F$24</f>
        <v/>
      </c>
      <c r="M114" s="33">
        <f>'ENG_COST'!$M$53*'ENG_COST'!$F$24</f>
        <v/>
      </c>
      <c r="N114" s="33">
        <f>'ENG_COST'!$N$53*'ENG_COST'!$F$24</f>
        <v/>
      </c>
      <c r="O114" s="33">
        <f>'ENG_COST'!$O$53*'ENG_COST'!$F$24</f>
        <v/>
      </c>
      <c r="P114" s="33">
        <f>'ENG_COST'!$P$53*'ENG_COST'!$F$24</f>
        <v/>
      </c>
    </row>
    <row r="115">
      <c r="A115" s="15" t="inlineStr">
        <is>
          <t>OPC-01 ← ایستگاه 4</t>
        </is>
      </c>
      <c r="B115" s="16" t="inlineStr"/>
      <c r="C115" s="17" t="inlineStr">
        <is>
          <t>میلیون ریال</t>
        </is>
      </c>
      <c r="D115" s="33">
        <f>'ENG_COST'!$D$53*'ENG_COST'!$G$24</f>
        <v/>
      </c>
      <c r="E115" s="33">
        <f>'ENG_COST'!$E$53*'ENG_COST'!$G$24</f>
        <v/>
      </c>
      <c r="F115" s="33">
        <f>'ENG_COST'!$F$53*'ENG_COST'!$G$24</f>
        <v/>
      </c>
      <c r="G115" s="33">
        <f>'ENG_COST'!$G$53*'ENG_COST'!$G$24</f>
        <v/>
      </c>
      <c r="H115" s="33">
        <f>'ENG_COST'!$H$53*'ENG_COST'!$G$24</f>
        <v/>
      </c>
      <c r="I115" s="33">
        <f>'ENG_COST'!$I$53*'ENG_COST'!$G$24</f>
        <v/>
      </c>
      <c r="J115" s="33">
        <f>'ENG_COST'!$J$53*'ENG_COST'!$G$24</f>
        <v/>
      </c>
      <c r="K115" s="33">
        <f>'ENG_COST'!$K$53*'ENG_COST'!$G$24</f>
        <v/>
      </c>
      <c r="L115" s="33">
        <f>'ENG_COST'!$L$53*'ENG_COST'!$G$24</f>
        <v/>
      </c>
      <c r="M115" s="33">
        <f>'ENG_COST'!$M$53*'ENG_COST'!$G$24</f>
        <v/>
      </c>
      <c r="N115" s="33">
        <f>'ENG_COST'!$N$53*'ENG_COST'!$G$24</f>
        <v/>
      </c>
      <c r="O115" s="33">
        <f>'ENG_COST'!$O$53*'ENG_COST'!$G$24</f>
        <v/>
      </c>
      <c r="P115" s="33">
        <f>'ENG_COST'!$P$53*'ENG_COST'!$G$24</f>
        <v/>
      </c>
    </row>
    <row r="116">
      <c r="A116" s="15" t="inlineStr">
        <is>
          <t>OPC-01 ← ایستگاه 5</t>
        </is>
      </c>
      <c r="B116" s="16" t="inlineStr"/>
      <c r="C116" s="17" t="inlineStr">
        <is>
          <t>میلیون ریال</t>
        </is>
      </c>
      <c r="D116" s="33">
        <f>'ENG_COST'!$D$53*'ENG_COST'!$H$24</f>
        <v/>
      </c>
      <c r="E116" s="33">
        <f>'ENG_COST'!$E$53*'ENG_COST'!$H$24</f>
        <v/>
      </c>
      <c r="F116" s="33">
        <f>'ENG_COST'!$F$53*'ENG_COST'!$H$24</f>
        <v/>
      </c>
      <c r="G116" s="33">
        <f>'ENG_COST'!$G$53*'ENG_COST'!$H$24</f>
        <v/>
      </c>
      <c r="H116" s="33">
        <f>'ENG_COST'!$H$53*'ENG_COST'!$H$24</f>
        <v/>
      </c>
      <c r="I116" s="33">
        <f>'ENG_COST'!$I$53*'ENG_COST'!$H$24</f>
        <v/>
      </c>
      <c r="J116" s="33">
        <f>'ENG_COST'!$J$53*'ENG_COST'!$H$24</f>
        <v/>
      </c>
      <c r="K116" s="33">
        <f>'ENG_COST'!$K$53*'ENG_COST'!$H$24</f>
        <v/>
      </c>
      <c r="L116" s="33">
        <f>'ENG_COST'!$L$53*'ENG_COST'!$H$24</f>
        <v/>
      </c>
      <c r="M116" s="33">
        <f>'ENG_COST'!$M$53*'ENG_COST'!$H$24</f>
        <v/>
      </c>
      <c r="N116" s="33">
        <f>'ENG_COST'!$N$53*'ENG_COST'!$H$24</f>
        <v/>
      </c>
      <c r="O116" s="33">
        <f>'ENG_COST'!$O$53*'ENG_COST'!$H$24</f>
        <v/>
      </c>
      <c r="P116" s="33">
        <f>'ENG_COST'!$P$53*'ENG_COST'!$H$24</f>
        <v/>
      </c>
    </row>
    <row r="117">
      <c r="A117" s="15" t="inlineStr">
        <is>
          <t>OPC-01 ← ایستگاه 6</t>
        </is>
      </c>
      <c r="B117" s="16" t="inlineStr"/>
      <c r="C117" s="17" t="inlineStr">
        <is>
          <t>میلیون ریال</t>
        </is>
      </c>
      <c r="D117" s="33">
        <f>'ENG_COST'!$D$53*'ENG_COST'!$I$24</f>
        <v/>
      </c>
      <c r="E117" s="33">
        <f>'ENG_COST'!$E$53*'ENG_COST'!$I$24</f>
        <v/>
      </c>
      <c r="F117" s="33">
        <f>'ENG_COST'!$F$53*'ENG_COST'!$I$24</f>
        <v/>
      </c>
      <c r="G117" s="33">
        <f>'ENG_COST'!$G$53*'ENG_COST'!$I$24</f>
        <v/>
      </c>
      <c r="H117" s="33">
        <f>'ENG_COST'!$H$53*'ENG_COST'!$I$24</f>
        <v/>
      </c>
      <c r="I117" s="33">
        <f>'ENG_COST'!$I$53*'ENG_COST'!$I$24</f>
        <v/>
      </c>
      <c r="J117" s="33">
        <f>'ENG_COST'!$J$53*'ENG_COST'!$I$24</f>
        <v/>
      </c>
      <c r="K117" s="33">
        <f>'ENG_COST'!$K$53*'ENG_COST'!$I$24</f>
        <v/>
      </c>
      <c r="L117" s="33">
        <f>'ENG_COST'!$L$53*'ENG_COST'!$I$24</f>
        <v/>
      </c>
      <c r="M117" s="33">
        <f>'ENG_COST'!$M$53*'ENG_COST'!$I$24</f>
        <v/>
      </c>
      <c r="N117" s="33">
        <f>'ENG_COST'!$N$53*'ENG_COST'!$I$24</f>
        <v/>
      </c>
      <c r="O117" s="33">
        <f>'ENG_COST'!$O$53*'ENG_COST'!$I$24</f>
        <v/>
      </c>
      <c r="P117" s="33">
        <f>'ENG_COST'!$P$53*'ENG_COST'!$I$24</f>
        <v/>
      </c>
    </row>
    <row r="118">
      <c r="A118" s="15" t="inlineStr">
        <is>
          <t>OPC-02 ← ایستگاه 1</t>
        </is>
      </c>
      <c r="B118" s="16" t="inlineStr"/>
      <c r="C118" s="17" t="inlineStr">
        <is>
          <t>میلیون ریال</t>
        </is>
      </c>
      <c r="D118" s="33">
        <f>'ENG_COST'!$D$54*'ENG_COST'!$D$25</f>
        <v/>
      </c>
      <c r="E118" s="33">
        <f>'ENG_COST'!$E$54*'ENG_COST'!$D$25</f>
        <v/>
      </c>
      <c r="F118" s="33">
        <f>'ENG_COST'!$F$54*'ENG_COST'!$D$25</f>
        <v/>
      </c>
      <c r="G118" s="33">
        <f>'ENG_COST'!$G$54*'ENG_COST'!$D$25</f>
        <v/>
      </c>
      <c r="H118" s="33">
        <f>'ENG_COST'!$H$54*'ENG_COST'!$D$25</f>
        <v/>
      </c>
      <c r="I118" s="33">
        <f>'ENG_COST'!$I$54*'ENG_COST'!$D$25</f>
        <v/>
      </c>
      <c r="J118" s="33">
        <f>'ENG_COST'!$J$54*'ENG_COST'!$D$25</f>
        <v/>
      </c>
      <c r="K118" s="33">
        <f>'ENG_COST'!$K$54*'ENG_COST'!$D$25</f>
        <v/>
      </c>
      <c r="L118" s="33">
        <f>'ENG_COST'!$L$54*'ENG_COST'!$D$25</f>
        <v/>
      </c>
      <c r="M118" s="33">
        <f>'ENG_COST'!$M$54*'ENG_COST'!$D$25</f>
        <v/>
      </c>
      <c r="N118" s="33">
        <f>'ENG_COST'!$N$54*'ENG_COST'!$D$25</f>
        <v/>
      </c>
      <c r="O118" s="33">
        <f>'ENG_COST'!$O$54*'ENG_COST'!$D$25</f>
        <v/>
      </c>
      <c r="P118" s="33">
        <f>'ENG_COST'!$P$54*'ENG_COST'!$D$25</f>
        <v/>
      </c>
    </row>
    <row r="119">
      <c r="A119" s="15" t="inlineStr">
        <is>
          <t>OPC-02 ← ایستگاه 2</t>
        </is>
      </c>
      <c r="B119" s="16" t="inlineStr"/>
      <c r="C119" s="17" t="inlineStr">
        <is>
          <t>میلیون ریال</t>
        </is>
      </c>
      <c r="D119" s="33">
        <f>'ENG_COST'!$D$54*'ENG_COST'!$E$25</f>
        <v/>
      </c>
      <c r="E119" s="33">
        <f>'ENG_COST'!$E$54*'ENG_COST'!$E$25</f>
        <v/>
      </c>
      <c r="F119" s="33">
        <f>'ENG_COST'!$F$54*'ENG_COST'!$E$25</f>
        <v/>
      </c>
      <c r="G119" s="33">
        <f>'ENG_COST'!$G$54*'ENG_COST'!$E$25</f>
        <v/>
      </c>
      <c r="H119" s="33">
        <f>'ENG_COST'!$H$54*'ENG_COST'!$E$25</f>
        <v/>
      </c>
      <c r="I119" s="33">
        <f>'ENG_COST'!$I$54*'ENG_COST'!$E$25</f>
        <v/>
      </c>
      <c r="J119" s="33">
        <f>'ENG_COST'!$J$54*'ENG_COST'!$E$25</f>
        <v/>
      </c>
      <c r="K119" s="33">
        <f>'ENG_COST'!$K$54*'ENG_COST'!$E$25</f>
        <v/>
      </c>
      <c r="L119" s="33">
        <f>'ENG_COST'!$L$54*'ENG_COST'!$E$25</f>
        <v/>
      </c>
      <c r="M119" s="33">
        <f>'ENG_COST'!$M$54*'ENG_COST'!$E$25</f>
        <v/>
      </c>
      <c r="N119" s="33">
        <f>'ENG_COST'!$N$54*'ENG_COST'!$E$25</f>
        <v/>
      </c>
      <c r="O119" s="33">
        <f>'ENG_COST'!$O$54*'ENG_COST'!$E$25</f>
        <v/>
      </c>
      <c r="P119" s="33">
        <f>'ENG_COST'!$P$54*'ENG_COST'!$E$25</f>
        <v/>
      </c>
    </row>
    <row r="120">
      <c r="A120" s="15" t="inlineStr">
        <is>
          <t>OPC-02 ← ایستگاه 3</t>
        </is>
      </c>
      <c r="B120" s="16" t="inlineStr"/>
      <c r="C120" s="17" t="inlineStr">
        <is>
          <t>میلیون ریال</t>
        </is>
      </c>
      <c r="D120" s="33">
        <f>'ENG_COST'!$D$54*'ENG_COST'!$F$25</f>
        <v/>
      </c>
      <c r="E120" s="33">
        <f>'ENG_COST'!$E$54*'ENG_COST'!$F$25</f>
        <v/>
      </c>
      <c r="F120" s="33">
        <f>'ENG_COST'!$F$54*'ENG_COST'!$F$25</f>
        <v/>
      </c>
      <c r="G120" s="33">
        <f>'ENG_COST'!$G$54*'ENG_COST'!$F$25</f>
        <v/>
      </c>
      <c r="H120" s="33">
        <f>'ENG_COST'!$H$54*'ENG_COST'!$F$25</f>
        <v/>
      </c>
      <c r="I120" s="33">
        <f>'ENG_COST'!$I$54*'ENG_COST'!$F$25</f>
        <v/>
      </c>
      <c r="J120" s="33">
        <f>'ENG_COST'!$J$54*'ENG_COST'!$F$25</f>
        <v/>
      </c>
      <c r="K120" s="33">
        <f>'ENG_COST'!$K$54*'ENG_COST'!$F$25</f>
        <v/>
      </c>
      <c r="L120" s="33">
        <f>'ENG_COST'!$L$54*'ENG_COST'!$F$25</f>
        <v/>
      </c>
      <c r="M120" s="33">
        <f>'ENG_COST'!$M$54*'ENG_COST'!$F$25</f>
        <v/>
      </c>
      <c r="N120" s="33">
        <f>'ENG_COST'!$N$54*'ENG_COST'!$F$25</f>
        <v/>
      </c>
      <c r="O120" s="33">
        <f>'ENG_COST'!$O$54*'ENG_COST'!$F$25</f>
        <v/>
      </c>
      <c r="P120" s="33">
        <f>'ENG_COST'!$P$54*'ENG_COST'!$F$25</f>
        <v/>
      </c>
    </row>
    <row r="121">
      <c r="A121" s="15" t="inlineStr">
        <is>
          <t>OPC-02 ← ایستگاه 4</t>
        </is>
      </c>
      <c r="B121" s="16" t="inlineStr"/>
      <c r="C121" s="17" t="inlineStr">
        <is>
          <t>میلیون ریال</t>
        </is>
      </c>
      <c r="D121" s="33">
        <f>'ENG_COST'!$D$54*'ENG_COST'!$G$25</f>
        <v/>
      </c>
      <c r="E121" s="33">
        <f>'ENG_COST'!$E$54*'ENG_COST'!$G$25</f>
        <v/>
      </c>
      <c r="F121" s="33">
        <f>'ENG_COST'!$F$54*'ENG_COST'!$G$25</f>
        <v/>
      </c>
      <c r="G121" s="33">
        <f>'ENG_COST'!$G$54*'ENG_COST'!$G$25</f>
        <v/>
      </c>
      <c r="H121" s="33">
        <f>'ENG_COST'!$H$54*'ENG_COST'!$G$25</f>
        <v/>
      </c>
      <c r="I121" s="33">
        <f>'ENG_COST'!$I$54*'ENG_COST'!$G$25</f>
        <v/>
      </c>
      <c r="J121" s="33">
        <f>'ENG_COST'!$J$54*'ENG_COST'!$G$25</f>
        <v/>
      </c>
      <c r="K121" s="33">
        <f>'ENG_COST'!$K$54*'ENG_COST'!$G$25</f>
        <v/>
      </c>
      <c r="L121" s="33">
        <f>'ENG_COST'!$L$54*'ENG_COST'!$G$25</f>
        <v/>
      </c>
      <c r="M121" s="33">
        <f>'ENG_COST'!$M$54*'ENG_COST'!$G$25</f>
        <v/>
      </c>
      <c r="N121" s="33">
        <f>'ENG_COST'!$N$54*'ENG_COST'!$G$25</f>
        <v/>
      </c>
      <c r="O121" s="33">
        <f>'ENG_COST'!$O$54*'ENG_COST'!$G$25</f>
        <v/>
      </c>
      <c r="P121" s="33">
        <f>'ENG_COST'!$P$54*'ENG_COST'!$G$25</f>
        <v/>
      </c>
    </row>
    <row r="122">
      <c r="A122" s="15" t="inlineStr">
        <is>
          <t>OPC-02 ← ایستگاه 5</t>
        </is>
      </c>
      <c r="B122" s="16" t="inlineStr"/>
      <c r="C122" s="17" t="inlineStr">
        <is>
          <t>میلیون ریال</t>
        </is>
      </c>
      <c r="D122" s="33">
        <f>'ENG_COST'!$D$54*'ENG_COST'!$H$25</f>
        <v/>
      </c>
      <c r="E122" s="33">
        <f>'ENG_COST'!$E$54*'ENG_COST'!$H$25</f>
        <v/>
      </c>
      <c r="F122" s="33">
        <f>'ENG_COST'!$F$54*'ENG_COST'!$H$25</f>
        <v/>
      </c>
      <c r="G122" s="33">
        <f>'ENG_COST'!$G$54*'ENG_COST'!$H$25</f>
        <v/>
      </c>
      <c r="H122" s="33">
        <f>'ENG_COST'!$H$54*'ENG_COST'!$H$25</f>
        <v/>
      </c>
      <c r="I122" s="33">
        <f>'ENG_COST'!$I$54*'ENG_COST'!$H$25</f>
        <v/>
      </c>
      <c r="J122" s="33">
        <f>'ENG_COST'!$J$54*'ENG_COST'!$H$25</f>
        <v/>
      </c>
      <c r="K122" s="33">
        <f>'ENG_COST'!$K$54*'ENG_COST'!$H$25</f>
        <v/>
      </c>
      <c r="L122" s="33">
        <f>'ENG_COST'!$L$54*'ENG_COST'!$H$25</f>
        <v/>
      </c>
      <c r="M122" s="33">
        <f>'ENG_COST'!$M$54*'ENG_COST'!$H$25</f>
        <v/>
      </c>
      <c r="N122" s="33">
        <f>'ENG_COST'!$N$54*'ENG_COST'!$H$25</f>
        <v/>
      </c>
      <c r="O122" s="33">
        <f>'ENG_COST'!$O$54*'ENG_COST'!$H$25</f>
        <v/>
      </c>
      <c r="P122" s="33">
        <f>'ENG_COST'!$P$54*'ENG_COST'!$H$25</f>
        <v/>
      </c>
    </row>
    <row r="123">
      <c r="A123" s="15" t="inlineStr">
        <is>
          <t>OPC-02 ← ایستگاه 6</t>
        </is>
      </c>
      <c r="B123" s="16" t="inlineStr"/>
      <c r="C123" s="17" t="inlineStr">
        <is>
          <t>میلیون ریال</t>
        </is>
      </c>
      <c r="D123" s="33">
        <f>'ENG_COST'!$D$54*'ENG_COST'!$I$25</f>
        <v/>
      </c>
      <c r="E123" s="33">
        <f>'ENG_COST'!$E$54*'ENG_COST'!$I$25</f>
        <v/>
      </c>
      <c r="F123" s="33">
        <f>'ENG_COST'!$F$54*'ENG_COST'!$I$25</f>
        <v/>
      </c>
      <c r="G123" s="33">
        <f>'ENG_COST'!$G$54*'ENG_COST'!$I$25</f>
        <v/>
      </c>
      <c r="H123" s="33">
        <f>'ENG_COST'!$H$54*'ENG_COST'!$I$25</f>
        <v/>
      </c>
      <c r="I123" s="33">
        <f>'ENG_COST'!$I$54*'ENG_COST'!$I$25</f>
        <v/>
      </c>
      <c r="J123" s="33">
        <f>'ENG_COST'!$J$54*'ENG_COST'!$I$25</f>
        <v/>
      </c>
      <c r="K123" s="33">
        <f>'ENG_COST'!$K$54*'ENG_COST'!$I$25</f>
        <v/>
      </c>
      <c r="L123" s="33">
        <f>'ENG_COST'!$L$54*'ENG_COST'!$I$25</f>
        <v/>
      </c>
      <c r="M123" s="33">
        <f>'ENG_COST'!$M$54*'ENG_COST'!$I$25</f>
        <v/>
      </c>
      <c r="N123" s="33">
        <f>'ENG_COST'!$N$54*'ENG_COST'!$I$25</f>
        <v/>
      </c>
      <c r="O123" s="33">
        <f>'ENG_COST'!$O$54*'ENG_COST'!$I$25</f>
        <v/>
      </c>
      <c r="P123" s="33">
        <f>'ENG_COST'!$P$54*'ENG_COST'!$I$25</f>
        <v/>
      </c>
    </row>
    <row r="124">
      <c r="A124" s="15" t="inlineStr">
        <is>
          <t>OPC-03 ← ایستگاه 1</t>
        </is>
      </c>
      <c r="B124" s="16" t="inlineStr"/>
      <c r="C124" s="17" t="inlineStr">
        <is>
          <t>میلیون ریال</t>
        </is>
      </c>
      <c r="D124" s="33">
        <f>'ENG_COST'!$D$55*'ENG_COST'!$D$26</f>
        <v/>
      </c>
      <c r="E124" s="33">
        <f>'ENG_COST'!$E$55*'ENG_COST'!$D$26</f>
        <v/>
      </c>
      <c r="F124" s="33">
        <f>'ENG_COST'!$F$55*'ENG_COST'!$D$26</f>
        <v/>
      </c>
      <c r="G124" s="33">
        <f>'ENG_COST'!$G$55*'ENG_COST'!$D$26</f>
        <v/>
      </c>
      <c r="H124" s="33">
        <f>'ENG_COST'!$H$55*'ENG_COST'!$D$26</f>
        <v/>
      </c>
      <c r="I124" s="33">
        <f>'ENG_COST'!$I$55*'ENG_COST'!$D$26</f>
        <v/>
      </c>
      <c r="J124" s="33">
        <f>'ENG_COST'!$J$55*'ENG_COST'!$D$26</f>
        <v/>
      </c>
      <c r="K124" s="33">
        <f>'ENG_COST'!$K$55*'ENG_COST'!$D$26</f>
        <v/>
      </c>
      <c r="L124" s="33">
        <f>'ENG_COST'!$L$55*'ENG_COST'!$D$26</f>
        <v/>
      </c>
      <c r="M124" s="33">
        <f>'ENG_COST'!$M$55*'ENG_COST'!$D$26</f>
        <v/>
      </c>
      <c r="N124" s="33">
        <f>'ENG_COST'!$N$55*'ENG_COST'!$D$26</f>
        <v/>
      </c>
      <c r="O124" s="33">
        <f>'ENG_COST'!$O$55*'ENG_COST'!$D$26</f>
        <v/>
      </c>
      <c r="P124" s="33">
        <f>'ENG_COST'!$P$55*'ENG_COST'!$D$26</f>
        <v/>
      </c>
    </row>
    <row r="125">
      <c r="A125" s="15" t="inlineStr">
        <is>
          <t>OPC-03 ← ایستگاه 2</t>
        </is>
      </c>
      <c r="B125" s="16" t="inlineStr"/>
      <c r="C125" s="17" t="inlineStr">
        <is>
          <t>میلیون ریال</t>
        </is>
      </c>
      <c r="D125" s="33">
        <f>'ENG_COST'!$D$55*'ENG_COST'!$E$26</f>
        <v/>
      </c>
      <c r="E125" s="33">
        <f>'ENG_COST'!$E$55*'ENG_COST'!$E$26</f>
        <v/>
      </c>
      <c r="F125" s="33">
        <f>'ENG_COST'!$F$55*'ENG_COST'!$E$26</f>
        <v/>
      </c>
      <c r="G125" s="33">
        <f>'ENG_COST'!$G$55*'ENG_COST'!$E$26</f>
        <v/>
      </c>
      <c r="H125" s="33">
        <f>'ENG_COST'!$H$55*'ENG_COST'!$E$26</f>
        <v/>
      </c>
      <c r="I125" s="33">
        <f>'ENG_COST'!$I$55*'ENG_COST'!$E$26</f>
        <v/>
      </c>
      <c r="J125" s="33">
        <f>'ENG_COST'!$J$55*'ENG_COST'!$E$26</f>
        <v/>
      </c>
      <c r="K125" s="33">
        <f>'ENG_COST'!$K$55*'ENG_COST'!$E$26</f>
        <v/>
      </c>
      <c r="L125" s="33">
        <f>'ENG_COST'!$L$55*'ENG_COST'!$E$26</f>
        <v/>
      </c>
      <c r="M125" s="33">
        <f>'ENG_COST'!$M$55*'ENG_COST'!$E$26</f>
        <v/>
      </c>
      <c r="N125" s="33">
        <f>'ENG_COST'!$N$55*'ENG_COST'!$E$26</f>
        <v/>
      </c>
      <c r="O125" s="33">
        <f>'ENG_COST'!$O$55*'ENG_COST'!$E$26</f>
        <v/>
      </c>
      <c r="P125" s="33">
        <f>'ENG_COST'!$P$55*'ENG_COST'!$E$26</f>
        <v/>
      </c>
    </row>
    <row r="126">
      <c r="A126" s="15" t="inlineStr">
        <is>
          <t>OPC-03 ← ایستگاه 3</t>
        </is>
      </c>
      <c r="B126" s="16" t="inlineStr"/>
      <c r="C126" s="17" t="inlineStr">
        <is>
          <t>میلیون ریال</t>
        </is>
      </c>
      <c r="D126" s="33">
        <f>'ENG_COST'!$D$55*'ENG_COST'!$F$26</f>
        <v/>
      </c>
      <c r="E126" s="33">
        <f>'ENG_COST'!$E$55*'ENG_COST'!$F$26</f>
        <v/>
      </c>
      <c r="F126" s="33">
        <f>'ENG_COST'!$F$55*'ENG_COST'!$F$26</f>
        <v/>
      </c>
      <c r="G126" s="33">
        <f>'ENG_COST'!$G$55*'ENG_COST'!$F$26</f>
        <v/>
      </c>
      <c r="H126" s="33">
        <f>'ENG_COST'!$H$55*'ENG_COST'!$F$26</f>
        <v/>
      </c>
      <c r="I126" s="33">
        <f>'ENG_COST'!$I$55*'ENG_COST'!$F$26</f>
        <v/>
      </c>
      <c r="J126" s="33">
        <f>'ENG_COST'!$J$55*'ENG_COST'!$F$26</f>
        <v/>
      </c>
      <c r="K126" s="33">
        <f>'ENG_COST'!$K$55*'ENG_COST'!$F$26</f>
        <v/>
      </c>
      <c r="L126" s="33">
        <f>'ENG_COST'!$L$55*'ENG_COST'!$F$26</f>
        <v/>
      </c>
      <c r="M126" s="33">
        <f>'ENG_COST'!$M$55*'ENG_COST'!$F$26</f>
        <v/>
      </c>
      <c r="N126" s="33">
        <f>'ENG_COST'!$N$55*'ENG_COST'!$F$26</f>
        <v/>
      </c>
      <c r="O126" s="33">
        <f>'ENG_COST'!$O$55*'ENG_COST'!$F$26</f>
        <v/>
      </c>
      <c r="P126" s="33">
        <f>'ENG_COST'!$P$55*'ENG_COST'!$F$26</f>
        <v/>
      </c>
    </row>
    <row r="127">
      <c r="A127" s="15" t="inlineStr">
        <is>
          <t>OPC-03 ← ایستگاه 4</t>
        </is>
      </c>
      <c r="B127" s="16" t="inlineStr"/>
      <c r="C127" s="17" t="inlineStr">
        <is>
          <t>میلیون ریال</t>
        </is>
      </c>
      <c r="D127" s="33">
        <f>'ENG_COST'!$D$55*'ENG_COST'!$G$26</f>
        <v/>
      </c>
      <c r="E127" s="33">
        <f>'ENG_COST'!$E$55*'ENG_COST'!$G$26</f>
        <v/>
      </c>
      <c r="F127" s="33">
        <f>'ENG_COST'!$F$55*'ENG_COST'!$G$26</f>
        <v/>
      </c>
      <c r="G127" s="33">
        <f>'ENG_COST'!$G$55*'ENG_COST'!$G$26</f>
        <v/>
      </c>
      <c r="H127" s="33">
        <f>'ENG_COST'!$H$55*'ENG_COST'!$G$26</f>
        <v/>
      </c>
      <c r="I127" s="33">
        <f>'ENG_COST'!$I$55*'ENG_COST'!$G$26</f>
        <v/>
      </c>
      <c r="J127" s="33">
        <f>'ENG_COST'!$J$55*'ENG_COST'!$G$26</f>
        <v/>
      </c>
      <c r="K127" s="33">
        <f>'ENG_COST'!$K$55*'ENG_COST'!$G$26</f>
        <v/>
      </c>
      <c r="L127" s="33">
        <f>'ENG_COST'!$L$55*'ENG_COST'!$G$26</f>
        <v/>
      </c>
      <c r="M127" s="33">
        <f>'ENG_COST'!$M$55*'ENG_COST'!$G$26</f>
        <v/>
      </c>
      <c r="N127" s="33">
        <f>'ENG_COST'!$N$55*'ENG_COST'!$G$26</f>
        <v/>
      </c>
      <c r="O127" s="33">
        <f>'ENG_COST'!$O$55*'ENG_COST'!$G$26</f>
        <v/>
      </c>
      <c r="P127" s="33">
        <f>'ENG_COST'!$P$55*'ENG_COST'!$G$26</f>
        <v/>
      </c>
    </row>
    <row r="128">
      <c r="A128" s="15" t="inlineStr">
        <is>
          <t>OPC-03 ← ایستگاه 5</t>
        </is>
      </c>
      <c r="B128" s="16" t="inlineStr"/>
      <c r="C128" s="17" t="inlineStr">
        <is>
          <t>میلیون ریال</t>
        </is>
      </c>
      <c r="D128" s="33">
        <f>'ENG_COST'!$D$55*'ENG_COST'!$H$26</f>
        <v/>
      </c>
      <c r="E128" s="33">
        <f>'ENG_COST'!$E$55*'ENG_COST'!$H$26</f>
        <v/>
      </c>
      <c r="F128" s="33">
        <f>'ENG_COST'!$F$55*'ENG_COST'!$H$26</f>
        <v/>
      </c>
      <c r="G128" s="33">
        <f>'ENG_COST'!$G$55*'ENG_COST'!$H$26</f>
        <v/>
      </c>
      <c r="H128" s="33">
        <f>'ENG_COST'!$H$55*'ENG_COST'!$H$26</f>
        <v/>
      </c>
      <c r="I128" s="33">
        <f>'ENG_COST'!$I$55*'ENG_COST'!$H$26</f>
        <v/>
      </c>
      <c r="J128" s="33">
        <f>'ENG_COST'!$J$55*'ENG_COST'!$H$26</f>
        <v/>
      </c>
      <c r="K128" s="33">
        <f>'ENG_COST'!$K$55*'ENG_COST'!$H$26</f>
        <v/>
      </c>
      <c r="L128" s="33">
        <f>'ENG_COST'!$L$55*'ENG_COST'!$H$26</f>
        <v/>
      </c>
      <c r="M128" s="33">
        <f>'ENG_COST'!$M$55*'ENG_COST'!$H$26</f>
        <v/>
      </c>
      <c r="N128" s="33">
        <f>'ENG_COST'!$N$55*'ENG_COST'!$H$26</f>
        <v/>
      </c>
      <c r="O128" s="33">
        <f>'ENG_COST'!$O$55*'ENG_COST'!$H$26</f>
        <v/>
      </c>
      <c r="P128" s="33">
        <f>'ENG_COST'!$P$55*'ENG_COST'!$H$26</f>
        <v/>
      </c>
    </row>
    <row r="129">
      <c r="A129" s="15" t="inlineStr">
        <is>
          <t>OPC-03 ← ایستگاه 6</t>
        </is>
      </c>
      <c r="B129" s="16" t="inlineStr"/>
      <c r="C129" s="17" t="inlineStr">
        <is>
          <t>میلیون ریال</t>
        </is>
      </c>
      <c r="D129" s="33">
        <f>'ENG_COST'!$D$55*'ENG_COST'!$I$26</f>
        <v/>
      </c>
      <c r="E129" s="33">
        <f>'ENG_COST'!$E$55*'ENG_COST'!$I$26</f>
        <v/>
      </c>
      <c r="F129" s="33">
        <f>'ENG_COST'!$F$55*'ENG_COST'!$I$26</f>
        <v/>
      </c>
      <c r="G129" s="33">
        <f>'ENG_COST'!$G$55*'ENG_COST'!$I$26</f>
        <v/>
      </c>
      <c r="H129" s="33">
        <f>'ENG_COST'!$H$55*'ENG_COST'!$I$26</f>
        <v/>
      </c>
      <c r="I129" s="33">
        <f>'ENG_COST'!$I$55*'ENG_COST'!$I$26</f>
        <v/>
      </c>
      <c r="J129" s="33">
        <f>'ENG_COST'!$J$55*'ENG_COST'!$I$26</f>
        <v/>
      </c>
      <c r="K129" s="33">
        <f>'ENG_COST'!$K$55*'ENG_COST'!$I$26</f>
        <v/>
      </c>
      <c r="L129" s="33">
        <f>'ENG_COST'!$L$55*'ENG_COST'!$I$26</f>
        <v/>
      </c>
      <c r="M129" s="33">
        <f>'ENG_COST'!$M$55*'ENG_COST'!$I$26</f>
        <v/>
      </c>
      <c r="N129" s="33">
        <f>'ENG_COST'!$N$55*'ENG_COST'!$I$26</f>
        <v/>
      </c>
      <c r="O129" s="33">
        <f>'ENG_COST'!$O$55*'ENG_COST'!$I$26</f>
        <v/>
      </c>
      <c r="P129" s="33">
        <f>'ENG_COST'!$P$55*'ENG_COST'!$I$26</f>
        <v/>
      </c>
    </row>
    <row r="130">
      <c r="A130" s="15" t="inlineStr">
        <is>
          <t>OPC-04 ← ایستگاه 1</t>
        </is>
      </c>
      <c r="B130" s="16" t="inlineStr"/>
      <c r="C130" s="17" t="inlineStr">
        <is>
          <t>میلیون ریال</t>
        </is>
      </c>
      <c r="D130" s="33">
        <f>'ENG_COST'!$D$56*'ENG_COST'!$D$27</f>
        <v/>
      </c>
      <c r="E130" s="33">
        <f>'ENG_COST'!$E$56*'ENG_COST'!$D$27</f>
        <v/>
      </c>
      <c r="F130" s="33">
        <f>'ENG_COST'!$F$56*'ENG_COST'!$D$27</f>
        <v/>
      </c>
      <c r="G130" s="33">
        <f>'ENG_COST'!$G$56*'ENG_COST'!$D$27</f>
        <v/>
      </c>
      <c r="H130" s="33">
        <f>'ENG_COST'!$H$56*'ENG_COST'!$D$27</f>
        <v/>
      </c>
      <c r="I130" s="33">
        <f>'ENG_COST'!$I$56*'ENG_COST'!$D$27</f>
        <v/>
      </c>
      <c r="J130" s="33">
        <f>'ENG_COST'!$J$56*'ENG_COST'!$D$27</f>
        <v/>
      </c>
      <c r="K130" s="33">
        <f>'ENG_COST'!$K$56*'ENG_COST'!$D$27</f>
        <v/>
      </c>
      <c r="L130" s="33">
        <f>'ENG_COST'!$L$56*'ENG_COST'!$D$27</f>
        <v/>
      </c>
      <c r="M130" s="33">
        <f>'ENG_COST'!$M$56*'ENG_COST'!$D$27</f>
        <v/>
      </c>
      <c r="N130" s="33">
        <f>'ENG_COST'!$N$56*'ENG_COST'!$D$27</f>
        <v/>
      </c>
      <c r="O130" s="33">
        <f>'ENG_COST'!$O$56*'ENG_COST'!$D$27</f>
        <v/>
      </c>
      <c r="P130" s="33">
        <f>'ENG_COST'!$P$56*'ENG_COST'!$D$27</f>
        <v/>
      </c>
    </row>
    <row r="131">
      <c r="A131" s="15" t="inlineStr">
        <is>
          <t>OPC-04 ← ایستگاه 2</t>
        </is>
      </c>
      <c r="B131" s="16" t="inlineStr"/>
      <c r="C131" s="17" t="inlineStr">
        <is>
          <t>میلیون ریال</t>
        </is>
      </c>
      <c r="D131" s="33">
        <f>'ENG_COST'!$D$56*'ENG_COST'!$E$27</f>
        <v/>
      </c>
      <c r="E131" s="33">
        <f>'ENG_COST'!$E$56*'ENG_COST'!$E$27</f>
        <v/>
      </c>
      <c r="F131" s="33">
        <f>'ENG_COST'!$F$56*'ENG_COST'!$E$27</f>
        <v/>
      </c>
      <c r="G131" s="33">
        <f>'ENG_COST'!$G$56*'ENG_COST'!$E$27</f>
        <v/>
      </c>
      <c r="H131" s="33">
        <f>'ENG_COST'!$H$56*'ENG_COST'!$E$27</f>
        <v/>
      </c>
      <c r="I131" s="33">
        <f>'ENG_COST'!$I$56*'ENG_COST'!$E$27</f>
        <v/>
      </c>
      <c r="J131" s="33">
        <f>'ENG_COST'!$J$56*'ENG_COST'!$E$27</f>
        <v/>
      </c>
      <c r="K131" s="33">
        <f>'ENG_COST'!$K$56*'ENG_COST'!$E$27</f>
        <v/>
      </c>
      <c r="L131" s="33">
        <f>'ENG_COST'!$L$56*'ENG_COST'!$E$27</f>
        <v/>
      </c>
      <c r="M131" s="33">
        <f>'ENG_COST'!$M$56*'ENG_COST'!$E$27</f>
        <v/>
      </c>
      <c r="N131" s="33">
        <f>'ENG_COST'!$N$56*'ENG_COST'!$E$27</f>
        <v/>
      </c>
      <c r="O131" s="33">
        <f>'ENG_COST'!$O$56*'ENG_COST'!$E$27</f>
        <v/>
      </c>
      <c r="P131" s="33">
        <f>'ENG_COST'!$P$56*'ENG_COST'!$E$27</f>
        <v/>
      </c>
    </row>
    <row r="132">
      <c r="A132" s="15" t="inlineStr">
        <is>
          <t>OPC-04 ← ایستگاه 3</t>
        </is>
      </c>
      <c r="B132" s="16" t="inlineStr"/>
      <c r="C132" s="17" t="inlineStr">
        <is>
          <t>میلیون ریال</t>
        </is>
      </c>
      <c r="D132" s="33">
        <f>'ENG_COST'!$D$56*'ENG_COST'!$F$27</f>
        <v/>
      </c>
      <c r="E132" s="33">
        <f>'ENG_COST'!$E$56*'ENG_COST'!$F$27</f>
        <v/>
      </c>
      <c r="F132" s="33">
        <f>'ENG_COST'!$F$56*'ENG_COST'!$F$27</f>
        <v/>
      </c>
      <c r="G132" s="33">
        <f>'ENG_COST'!$G$56*'ENG_COST'!$F$27</f>
        <v/>
      </c>
      <c r="H132" s="33">
        <f>'ENG_COST'!$H$56*'ENG_COST'!$F$27</f>
        <v/>
      </c>
      <c r="I132" s="33">
        <f>'ENG_COST'!$I$56*'ENG_COST'!$F$27</f>
        <v/>
      </c>
      <c r="J132" s="33">
        <f>'ENG_COST'!$J$56*'ENG_COST'!$F$27</f>
        <v/>
      </c>
      <c r="K132" s="33">
        <f>'ENG_COST'!$K$56*'ENG_COST'!$F$27</f>
        <v/>
      </c>
      <c r="L132" s="33">
        <f>'ENG_COST'!$L$56*'ENG_COST'!$F$27</f>
        <v/>
      </c>
      <c r="M132" s="33">
        <f>'ENG_COST'!$M$56*'ENG_COST'!$F$27</f>
        <v/>
      </c>
      <c r="N132" s="33">
        <f>'ENG_COST'!$N$56*'ENG_COST'!$F$27</f>
        <v/>
      </c>
      <c r="O132" s="33">
        <f>'ENG_COST'!$O$56*'ENG_COST'!$F$27</f>
        <v/>
      </c>
      <c r="P132" s="33">
        <f>'ENG_COST'!$P$56*'ENG_COST'!$F$27</f>
        <v/>
      </c>
    </row>
    <row r="133">
      <c r="A133" s="15" t="inlineStr">
        <is>
          <t>OPC-04 ← ایستگاه 4</t>
        </is>
      </c>
      <c r="B133" s="16" t="inlineStr"/>
      <c r="C133" s="17" t="inlineStr">
        <is>
          <t>میلیون ریال</t>
        </is>
      </c>
      <c r="D133" s="33">
        <f>'ENG_COST'!$D$56*'ENG_COST'!$G$27</f>
        <v/>
      </c>
      <c r="E133" s="33">
        <f>'ENG_COST'!$E$56*'ENG_COST'!$G$27</f>
        <v/>
      </c>
      <c r="F133" s="33">
        <f>'ENG_COST'!$F$56*'ENG_COST'!$G$27</f>
        <v/>
      </c>
      <c r="G133" s="33">
        <f>'ENG_COST'!$G$56*'ENG_COST'!$G$27</f>
        <v/>
      </c>
      <c r="H133" s="33">
        <f>'ENG_COST'!$H$56*'ENG_COST'!$G$27</f>
        <v/>
      </c>
      <c r="I133" s="33">
        <f>'ENG_COST'!$I$56*'ENG_COST'!$G$27</f>
        <v/>
      </c>
      <c r="J133" s="33">
        <f>'ENG_COST'!$J$56*'ENG_COST'!$G$27</f>
        <v/>
      </c>
      <c r="K133" s="33">
        <f>'ENG_COST'!$K$56*'ENG_COST'!$G$27</f>
        <v/>
      </c>
      <c r="L133" s="33">
        <f>'ENG_COST'!$L$56*'ENG_COST'!$G$27</f>
        <v/>
      </c>
      <c r="M133" s="33">
        <f>'ENG_COST'!$M$56*'ENG_COST'!$G$27</f>
        <v/>
      </c>
      <c r="N133" s="33">
        <f>'ENG_COST'!$N$56*'ENG_COST'!$G$27</f>
        <v/>
      </c>
      <c r="O133" s="33">
        <f>'ENG_COST'!$O$56*'ENG_COST'!$G$27</f>
        <v/>
      </c>
      <c r="P133" s="33">
        <f>'ENG_COST'!$P$56*'ENG_COST'!$G$27</f>
        <v/>
      </c>
    </row>
    <row r="134">
      <c r="A134" s="15" t="inlineStr">
        <is>
          <t>OPC-04 ← ایستگاه 5</t>
        </is>
      </c>
      <c r="B134" s="16" t="inlineStr"/>
      <c r="C134" s="17" t="inlineStr">
        <is>
          <t>میلیون ریال</t>
        </is>
      </c>
      <c r="D134" s="33">
        <f>'ENG_COST'!$D$56*'ENG_COST'!$H$27</f>
        <v/>
      </c>
      <c r="E134" s="33">
        <f>'ENG_COST'!$E$56*'ENG_COST'!$H$27</f>
        <v/>
      </c>
      <c r="F134" s="33">
        <f>'ENG_COST'!$F$56*'ENG_COST'!$H$27</f>
        <v/>
      </c>
      <c r="G134" s="33">
        <f>'ENG_COST'!$G$56*'ENG_COST'!$H$27</f>
        <v/>
      </c>
      <c r="H134" s="33">
        <f>'ENG_COST'!$H$56*'ENG_COST'!$H$27</f>
        <v/>
      </c>
      <c r="I134" s="33">
        <f>'ENG_COST'!$I$56*'ENG_COST'!$H$27</f>
        <v/>
      </c>
      <c r="J134" s="33">
        <f>'ENG_COST'!$J$56*'ENG_COST'!$H$27</f>
        <v/>
      </c>
      <c r="K134" s="33">
        <f>'ENG_COST'!$K$56*'ENG_COST'!$H$27</f>
        <v/>
      </c>
      <c r="L134" s="33">
        <f>'ENG_COST'!$L$56*'ENG_COST'!$H$27</f>
        <v/>
      </c>
      <c r="M134" s="33">
        <f>'ENG_COST'!$M$56*'ENG_COST'!$H$27</f>
        <v/>
      </c>
      <c r="N134" s="33">
        <f>'ENG_COST'!$N$56*'ENG_COST'!$H$27</f>
        <v/>
      </c>
      <c r="O134" s="33">
        <f>'ENG_COST'!$O$56*'ENG_COST'!$H$27</f>
        <v/>
      </c>
      <c r="P134" s="33">
        <f>'ENG_COST'!$P$56*'ENG_COST'!$H$27</f>
        <v/>
      </c>
    </row>
    <row r="135">
      <c r="A135" s="15" t="inlineStr">
        <is>
          <t>OPC-04 ← ایستگاه 6</t>
        </is>
      </c>
      <c r="B135" s="16" t="inlineStr"/>
      <c r="C135" s="17" t="inlineStr">
        <is>
          <t>میلیون ریال</t>
        </is>
      </c>
      <c r="D135" s="33">
        <f>'ENG_COST'!$D$56*'ENG_COST'!$I$27</f>
        <v/>
      </c>
      <c r="E135" s="33">
        <f>'ENG_COST'!$E$56*'ENG_COST'!$I$27</f>
        <v/>
      </c>
      <c r="F135" s="33">
        <f>'ENG_COST'!$F$56*'ENG_COST'!$I$27</f>
        <v/>
      </c>
      <c r="G135" s="33">
        <f>'ENG_COST'!$G$56*'ENG_COST'!$I$27</f>
        <v/>
      </c>
      <c r="H135" s="33">
        <f>'ENG_COST'!$H$56*'ENG_COST'!$I$27</f>
        <v/>
      </c>
      <c r="I135" s="33">
        <f>'ENG_COST'!$I$56*'ENG_COST'!$I$27</f>
        <v/>
      </c>
      <c r="J135" s="33">
        <f>'ENG_COST'!$J$56*'ENG_COST'!$I$27</f>
        <v/>
      </c>
      <c r="K135" s="33">
        <f>'ENG_COST'!$K$56*'ENG_COST'!$I$27</f>
        <v/>
      </c>
      <c r="L135" s="33">
        <f>'ENG_COST'!$L$56*'ENG_COST'!$I$27</f>
        <v/>
      </c>
      <c r="M135" s="33">
        <f>'ENG_COST'!$M$56*'ENG_COST'!$I$27</f>
        <v/>
      </c>
      <c r="N135" s="33">
        <f>'ENG_COST'!$N$56*'ENG_COST'!$I$27</f>
        <v/>
      </c>
      <c r="O135" s="33">
        <f>'ENG_COST'!$O$56*'ENG_COST'!$I$27</f>
        <v/>
      </c>
      <c r="P135" s="33">
        <f>'ENG_COST'!$P$56*'ENG_COST'!$I$27</f>
        <v/>
      </c>
    </row>
    <row r="136">
      <c r="A136" s="15" t="inlineStr">
        <is>
          <t>OPC-05 ← ایستگاه 1</t>
        </is>
      </c>
      <c r="B136" s="16" t="inlineStr"/>
      <c r="C136" s="17" t="inlineStr">
        <is>
          <t>میلیون ریال</t>
        </is>
      </c>
      <c r="D136" s="33">
        <f>INDEX('ENG_ALLOC'!$D$29:$P$58,(IFERROR(VALUE(MID('IN_COST'!$F$43,FIND(":",'IN_COST'!$F$43)+1,2)),1)-1)*6+1,1)</f>
        <v/>
      </c>
      <c r="E136" s="33">
        <f>INDEX('ENG_ALLOC'!$D$29:$P$58,(IFERROR(VALUE(MID('IN_COST'!$F$43,FIND(":",'IN_COST'!$F$43)+1,2)),1)-1)*6+1,2)</f>
        <v/>
      </c>
      <c r="F136" s="33">
        <f>INDEX('ENG_ALLOC'!$D$29:$P$58,(IFERROR(VALUE(MID('IN_COST'!$F$43,FIND(":",'IN_COST'!$F$43)+1,2)),1)-1)*6+1,3)</f>
        <v/>
      </c>
      <c r="G136" s="33">
        <f>INDEX('ENG_ALLOC'!$D$29:$P$58,(IFERROR(VALUE(MID('IN_COST'!$F$43,FIND(":",'IN_COST'!$F$43)+1,2)),1)-1)*6+1,4)</f>
        <v/>
      </c>
      <c r="H136" s="33">
        <f>INDEX('ENG_ALLOC'!$D$29:$P$58,(IFERROR(VALUE(MID('IN_COST'!$F$43,FIND(":",'IN_COST'!$F$43)+1,2)),1)-1)*6+1,5)</f>
        <v/>
      </c>
      <c r="I136" s="33">
        <f>INDEX('ENG_ALLOC'!$D$29:$P$58,(IFERROR(VALUE(MID('IN_COST'!$F$43,FIND(":",'IN_COST'!$F$43)+1,2)),1)-1)*6+1,6)</f>
        <v/>
      </c>
      <c r="J136" s="33">
        <f>INDEX('ENG_ALLOC'!$D$29:$P$58,(IFERROR(VALUE(MID('IN_COST'!$F$43,FIND(":",'IN_COST'!$F$43)+1,2)),1)-1)*6+1,7)</f>
        <v/>
      </c>
      <c r="K136" s="33">
        <f>INDEX('ENG_ALLOC'!$D$29:$P$58,(IFERROR(VALUE(MID('IN_COST'!$F$43,FIND(":",'IN_COST'!$F$43)+1,2)),1)-1)*6+1,8)</f>
        <v/>
      </c>
      <c r="L136" s="33">
        <f>INDEX('ENG_ALLOC'!$D$29:$P$58,(IFERROR(VALUE(MID('IN_COST'!$F$43,FIND(":",'IN_COST'!$F$43)+1,2)),1)-1)*6+1,9)</f>
        <v/>
      </c>
      <c r="M136" s="33">
        <f>INDEX('ENG_ALLOC'!$D$29:$P$58,(IFERROR(VALUE(MID('IN_COST'!$F$43,FIND(":",'IN_COST'!$F$43)+1,2)),1)-1)*6+1,10)</f>
        <v/>
      </c>
      <c r="N136" s="33">
        <f>INDEX('ENG_ALLOC'!$D$29:$P$58,(IFERROR(VALUE(MID('IN_COST'!$F$43,FIND(":",'IN_COST'!$F$43)+1,2)),1)-1)*6+1,11)</f>
        <v/>
      </c>
      <c r="O136" s="33">
        <f>INDEX('ENG_ALLOC'!$D$29:$P$58,(IFERROR(VALUE(MID('IN_COST'!$F$43,FIND(":",'IN_COST'!$F$43)+1,2)),1)-1)*6+1,12)</f>
        <v/>
      </c>
      <c r="P136" s="33">
        <f>INDEX('ENG_ALLOC'!$D$29:$P$58,(IFERROR(VALUE(MID('IN_COST'!$F$43,FIND(":",'IN_COST'!$F$43)+1,2)),1)-1)*6+1,13)</f>
        <v/>
      </c>
    </row>
    <row r="137">
      <c r="A137" s="15" t="inlineStr">
        <is>
          <t>OPC-05 ← ایستگاه 2</t>
        </is>
      </c>
      <c r="B137" s="16" t="inlineStr"/>
      <c r="C137" s="17" t="inlineStr">
        <is>
          <t>میلیون ریال</t>
        </is>
      </c>
      <c r="D137" s="33">
        <f>INDEX('ENG_ALLOC'!$D$29:$P$58,(IFERROR(VALUE(MID('IN_COST'!$F$43,FIND(":",'IN_COST'!$F$43)+1,2)),1)-1)*6+2,1)</f>
        <v/>
      </c>
      <c r="E137" s="33">
        <f>INDEX('ENG_ALLOC'!$D$29:$P$58,(IFERROR(VALUE(MID('IN_COST'!$F$43,FIND(":",'IN_COST'!$F$43)+1,2)),1)-1)*6+2,2)</f>
        <v/>
      </c>
      <c r="F137" s="33">
        <f>INDEX('ENG_ALLOC'!$D$29:$P$58,(IFERROR(VALUE(MID('IN_COST'!$F$43,FIND(":",'IN_COST'!$F$43)+1,2)),1)-1)*6+2,3)</f>
        <v/>
      </c>
      <c r="G137" s="33">
        <f>INDEX('ENG_ALLOC'!$D$29:$P$58,(IFERROR(VALUE(MID('IN_COST'!$F$43,FIND(":",'IN_COST'!$F$43)+1,2)),1)-1)*6+2,4)</f>
        <v/>
      </c>
      <c r="H137" s="33">
        <f>INDEX('ENG_ALLOC'!$D$29:$P$58,(IFERROR(VALUE(MID('IN_COST'!$F$43,FIND(":",'IN_COST'!$F$43)+1,2)),1)-1)*6+2,5)</f>
        <v/>
      </c>
      <c r="I137" s="33">
        <f>INDEX('ENG_ALLOC'!$D$29:$P$58,(IFERROR(VALUE(MID('IN_COST'!$F$43,FIND(":",'IN_COST'!$F$43)+1,2)),1)-1)*6+2,6)</f>
        <v/>
      </c>
      <c r="J137" s="33">
        <f>INDEX('ENG_ALLOC'!$D$29:$P$58,(IFERROR(VALUE(MID('IN_COST'!$F$43,FIND(":",'IN_COST'!$F$43)+1,2)),1)-1)*6+2,7)</f>
        <v/>
      </c>
      <c r="K137" s="33">
        <f>INDEX('ENG_ALLOC'!$D$29:$P$58,(IFERROR(VALUE(MID('IN_COST'!$F$43,FIND(":",'IN_COST'!$F$43)+1,2)),1)-1)*6+2,8)</f>
        <v/>
      </c>
      <c r="L137" s="33">
        <f>INDEX('ENG_ALLOC'!$D$29:$P$58,(IFERROR(VALUE(MID('IN_COST'!$F$43,FIND(":",'IN_COST'!$F$43)+1,2)),1)-1)*6+2,9)</f>
        <v/>
      </c>
      <c r="M137" s="33">
        <f>INDEX('ENG_ALLOC'!$D$29:$P$58,(IFERROR(VALUE(MID('IN_COST'!$F$43,FIND(":",'IN_COST'!$F$43)+1,2)),1)-1)*6+2,10)</f>
        <v/>
      </c>
      <c r="N137" s="33">
        <f>INDEX('ENG_ALLOC'!$D$29:$P$58,(IFERROR(VALUE(MID('IN_COST'!$F$43,FIND(":",'IN_COST'!$F$43)+1,2)),1)-1)*6+2,11)</f>
        <v/>
      </c>
      <c r="O137" s="33">
        <f>INDEX('ENG_ALLOC'!$D$29:$P$58,(IFERROR(VALUE(MID('IN_COST'!$F$43,FIND(":",'IN_COST'!$F$43)+1,2)),1)-1)*6+2,12)</f>
        <v/>
      </c>
      <c r="P137" s="33">
        <f>INDEX('ENG_ALLOC'!$D$29:$P$58,(IFERROR(VALUE(MID('IN_COST'!$F$43,FIND(":",'IN_COST'!$F$43)+1,2)),1)-1)*6+2,13)</f>
        <v/>
      </c>
    </row>
    <row r="138">
      <c r="A138" s="15" t="inlineStr">
        <is>
          <t>OPC-05 ← ایستگاه 3</t>
        </is>
      </c>
      <c r="B138" s="16" t="inlineStr"/>
      <c r="C138" s="17" t="inlineStr">
        <is>
          <t>میلیون ریال</t>
        </is>
      </c>
      <c r="D138" s="33">
        <f>INDEX('ENG_ALLOC'!$D$29:$P$58,(IFERROR(VALUE(MID('IN_COST'!$F$43,FIND(":",'IN_COST'!$F$43)+1,2)),1)-1)*6+3,1)</f>
        <v/>
      </c>
      <c r="E138" s="33">
        <f>INDEX('ENG_ALLOC'!$D$29:$P$58,(IFERROR(VALUE(MID('IN_COST'!$F$43,FIND(":",'IN_COST'!$F$43)+1,2)),1)-1)*6+3,2)</f>
        <v/>
      </c>
      <c r="F138" s="33">
        <f>INDEX('ENG_ALLOC'!$D$29:$P$58,(IFERROR(VALUE(MID('IN_COST'!$F$43,FIND(":",'IN_COST'!$F$43)+1,2)),1)-1)*6+3,3)</f>
        <v/>
      </c>
      <c r="G138" s="33">
        <f>INDEX('ENG_ALLOC'!$D$29:$P$58,(IFERROR(VALUE(MID('IN_COST'!$F$43,FIND(":",'IN_COST'!$F$43)+1,2)),1)-1)*6+3,4)</f>
        <v/>
      </c>
      <c r="H138" s="33">
        <f>INDEX('ENG_ALLOC'!$D$29:$P$58,(IFERROR(VALUE(MID('IN_COST'!$F$43,FIND(":",'IN_COST'!$F$43)+1,2)),1)-1)*6+3,5)</f>
        <v/>
      </c>
      <c r="I138" s="33">
        <f>INDEX('ENG_ALLOC'!$D$29:$P$58,(IFERROR(VALUE(MID('IN_COST'!$F$43,FIND(":",'IN_COST'!$F$43)+1,2)),1)-1)*6+3,6)</f>
        <v/>
      </c>
      <c r="J138" s="33">
        <f>INDEX('ENG_ALLOC'!$D$29:$P$58,(IFERROR(VALUE(MID('IN_COST'!$F$43,FIND(":",'IN_COST'!$F$43)+1,2)),1)-1)*6+3,7)</f>
        <v/>
      </c>
      <c r="K138" s="33">
        <f>INDEX('ENG_ALLOC'!$D$29:$P$58,(IFERROR(VALUE(MID('IN_COST'!$F$43,FIND(":",'IN_COST'!$F$43)+1,2)),1)-1)*6+3,8)</f>
        <v/>
      </c>
      <c r="L138" s="33">
        <f>INDEX('ENG_ALLOC'!$D$29:$P$58,(IFERROR(VALUE(MID('IN_COST'!$F$43,FIND(":",'IN_COST'!$F$43)+1,2)),1)-1)*6+3,9)</f>
        <v/>
      </c>
      <c r="M138" s="33">
        <f>INDEX('ENG_ALLOC'!$D$29:$P$58,(IFERROR(VALUE(MID('IN_COST'!$F$43,FIND(":",'IN_COST'!$F$43)+1,2)),1)-1)*6+3,10)</f>
        <v/>
      </c>
      <c r="N138" s="33">
        <f>INDEX('ENG_ALLOC'!$D$29:$P$58,(IFERROR(VALUE(MID('IN_COST'!$F$43,FIND(":",'IN_COST'!$F$43)+1,2)),1)-1)*6+3,11)</f>
        <v/>
      </c>
      <c r="O138" s="33">
        <f>INDEX('ENG_ALLOC'!$D$29:$P$58,(IFERROR(VALUE(MID('IN_COST'!$F$43,FIND(":",'IN_COST'!$F$43)+1,2)),1)-1)*6+3,12)</f>
        <v/>
      </c>
      <c r="P138" s="33">
        <f>INDEX('ENG_ALLOC'!$D$29:$P$58,(IFERROR(VALUE(MID('IN_COST'!$F$43,FIND(":",'IN_COST'!$F$43)+1,2)),1)-1)*6+3,13)</f>
        <v/>
      </c>
    </row>
    <row r="139">
      <c r="A139" s="15" t="inlineStr">
        <is>
          <t>OPC-05 ← ایستگاه 4</t>
        </is>
      </c>
      <c r="B139" s="16" t="inlineStr"/>
      <c r="C139" s="17" t="inlineStr">
        <is>
          <t>میلیون ریال</t>
        </is>
      </c>
      <c r="D139" s="33">
        <f>INDEX('ENG_ALLOC'!$D$29:$P$58,(IFERROR(VALUE(MID('IN_COST'!$F$43,FIND(":",'IN_COST'!$F$43)+1,2)),1)-1)*6+4,1)</f>
        <v/>
      </c>
      <c r="E139" s="33">
        <f>INDEX('ENG_ALLOC'!$D$29:$P$58,(IFERROR(VALUE(MID('IN_COST'!$F$43,FIND(":",'IN_COST'!$F$43)+1,2)),1)-1)*6+4,2)</f>
        <v/>
      </c>
      <c r="F139" s="33">
        <f>INDEX('ENG_ALLOC'!$D$29:$P$58,(IFERROR(VALUE(MID('IN_COST'!$F$43,FIND(":",'IN_COST'!$F$43)+1,2)),1)-1)*6+4,3)</f>
        <v/>
      </c>
      <c r="G139" s="33">
        <f>INDEX('ENG_ALLOC'!$D$29:$P$58,(IFERROR(VALUE(MID('IN_COST'!$F$43,FIND(":",'IN_COST'!$F$43)+1,2)),1)-1)*6+4,4)</f>
        <v/>
      </c>
      <c r="H139" s="33">
        <f>INDEX('ENG_ALLOC'!$D$29:$P$58,(IFERROR(VALUE(MID('IN_COST'!$F$43,FIND(":",'IN_COST'!$F$43)+1,2)),1)-1)*6+4,5)</f>
        <v/>
      </c>
      <c r="I139" s="33">
        <f>INDEX('ENG_ALLOC'!$D$29:$P$58,(IFERROR(VALUE(MID('IN_COST'!$F$43,FIND(":",'IN_COST'!$F$43)+1,2)),1)-1)*6+4,6)</f>
        <v/>
      </c>
      <c r="J139" s="33">
        <f>INDEX('ENG_ALLOC'!$D$29:$P$58,(IFERROR(VALUE(MID('IN_COST'!$F$43,FIND(":",'IN_COST'!$F$43)+1,2)),1)-1)*6+4,7)</f>
        <v/>
      </c>
      <c r="K139" s="33">
        <f>INDEX('ENG_ALLOC'!$D$29:$P$58,(IFERROR(VALUE(MID('IN_COST'!$F$43,FIND(":",'IN_COST'!$F$43)+1,2)),1)-1)*6+4,8)</f>
        <v/>
      </c>
      <c r="L139" s="33">
        <f>INDEX('ENG_ALLOC'!$D$29:$P$58,(IFERROR(VALUE(MID('IN_COST'!$F$43,FIND(":",'IN_COST'!$F$43)+1,2)),1)-1)*6+4,9)</f>
        <v/>
      </c>
      <c r="M139" s="33">
        <f>INDEX('ENG_ALLOC'!$D$29:$P$58,(IFERROR(VALUE(MID('IN_COST'!$F$43,FIND(":",'IN_COST'!$F$43)+1,2)),1)-1)*6+4,10)</f>
        <v/>
      </c>
      <c r="N139" s="33">
        <f>INDEX('ENG_ALLOC'!$D$29:$P$58,(IFERROR(VALUE(MID('IN_COST'!$F$43,FIND(":",'IN_COST'!$F$43)+1,2)),1)-1)*6+4,11)</f>
        <v/>
      </c>
      <c r="O139" s="33">
        <f>INDEX('ENG_ALLOC'!$D$29:$P$58,(IFERROR(VALUE(MID('IN_COST'!$F$43,FIND(":",'IN_COST'!$F$43)+1,2)),1)-1)*6+4,12)</f>
        <v/>
      </c>
      <c r="P139" s="33">
        <f>INDEX('ENG_ALLOC'!$D$29:$P$58,(IFERROR(VALUE(MID('IN_COST'!$F$43,FIND(":",'IN_COST'!$F$43)+1,2)),1)-1)*6+4,13)</f>
        <v/>
      </c>
    </row>
    <row r="140">
      <c r="A140" s="15" t="inlineStr">
        <is>
          <t>OPC-05 ← ایستگاه 5</t>
        </is>
      </c>
      <c r="B140" s="16" t="inlineStr"/>
      <c r="C140" s="17" t="inlineStr">
        <is>
          <t>میلیون ریال</t>
        </is>
      </c>
      <c r="D140" s="33">
        <f>INDEX('ENG_ALLOC'!$D$29:$P$58,(IFERROR(VALUE(MID('IN_COST'!$F$43,FIND(":",'IN_COST'!$F$43)+1,2)),1)-1)*6+5,1)</f>
        <v/>
      </c>
      <c r="E140" s="33">
        <f>INDEX('ENG_ALLOC'!$D$29:$P$58,(IFERROR(VALUE(MID('IN_COST'!$F$43,FIND(":",'IN_COST'!$F$43)+1,2)),1)-1)*6+5,2)</f>
        <v/>
      </c>
      <c r="F140" s="33">
        <f>INDEX('ENG_ALLOC'!$D$29:$P$58,(IFERROR(VALUE(MID('IN_COST'!$F$43,FIND(":",'IN_COST'!$F$43)+1,2)),1)-1)*6+5,3)</f>
        <v/>
      </c>
      <c r="G140" s="33">
        <f>INDEX('ENG_ALLOC'!$D$29:$P$58,(IFERROR(VALUE(MID('IN_COST'!$F$43,FIND(":",'IN_COST'!$F$43)+1,2)),1)-1)*6+5,4)</f>
        <v/>
      </c>
      <c r="H140" s="33">
        <f>INDEX('ENG_ALLOC'!$D$29:$P$58,(IFERROR(VALUE(MID('IN_COST'!$F$43,FIND(":",'IN_COST'!$F$43)+1,2)),1)-1)*6+5,5)</f>
        <v/>
      </c>
      <c r="I140" s="33">
        <f>INDEX('ENG_ALLOC'!$D$29:$P$58,(IFERROR(VALUE(MID('IN_COST'!$F$43,FIND(":",'IN_COST'!$F$43)+1,2)),1)-1)*6+5,6)</f>
        <v/>
      </c>
      <c r="J140" s="33">
        <f>INDEX('ENG_ALLOC'!$D$29:$P$58,(IFERROR(VALUE(MID('IN_COST'!$F$43,FIND(":",'IN_COST'!$F$43)+1,2)),1)-1)*6+5,7)</f>
        <v/>
      </c>
      <c r="K140" s="33">
        <f>INDEX('ENG_ALLOC'!$D$29:$P$58,(IFERROR(VALUE(MID('IN_COST'!$F$43,FIND(":",'IN_COST'!$F$43)+1,2)),1)-1)*6+5,8)</f>
        <v/>
      </c>
      <c r="L140" s="33">
        <f>INDEX('ENG_ALLOC'!$D$29:$P$58,(IFERROR(VALUE(MID('IN_COST'!$F$43,FIND(":",'IN_COST'!$F$43)+1,2)),1)-1)*6+5,9)</f>
        <v/>
      </c>
      <c r="M140" s="33">
        <f>INDEX('ENG_ALLOC'!$D$29:$P$58,(IFERROR(VALUE(MID('IN_COST'!$F$43,FIND(":",'IN_COST'!$F$43)+1,2)),1)-1)*6+5,10)</f>
        <v/>
      </c>
      <c r="N140" s="33">
        <f>INDEX('ENG_ALLOC'!$D$29:$P$58,(IFERROR(VALUE(MID('IN_COST'!$F$43,FIND(":",'IN_COST'!$F$43)+1,2)),1)-1)*6+5,11)</f>
        <v/>
      </c>
      <c r="O140" s="33">
        <f>INDEX('ENG_ALLOC'!$D$29:$P$58,(IFERROR(VALUE(MID('IN_COST'!$F$43,FIND(":",'IN_COST'!$F$43)+1,2)),1)-1)*6+5,12)</f>
        <v/>
      </c>
      <c r="P140" s="33">
        <f>INDEX('ENG_ALLOC'!$D$29:$P$58,(IFERROR(VALUE(MID('IN_COST'!$F$43,FIND(":",'IN_COST'!$F$43)+1,2)),1)-1)*6+5,13)</f>
        <v/>
      </c>
    </row>
    <row r="141">
      <c r="A141" s="15" t="inlineStr">
        <is>
          <t>OPC-05 ← ایستگاه 6</t>
        </is>
      </c>
      <c r="B141" s="16" t="inlineStr"/>
      <c r="C141" s="17" t="inlineStr">
        <is>
          <t>میلیون ریال</t>
        </is>
      </c>
      <c r="D141" s="33">
        <f>INDEX('ENG_ALLOC'!$D$29:$P$58,(IFERROR(VALUE(MID('IN_COST'!$F$43,FIND(":",'IN_COST'!$F$43)+1,2)),1)-1)*6+6,1)</f>
        <v/>
      </c>
      <c r="E141" s="33">
        <f>INDEX('ENG_ALLOC'!$D$29:$P$58,(IFERROR(VALUE(MID('IN_COST'!$F$43,FIND(":",'IN_COST'!$F$43)+1,2)),1)-1)*6+6,2)</f>
        <v/>
      </c>
      <c r="F141" s="33">
        <f>INDEX('ENG_ALLOC'!$D$29:$P$58,(IFERROR(VALUE(MID('IN_COST'!$F$43,FIND(":",'IN_COST'!$F$43)+1,2)),1)-1)*6+6,3)</f>
        <v/>
      </c>
      <c r="G141" s="33">
        <f>INDEX('ENG_ALLOC'!$D$29:$P$58,(IFERROR(VALUE(MID('IN_COST'!$F$43,FIND(":",'IN_COST'!$F$43)+1,2)),1)-1)*6+6,4)</f>
        <v/>
      </c>
      <c r="H141" s="33">
        <f>INDEX('ENG_ALLOC'!$D$29:$P$58,(IFERROR(VALUE(MID('IN_COST'!$F$43,FIND(":",'IN_COST'!$F$43)+1,2)),1)-1)*6+6,5)</f>
        <v/>
      </c>
      <c r="I141" s="33">
        <f>INDEX('ENG_ALLOC'!$D$29:$P$58,(IFERROR(VALUE(MID('IN_COST'!$F$43,FIND(":",'IN_COST'!$F$43)+1,2)),1)-1)*6+6,6)</f>
        <v/>
      </c>
      <c r="J141" s="33">
        <f>INDEX('ENG_ALLOC'!$D$29:$P$58,(IFERROR(VALUE(MID('IN_COST'!$F$43,FIND(":",'IN_COST'!$F$43)+1,2)),1)-1)*6+6,7)</f>
        <v/>
      </c>
      <c r="K141" s="33">
        <f>INDEX('ENG_ALLOC'!$D$29:$P$58,(IFERROR(VALUE(MID('IN_COST'!$F$43,FIND(":",'IN_COST'!$F$43)+1,2)),1)-1)*6+6,8)</f>
        <v/>
      </c>
      <c r="L141" s="33">
        <f>INDEX('ENG_ALLOC'!$D$29:$P$58,(IFERROR(VALUE(MID('IN_COST'!$F$43,FIND(":",'IN_COST'!$F$43)+1,2)),1)-1)*6+6,9)</f>
        <v/>
      </c>
      <c r="M141" s="33">
        <f>INDEX('ENG_ALLOC'!$D$29:$P$58,(IFERROR(VALUE(MID('IN_COST'!$F$43,FIND(":",'IN_COST'!$F$43)+1,2)),1)-1)*6+6,10)</f>
        <v/>
      </c>
      <c r="N141" s="33">
        <f>INDEX('ENG_ALLOC'!$D$29:$P$58,(IFERROR(VALUE(MID('IN_COST'!$F$43,FIND(":",'IN_COST'!$F$43)+1,2)),1)-1)*6+6,11)</f>
        <v/>
      </c>
      <c r="O141" s="33">
        <f>INDEX('ENG_ALLOC'!$D$29:$P$58,(IFERROR(VALUE(MID('IN_COST'!$F$43,FIND(":",'IN_COST'!$F$43)+1,2)),1)-1)*6+6,12)</f>
        <v/>
      </c>
      <c r="P141" s="33">
        <f>INDEX('ENG_ALLOC'!$D$29:$P$58,(IFERROR(VALUE(MID('IN_COST'!$F$43,FIND(":",'IN_COST'!$F$43)+1,2)),1)-1)*6+6,13)</f>
        <v/>
      </c>
    </row>
    <row r="142">
      <c r="A142" s="15" t="inlineStr">
        <is>
          <t>OPC-06 ← ایستگاه 1</t>
        </is>
      </c>
      <c r="B142" s="16" t="inlineStr"/>
      <c r="C142" s="17" t="inlineStr">
        <is>
          <t>میلیون ریال</t>
        </is>
      </c>
      <c r="D142" s="33">
        <f>INDEX('ENG_ALLOC'!$D$29:$P$58,(IFERROR(VALUE(MID('IN_COST'!$F$44,FIND(":",'IN_COST'!$F$44)+1,2)),1)-1)*6+1,1)</f>
        <v/>
      </c>
      <c r="E142" s="33">
        <f>INDEX('ENG_ALLOC'!$D$29:$P$58,(IFERROR(VALUE(MID('IN_COST'!$F$44,FIND(":",'IN_COST'!$F$44)+1,2)),1)-1)*6+1,2)</f>
        <v/>
      </c>
      <c r="F142" s="33">
        <f>INDEX('ENG_ALLOC'!$D$29:$P$58,(IFERROR(VALUE(MID('IN_COST'!$F$44,FIND(":",'IN_COST'!$F$44)+1,2)),1)-1)*6+1,3)</f>
        <v/>
      </c>
      <c r="G142" s="33">
        <f>INDEX('ENG_ALLOC'!$D$29:$P$58,(IFERROR(VALUE(MID('IN_COST'!$F$44,FIND(":",'IN_COST'!$F$44)+1,2)),1)-1)*6+1,4)</f>
        <v/>
      </c>
      <c r="H142" s="33">
        <f>INDEX('ENG_ALLOC'!$D$29:$P$58,(IFERROR(VALUE(MID('IN_COST'!$F$44,FIND(":",'IN_COST'!$F$44)+1,2)),1)-1)*6+1,5)</f>
        <v/>
      </c>
      <c r="I142" s="33">
        <f>INDEX('ENG_ALLOC'!$D$29:$P$58,(IFERROR(VALUE(MID('IN_COST'!$F$44,FIND(":",'IN_COST'!$F$44)+1,2)),1)-1)*6+1,6)</f>
        <v/>
      </c>
      <c r="J142" s="33">
        <f>INDEX('ENG_ALLOC'!$D$29:$P$58,(IFERROR(VALUE(MID('IN_COST'!$F$44,FIND(":",'IN_COST'!$F$44)+1,2)),1)-1)*6+1,7)</f>
        <v/>
      </c>
      <c r="K142" s="33">
        <f>INDEX('ENG_ALLOC'!$D$29:$P$58,(IFERROR(VALUE(MID('IN_COST'!$F$44,FIND(":",'IN_COST'!$F$44)+1,2)),1)-1)*6+1,8)</f>
        <v/>
      </c>
      <c r="L142" s="33">
        <f>INDEX('ENG_ALLOC'!$D$29:$P$58,(IFERROR(VALUE(MID('IN_COST'!$F$44,FIND(":",'IN_COST'!$F$44)+1,2)),1)-1)*6+1,9)</f>
        <v/>
      </c>
      <c r="M142" s="33">
        <f>INDEX('ENG_ALLOC'!$D$29:$P$58,(IFERROR(VALUE(MID('IN_COST'!$F$44,FIND(":",'IN_COST'!$F$44)+1,2)),1)-1)*6+1,10)</f>
        <v/>
      </c>
      <c r="N142" s="33">
        <f>INDEX('ENG_ALLOC'!$D$29:$P$58,(IFERROR(VALUE(MID('IN_COST'!$F$44,FIND(":",'IN_COST'!$F$44)+1,2)),1)-1)*6+1,11)</f>
        <v/>
      </c>
      <c r="O142" s="33">
        <f>INDEX('ENG_ALLOC'!$D$29:$P$58,(IFERROR(VALUE(MID('IN_COST'!$F$44,FIND(":",'IN_COST'!$F$44)+1,2)),1)-1)*6+1,12)</f>
        <v/>
      </c>
      <c r="P142" s="33">
        <f>INDEX('ENG_ALLOC'!$D$29:$P$58,(IFERROR(VALUE(MID('IN_COST'!$F$44,FIND(":",'IN_COST'!$F$44)+1,2)),1)-1)*6+1,13)</f>
        <v/>
      </c>
    </row>
    <row r="143">
      <c r="A143" s="15" t="inlineStr">
        <is>
          <t>OPC-06 ← ایستگاه 2</t>
        </is>
      </c>
      <c r="B143" s="16" t="inlineStr"/>
      <c r="C143" s="17" t="inlineStr">
        <is>
          <t>میلیون ریال</t>
        </is>
      </c>
      <c r="D143" s="33">
        <f>INDEX('ENG_ALLOC'!$D$29:$P$58,(IFERROR(VALUE(MID('IN_COST'!$F$44,FIND(":",'IN_COST'!$F$44)+1,2)),1)-1)*6+2,1)</f>
        <v/>
      </c>
      <c r="E143" s="33">
        <f>INDEX('ENG_ALLOC'!$D$29:$P$58,(IFERROR(VALUE(MID('IN_COST'!$F$44,FIND(":",'IN_COST'!$F$44)+1,2)),1)-1)*6+2,2)</f>
        <v/>
      </c>
      <c r="F143" s="33">
        <f>INDEX('ENG_ALLOC'!$D$29:$P$58,(IFERROR(VALUE(MID('IN_COST'!$F$44,FIND(":",'IN_COST'!$F$44)+1,2)),1)-1)*6+2,3)</f>
        <v/>
      </c>
      <c r="G143" s="33">
        <f>INDEX('ENG_ALLOC'!$D$29:$P$58,(IFERROR(VALUE(MID('IN_COST'!$F$44,FIND(":",'IN_COST'!$F$44)+1,2)),1)-1)*6+2,4)</f>
        <v/>
      </c>
      <c r="H143" s="33">
        <f>INDEX('ENG_ALLOC'!$D$29:$P$58,(IFERROR(VALUE(MID('IN_COST'!$F$44,FIND(":",'IN_COST'!$F$44)+1,2)),1)-1)*6+2,5)</f>
        <v/>
      </c>
      <c r="I143" s="33">
        <f>INDEX('ENG_ALLOC'!$D$29:$P$58,(IFERROR(VALUE(MID('IN_COST'!$F$44,FIND(":",'IN_COST'!$F$44)+1,2)),1)-1)*6+2,6)</f>
        <v/>
      </c>
      <c r="J143" s="33">
        <f>INDEX('ENG_ALLOC'!$D$29:$P$58,(IFERROR(VALUE(MID('IN_COST'!$F$44,FIND(":",'IN_COST'!$F$44)+1,2)),1)-1)*6+2,7)</f>
        <v/>
      </c>
      <c r="K143" s="33">
        <f>INDEX('ENG_ALLOC'!$D$29:$P$58,(IFERROR(VALUE(MID('IN_COST'!$F$44,FIND(":",'IN_COST'!$F$44)+1,2)),1)-1)*6+2,8)</f>
        <v/>
      </c>
      <c r="L143" s="33">
        <f>INDEX('ENG_ALLOC'!$D$29:$P$58,(IFERROR(VALUE(MID('IN_COST'!$F$44,FIND(":",'IN_COST'!$F$44)+1,2)),1)-1)*6+2,9)</f>
        <v/>
      </c>
      <c r="M143" s="33">
        <f>INDEX('ENG_ALLOC'!$D$29:$P$58,(IFERROR(VALUE(MID('IN_COST'!$F$44,FIND(":",'IN_COST'!$F$44)+1,2)),1)-1)*6+2,10)</f>
        <v/>
      </c>
      <c r="N143" s="33">
        <f>INDEX('ENG_ALLOC'!$D$29:$P$58,(IFERROR(VALUE(MID('IN_COST'!$F$44,FIND(":",'IN_COST'!$F$44)+1,2)),1)-1)*6+2,11)</f>
        <v/>
      </c>
      <c r="O143" s="33">
        <f>INDEX('ENG_ALLOC'!$D$29:$P$58,(IFERROR(VALUE(MID('IN_COST'!$F$44,FIND(":",'IN_COST'!$F$44)+1,2)),1)-1)*6+2,12)</f>
        <v/>
      </c>
      <c r="P143" s="33">
        <f>INDEX('ENG_ALLOC'!$D$29:$P$58,(IFERROR(VALUE(MID('IN_COST'!$F$44,FIND(":",'IN_COST'!$F$44)+1,2)),1)-1)*6+2,13)</f>
        <v/>
      </c>
    </row>
    <row r="144">
      <c r="A144" s="15" t="inlineStr">
        <is>
          <t>OPC-06 ← ایستگاه 3</t>
        </is>
      </c>
      <c r="B144" s="16" t="inlineStr"/>
      <c r="C144" s="17" t="inlineStr">
        <is>
          <t>میلیون ریال</t>
        </is>
      </c>
      <c r="D144" s="33">
        <f>INDEX('ENG_ALLOC'!$D$29:$P$58,(IFERROR(VALUE(MID('IN_COST'!$F$44,FIND(":",'IN_COST'!$F$44)+1,2)),1)-1)*6+3,1)</f>
        <v/>
      </c>
      <c r="E144" s="33">
        <f>INDEX('ENG_ALLOC'!$D$29:$P$58,(IFERROR(VALUE(MID('IN_COST'!$F$44,FIND(":",'IN_COST'!$F$44)+1,2)),1)-1)*6+3,2)</f>
        <v/>
      </c>
      <c r="F144" s="33">
        <f>INDEX('ENG_ALLOC'!$D$29:$P$58,(IFERROR(VALUE(MID('IN_COST'!$F$44,FIND(":",'IN_COST'!$F$44)+1,2)),1)-1)*6+3,3)</f>
        <v/>
      </c>
      <c r="G144" s="33">
        <f>INDEX('ENG_ALLOC'!$D$29:$P$58,(IFERROR(VALUE(MID('IN_COST'!$F$44,FIND(":",'IN_COST'!$F$44)+1,2)),1)-1)*6+3,4)</f>
        <v/>
      </c>
      <c r="H144" s="33">
        <f>INDEX('ENG_ALLOC'!$D$29:$P$58,(IFERROR(VALUE(MID('IN_COST'!$F$44,FIND(":",'IN_COST'!$F$44)+1,2)),1)-1)*6+3,5)</f>
        <v/>
      </c>
      <c r="I144" s="33">
        <f>INDEX('ENG_ALLOC'!$D$29:$P$58,(IFERROR(VALUE(MID('IN_COST'!$F$44,FIND(":",'IN_COST'!$F$44)+1,2)),1)-1)*6+3,6)</f>
        <v/>
      </c>
      <c r="J144" s="33">
        <f>INDEX('ENG_ALLOC'!$D$29:$P$58,(IFERROR(VALUE(MID('IN_COST'!$F$44,FIND(":",'IN_COST'!$F$44)+1,2)),1)-1)*6+3,7)</f>
        <v/>
      </c>
      <c r="K144" s="33">
        <f>INDEX('ENG_ALLOC'!$D$29:$P$58,(IFERROR(VALUE(MID('IN_COST'!$F$44,FIND(":",'IN_COST'!$F$44)+1,2)),1)-1)*6+3,8)</f>
        <v/>
      </c>
      <c r="L144" s="33">
        <f>INDEX('ENG_ALLOC'!$D$29:$P$58,(IFERROR(VALUE(MID('IN_COST'!$F$44,FIND(":",'IN_COST'!$F$44)+1,2)),1)-1)*6+3,9)</f>
        <v/>
      </c>
      <c r="M144" s="33">
        <f>INDEX('ENG_ALLOC'!$D$29:$P$58,(IFERROR(VALUE(MID('IN_COST'!$F$44,FIND(":",'IN_COST'!$F$44)+1,2)),1)-1)*6+3,10)</f>
        <v/>
      </c>
      <c r="N144" s="33">
        <f>INDEX('ENG_ALLOC'!$D$29:$P$58,(IFERROR(VALUE(MID('IN_COST'!$F$44,FIND(":",'IN_COST'!$F$44)+1,2)),1)-1)*6+3,11)</f>
        <v/>
      </c>
      <c r="O144" s="33">
        <f>INDEX('ENG_ALLOC'!$D$29:$P$58,(IFERROR(VALUE(MID('IN_COST'!$F$44,FIND(":",'IN_COST'!$F$44)+1,2)),1)-1)*6+3,12)</f>
        <v/>
      </c>
      <c r="P144" s="33">
        <f>INDEX('ENG_ALLOC'!$D$29:$P$58,(IFERROR(VALUE(MID('IN_COST'!$F$44,FIND(":",'IN_COST'!$F$44)+1,2)),1)-1)*6+3,13)</f>
        <v/>
      </c>
    </row>
    <row r="145">
      <c r="A145" s="15" t="inlineStr">
        <is>
          <t>OPC-06 ← ایستگاه 4</t>
        </is>
      </c>
      <c r="B145" s="16" t="inlineStr"/>
      <c r="C145" s="17" t="inlineStr">
        <is>
          <t>میلیون ریال</t>
        </is>
      </c>
      <c r="D145" s="33">
        <f>INDEX('ENG_ALLOC'!$D$29:$P$58,(IFERROR(VALUE(MID('IN_COST'!$F$44,FIND(":",'IN_COST'!$F$44)+1,2)),1)-1)*6+4,1)</f>
        <v/>
      </c>
      <c r="E145" s="33">
        <f>INDEX('ENG_ALLOC'!$D$29:$P$58,(IFERROR(VALUE(MID('IN_COST'!$F$44,FIND(":",'IN_COST'!$F$44)+1,2)),1)-1)*6+4,2)</f>
        <v/>
      </c>
      <c r="F145" s="33">
        <f>INDEX('ENG_ALLOC'!$D$29:$P$58,(IFERROR(VALUE(MID('IN_COST'!$F$44,FIND(":",'IN_COST'!$F$44)+1,2)),1)-1)*6+4,3)</f>
        <v/>
      </c>
      <c r="G145" s="33">
        <f>INDEX('ENG_ALLOC'!$D$29:$P$58,(IFERROR(VALUE(MID('IN_COST'!$F$44,FIND(":",'IN_COST'!$F$44)+1,2)),1)-1)*6+4,4)</f>
        <v/>
      </c>
      <c r="H145" s="33">
        <f>INDEX('ENG_ALLOC'!$D$29:$P$58,(IFERROR(VALUE(MID('IN_COST'!$F$44,FIND(":",'IN_COST'!$F$44)+1,2)),1)-1)*6+4,5)</f>
        <v/>
      </c>
      <c r="I145" s="33">
        <f>INDEX('ENG_ALLOC'!$D$29:$P$58,(IFERROR(VALUE(MID('IN_COST'!$F$44,FIND(":",'IN_COST'!$F$44)+1,2)),1)-1)*6+4,6)</f>
        <v/>
      </c>
      <c r="J145" s="33">
        <f>INDEX('ENG_ALLOC'!$D$29:$P$58,(IFERROR(VALUE(MID('IN_COST'!$F$44,FIND(":",'IN_COST'!$F$44)+1,2)),1)-1)*6+4,7)</f>
        <v/>
      </c>
      <c r="K145" s="33">
        <f>INDEX('ENG_ALLOC'!$D$29:$P$58,(IFERROR(VALUE(MID('IN_COST'!$F$44,FIND(":",'IN_COST'!$F$44)+1,2)),1)-1)*6+4,8)</f>
        <v/>
      </c>
      <c r="L145" s="33">
        <f>INDEX('ENG_ALLOC'!$D$29:$P$58,(IFERROR(VALUE(MID('IN_COST'!$F$44,FIND(":",'IN_COST'!$F$44)+1,2)),1)-1)*6+4,9)</f>
        <v/>
      </c>
      <c r="M145" s="33">
        <f>INDEX('ENG_ALLOC'!$D$29:$P$58,(IFERROR(VALUE(MID('IN_COST'!$F$44,FIND(":",'IN_COST'!$F$44)+1,2)),1)-1)*6+4,10)</f>
        <v/>
      </c>
      <c r="N145" s="33">
        <f>INDEX('ENG_ALLOC'!$D$29:$P$58,(IFERROR(VALUE(MID('IN_COST'!$F$44,FIND(":",'IN_COST'!$F$44)+1,2)),1)-1)*6+4,11)</f>
        <v/>
      </c>
      <c r="O145" s="33">
        <f>INDEX('ENG_ALLOC'!$D$29:$P$58,(IFERROR(VALUE(MID('IN_COST'!$F$44,FIND(":",'IN_COST'!$F$44)+1,2)),1)-1)*6+4,12)</f>
        <v/>
      </c>
      <c r="P145" s="33">
        <f>INDEX('ENG_ALLOC'!$D$29:$P$58,(IFERROR(VALUE(MID('IN_COST'!$F$44,FIND(":",'IN_COST'!$F$44)+1,2)),1)-1)*6+4,13)</f>
        <v/>
      </c>
    </row>
    <row r="146">
      <c r="A146" s="15" t="inlineStr">
        <is>
          <t>OPC-06 ← ایستگاه 5</t>
        </is>
      </c>
      <c r="B146" s="16" t="inlineStr"/>
      <c r="C146" s="17" t="inlineStr">
        <is>
          <t>میلیون ریال</t>
        </is>
      </c>
      <c r="D146" s="33">
        <f>INDEX('ENG_ALLOC'!$D$29:$P$58,(IFERROR(VALUE(MID('IN_COST'!$F$44,FIND(":",'IN_COST'!$F$44)+1,2)),1)-1)*6+5,1)</f>
        <v/>
      </c>
      <c r="E146" s="33">
        <f>INDEX('ENG_ALLOC'!$D$29:$P$58,(IFERROR(VALUE(MID('IN_COST'!$F$44,FIND(":",'IN_COST'!$F$44)+1,2)),1)-1)*6+5,2)</f>
        <v/>
      </c>
      <c r="F146" s="33">
        <f>INDEX('ENG_ALLOC'!$D$29:$P$58,(IFERROR(VALUE(MID('IN_COST'!$F$44,FIND(":",'IN_COST'!$F$44)+1,2)),1)-1)*6+5,3)</f>
        <v/>
      </c>
      <c r="G146" s="33">
        <f>INDEX('ENG_ALLOC'!$D$29:$P$58,(IFERROR(VALUE(MID('IN_COST'!$F$44,FIND(":",'IN_COST'!$F$44)+1,2)),1)-1)*6+5,4)</f>
        <v/>
      </c>
      <c r="H146" s="33">
        <f>INDEX('ENG_ALLOC'!$D$29:$P$58,(IFERROR(VALUE(MID('IN_COST'!$F$44,FIND(":",'IN_COST'!$F$44)+1,2)),1)-1)*6+5,5)</f>
        <v/>
      </c>
      <c r="I146" s="33">
        <f>INDEX('ENG_ALLOC'!$D$29:$P$58,(IFERROR(VALUE(MID('IN_COST'!$F$44,FIND(":",'IN_COST'!$F$44)+1,2)),1)-1)*6+5,6)</f>
        <v/>
      </c>
      <c r="J146" s="33">
        <f>INDEX('ENG_ALLOC'!$D$29:$P$58,(IFERROR(VALUE(MID('IN_COST'!$F$44,FIND(":",'IN_COST'!$F$44)+1,2)),1)-1)*6+5,7)</f>
        <v/>
      </c>
      <c r="K146" s="33">
        <f>INDEX('ENG_ALLOC'!$D$29:$P$58,(IFERROR(VALUE(MID('IN_COST'!$F$44,FIND(":",'IN_COST'!$F$44)+1,2)),1)-1)*6+5,8)</f>
        <v/>
      </c>
      <c r="L146" s="33">
        <f>INDEX('ENG_ALLOC'!$D$29:$P$58,(IFERROR(VALUE(MID('IN_COST'!$F$44,FIND(":",'IN_COST'!$F$44)+1,2)),1)-1)*6+5,9)</f>
        <v/>
      </c>
      <c r="M146" s="33">
        <f>INDEX('ENG_ALLOC'!$D$29:$P$58,(IFERROR(VALUE(MID('IN_COST'!$F$44,FIND(":",'IN_COST'!$F$44)+1,2)),1)-1)*6+5,10)</f>
        <v/>
      </c>
      <c r="N146" s="33">
        <f>INDEX('ENG_ALLOC'!$D$29:$P$58,(IFERROR(VALUE(MID('IN_COST'!$F$44,FIND(":",'IN_COST'!$F$44)+1,2)),1)-1)*6+5,11)</f>
        <v/>
      </c>
      <c r="O146" s="33">
        <f>INDEX('ENG_ALLOC'!$D$29:$P$58,(IFERROR(VALUE(MID('IN_COST'!$F$44,FIND(":",'IN_COST'!$F$44)+1,2)),1)-1)*6+5,12)</f>
        <v/>
      </c>
      <c r="P146" s="33">
        <f>INDEX('ENG_ALLOC'!$D$29:$P$58,(IFERROR(VALUE(MID('IN_COST'!$F$44,FIND(":",'IN_COST'!$F$44)+1,2)),1)-1)*6+5,13)</f>
        <v/>
      </c>
    </row>
    <row r="147">
      <c r="A147" s="15" t="inlineStr">
        <is>
          <t>OPC-06 ← ایستگاه 6</t>
        </is>
      </c>
      <c r="B147" s="16" t="inlineStr"/>
      <c r="C147" s="17" t="inlineStr">
        <is>
          <t>میلیون ریال</t>
        </is>
      </c>
      <c r="D147" s="33">
        <f>INDEX('ENG_ALLOC'!$D$29:$P$58,(IFERROR(VALUE(MID('IN_COST'!$F$44,FIND(":",'IN_COST'!$F$44)+1,2)),1)-1)*6+6,1)</f>
        <v/>
      </c>
      <c r="E147" s="33">
        <f>INDEX('ENG_ALLOC'!$D$29:$P$58,(IFERROR(VALUE(MID('IN_COST'!$F$44,FIND(":",'IN_COST'!$F$44)+1,2)),1)-1)*6+6,2)</f>
        <v/>
      </c>
      <c r="F147" s="33">
        <f>INDEX('ENG_ALLOC'!$D$29:$P$58,(IFERROR(VALUE(MID('IN_COST'!$F$44,FIND(":",'IN_COST'!$F$44)+1,2)),1)-1)*6+6,3)</f>
        <v/>
      </c>
      <c r="G147" s="33">
        <f>INDEX('ENG_ALLOC'!$D$29:$P$58,(IFERROR(VALUE(MID('IN_COST'!$F$44,FIND(":",'IN_COST'!$F$44)+1,2)),1)-1)*6+6,4)</f>
        <v/>
      </c>
      <c r="H147" s="33">
        <f>INDEX('ENG_ALLOC'!$D$29:$P$58,(IFERROR(VALUE(MID('IN_COST'!$F$44,FIND(":",'IN_COST'!$F$44)+1,2)),1)-1)*6+6,5)</f>
        <v/>
      </c>
      <c r="I147" s="33">
        <f>INDEX('ENG_ALLOC'!$D$29:$P$58,(IFERROR(VALUE(MID('IN_COST'!$F$44,FIND(":",'IN_COST'!$F$44)+1,2)),1)-1)*6+6,6)</f>
        <v/>
      </c>
      <c r="J147" s="33">
        <f>INDEX('ENG_ALLOC'!$D$29:$P$58,(IFERROR(VALUE(MID('IN_COST'!$F$44,FIND(":",'IN_COST'!$F$44)+1,2)),1)-1)*6+6,7)</f>
        <v/>
      </c>
      <c r="K147" s="33">
        <f>INDEX('ENG_ALLOC'!$D$29:$P$58,(IFERROR(VALUE(MID('IN_COST'!$F$44,FIND(":",'IN_COST'!$F$44)+1,2)),1)-1)*6+6,8)</f>
        <v/>
      </c>
      <c r="L147" s="33">
        <f>INDEX('ENG_ALLOC'!$D$29:$P$58,(IFERROR(VALUE(MID('IN_COST'!$F$44,FIND(":",'IN_COST'!$F$44)+1,2)),1)-1)*6+6,9)</f>
        <v/>
      </c>
      <c r="M147" s="33">
        <f>INDEX('ENG_ALLOC'!$D$29:$P$58,(IFERROR(VALUE(MID('IN_COST'!$F$44,FIND(":",'IN_COST'!$F$44)+1,2)),1)-1)*6+6,10)</f>
        <v/>
      </c>
      <c r="N147" s="33">
        <f>INDEX('ENG_ALLOC'!$D$29:$P$58,(IFERROR(VALUE(MID('IN_COST'!$F$44,FIND(":",'IN_COST'!$F$44)+1,2)),1)-1)*6+6,11)</f>
        <v/>
      </c>
      <c r="O147" s="33">
        <f>INDEX('ENG_ALLOC'!$D$29:$P$58,(IFERROR(VALUE(MID('IN_COST'!$F$44,FIND(":",'IN_COST'!$F$44)+1,2)),1)-1)*6+6,12)</f>
        <v/>
      </c>
      <c r="P147" s="33">
        <f>INDEX('ENG_ALLOC'!$D$29:$P$58,(IFERROR(VALUE(MID('IN_COST'!$F$44,FIND(":",'IN_COST'!$F$44)+1,2)),1)-1)*6+6,13)</f>
        <v/>
      </c>
    </row>
    <row r="148">
      <c r="A148" s="15" t="inlineStr">
        <is>
          <t>OPC-07 ← ایستگاه 1</t>
        </is>
      </c>
      <c r="B148" s="16" t="inlineStr"/>
      <c r="C148" s="17" t="inlineStr">
        <is>
          <t>میلیون ریال</t>
        </is>
      </c>
      <c r="D148" s="33">
        <f>INDEX('ENG_ALLOC'!$D$29:$P$58,(IFERROR(VALUE(MID('IN_COST'!$F$45,FIND(":",'IN_COST'!$F$45)+1,2)),1)-1)*6+1,1)</f>
        <v/>
      </c>
      <c r="E148" s="33">
        <f>INDEX('ENG_ALLOC'!$D$29:$P$58,(IFERROR(VALUE(MID('IN_COST'!$F$45,FIND(":",'IN_COST'!$F$45)+1,2)),1)-1)*6+1,2)</f>
        <v/>
      </c>
      <c r="F148" s="33">
        <f>INDEX('ENG_ALLOC'!$D$29:$P$58,(IFERROR(VALUE(MID('IN_COST'!$F$45,FIND(":",'IN_COST'!$F$45)+1,2)),1)-1)*6+1,3)</f>
        <v/>
      </c>
      <c r="G148" s="33">
        <f>INDEX('ENG_ALLOC'!$D$29:$P$58,(IFERROR(VALUE(MID('IN_COST'!$F$45,FIND(":",'IN_COST'!$F$45)+1,2)),1)-1)*6+1,4)</f>
        <v/>
      </c>
      <c r="H148" s="33">
        <f>INDEX('ENG_ALLOC'!$D$29:$P$58,(IFERROR(VALUE(MID('IN_COST'!$F$45,FIND(":",'IN_COST'!$F$45)+1,2)),1)-1)*6+1,5)</f>
        <v/>
      </c>
      <c r="I148" s="33">
        <f>INDEX('ENG_ALLOC'!$D$29:$P$58,(IFERROR(VALUE(MID('IN_COST'!$F$45,FIND(":",'IN_COST'!$F$45)+1,2)),1)-1)*6+1,6)</f>
        <v/>
      </c>
      <c r="J148" s="33">
        <f>INDEX('ENG_ALLOC'!$D$29:$P$58,(IFERROR(VALUE(MID('IN_COST'!$F$45,FIND(":",'IN_COST'!$F$45)+1,2)),1)-1)*6+1,7)</f>
        <v/>
      </c>
      <c r="K148" s="33">
        <f>INDEX('ENG_ALLOC'!$D$29:$P$58,(IFERROR(VALUE(MID('IN_COST'!$F$45,FIND(":",'IN_COST'!$F$45)+1,2)),1)-1)*6+1,8)</f>
        <v/>
      </c>
      <c r="L148" s="33">
        <f>INDEX('ENG_ALLOC'!$D$29:$P$58,(IFERROR(VALUE(MID('IN_COST'!$F$45,FIND(":",'IN_COST'!$F$45)+1,2)),1)-1)*6+1,9)</f>
        <v/>
      </c>
      <c r="M148" s="33">
        <f>INDEX('ENG_ALLOC'!$D$29:$P$58,(IFERROR(VALUE(MID('IN_COST'!$F$45,FIND(":",'IN_COST'!$F$45)+1,2)),1)-1)*6+1,10)</f>
        <v/>
      </c>
      <c r="N148" s="33">
        <f>INDEX('ENG_ALLOC'!$D$29:$P$58,(IFERROR(VALUE(MID('IN_COST'!$F$45,FIND(":",'IN_COST'!$F$45)+1,2)),1)-1)*6+1,11)</f>
        <v/>
      </c>
      <c r="O148" s="33">
        <f>INDEX('ENG_ALLOC'!$D$29:$P$58,(IFERROR(VALUE(MID('IN_COST'!$F$45,FIND(":",'IN_COST'!$F$45)+1,2)),1)-1)*6+1,12)</f>
        <v/>
      </c>
      <c r="P148" s="33">
        <f>INDEX('ENG_ALLOC'!$D$29:$P$58,(IFERROR(VALUE(MID('IN_COST'!$F$45,FIND(":",'IN_COST'!$F$45)+1,2)),1)-1)*6+1,13)</f>
        <v/>
      </c>
    </row>
    <row r="149">
      <c r="A149" s="15" t="inlineStr">
        <is>
          <t>OPC-07 ← ایستگاه 2</t>
        </is>
      </c>
      <c r="B149" s="16" t="inlineStr"/>
      <c r="C149" s="17" t="inlineStr">
        <is>
          <t>میلیون ریال</t>
        </is>
      </c>
      <c r="D149" s="33">
        <f>INDEX('ENG_ALLOC'!$D$29:$P$58,(IFERROR(VALUE(MID('IN_COST'!$F$45,FIND(":",'IN_COST'!$F$45)+1,2)),1)-1)*6+2,1)</f>
        <v/>
      </c>
      <c r="E149" s="33">
        <f>INDEX('ENG_ALLOC'!$D$29:$P$58,(IFERROR(VALUE(MID('IN_COST'!$F$45,FIND(":",'IN_COST'!$F$45)+1,2)),1)-1)*6+2,2)</f>
        <v/>
      </c>
      <c r="F149" s="33">
        <f>INDEX('ENG_ALLOC'!$D$29:$P$58,(IFERROR(VALUE(MID('IN_COST'!$F$45,FIND(":",'IN_COST'!$F$45)+1,2)),1)-1)*6+2,3)</f>
        <v/>
      </c>
      <c r="G149" s="33">
        <f>INDEX('ENG_ALLOC'!$D$29:$P$58,(IFERROR(VALUE(MID('IN_COST'!$F$45,FIND(":",'IN_COST'!$F$45)+1,2)),1)-1)*6+2,4)</f>
        <v/>
      </c>
      <c r="H149" s="33">
        <f>INDEX('ENG_ALLOC'!$D$29:$P$58,(IFERROR(VALUE(MID('IN_COST'!$F$45,FIND(":",'IN_COST'!$F$45)+1,2)),1)-1)*6+2,5)</f>
        <v/>
      </c>
      <c r="I149" s="33">
        <f>INDEX('ENG_ALLOC'!$D$29:$P$58,(IFERROR(VALUE(MID('IN_COST'!$F$45,FIND(":",'IN_COST'!$F$45)+1,2)),1)-1)*6+2,6)</f>
        <v/>
      </c>
      <c r="J149" s="33">
        <f>INDEX('ENG_ALLOC'!$D$29:$P$58,(IFERROR(VALUE(MID('IN_COST'!$F$45,FIND(":",'IN_COST'!$F$45)+1,2)),1)-1)*6+2,7)</f>
        <v/>
      </c>
      <c r="K149" s="33">
        <f>INDEX('ENG_ALLOC'!$D$29:$P$58,(IFERROR(VALUE(MID('IN_COST'!$F$45,FIND(":",'IN_COST'!$F$45)+1,2)),1)-1)*6+2,8)</f>
        <v/>
      </c>
      <c r="L149" s="33">
        <f>INDEX('ENG_ALLOC'!$D$29:$P$58,(IFERROR(VALUE(MID('IN_COST'!$F$45,FIND(":",'IN_COST'!$F$45)+1,2)),1)-1)*6+2,9)</f>
        <v/>
      </c>
      <c r="M149" s="33">
        <f>INDEX('ENG_ALLOC'!$D$29:$P$58,(IFERROR(VALUE(MID('IN_COST'!$F$45,FIND(":",'IN_COST'!$F$45)+1,2)),1)-1)*6+2,10)</f>
        <v/>
      </c>
      <c r="N149" s="33">
        <f>INDEX('ENG_ALLOC'!$D$29:$P$58,(IFERROR(VALUE(MID('IN_COST'!$F$45,FIND(":",'IN_COST'!$F$45)+1,2)),1)-1)*6+2,11)</f>
        <v/>
      </c>
      <c r="O149" s="33">
        <f>INDEX('ENG_ALLOC'!$D$29:$P$58,(IFERROR(VALUE(MID('IN_COST'!$F$45,FIND(":",'IN_COST'!$F$45)+1,2)),1)-1)*6+2,12)</f>
        <v/>
      </c>
      <c r="P149" s="33">
        <f>INDEX('ENG_ALLOC'!$D$29:$P$58,(IFERROR(VALUE(MID('IN_COST'!$F$45,FIND(":",'IN_COST'!$F$45)+1,2)),1)-1)*6+2,13)</f>
        <v/>
      </c>
    </row>
    <row r="150">
      <c r="A150" s="15" t="inlineStr">
        <is>
          <t>OPC-07 ← ایستگاه 3</t>
        </is>
      </c>
      <c r="B150" s="16" t="inlineStr"/>
      <c r="C150" s="17" t="inlineStr">
        <is>
          <t>میلیون ریال</t>
        </is>
      </c>
      <c r="D150" s="33">
        <f>INDEX('ENG_ALLOC'!$D$29:$P$58,(IFERROR(VALUE(MID('IN_COST'!$F$45,FIND(":",'IN_COST'!$F$45)+1,2)),1)-1)*6+3,1)</f>
        <v/>
      </c>
      <c r="E150" s="33">
        <f>INDEX('ENG_ALLOC'!$D$29:$P$58,(IFERROR(VALUE(MID('IN_COST'!$F$45,FIND(":",'IN_COST'!$F$45)+1,2)),1)-1)*6+3,2)</f>
        <v/>
      </c>
      <c r="F150" s="33">
        <f>INDEX('ENG_ALLOC'!$D$29:$P$58,(IFERROR(VALUE(MID('IN_COST'!$F$45,FIND(":",'IN_COST'!$F$45)+1,2)),1)-1)*6+3,3)</f>
        <v/>
      </c>
      <c r="G150" s="33">
        <f>INDEX('ENG_ALLOC'!$D$29:$P$58,(IFERROR(VALUE(MID('IN_COST'!$F$45,FIND(":",'IN_COST'!$F$45)+1,2)),1)-1)*6+3,4)</f>
        <v/>
      </c>
      <c r="H150" s="33">
        <f>INDEX('ENG_ALLOC'!$D$29:$P$58,(IFERROR(VALUE(MID('IN_COST'!$F$45,FIND(":",'IN_COST'!$F$45)+1,2)),1)-1)*6+3,5)</f>
        <v/>
      </c>
      <c r="I150" s="33">
        <f>INDEX('ENG_ALLOC'!$D$29:$P$58,(IFERROR(VALUE(MID('IN_COST'!$F$45,FIND(":",'IN_COST'!$F$45)+1,2)),1)-1)*6+3,6)</f>
        <v/>
      </c>
      <c r="J150" s="33">
        <f>INDEX('ENG_ALLOC'!$D$29:$P$58,(IFERROR(VALUE(MID('IN_COST'!$F$45,FIND(":",'IN_COST'!$F$45)+1,2)),1)-1)*6+3,7)</f>
        <v/>
      </c>
      <c r="K150" s="33">
        <f>INDEX('ENG_ALLOC'!$D$29:$P$58,(IFERROR(VALUE(MID('IN_COST'!$F$45,FIND(":",'IN_COST'!$F$45)+1,2)),1)-1)*6+3,8)</f>
        <v/>
      </c>
      <c r="L150" s="33">
        <f>INDEX('ENG_ALLOC'!$D$29:$P$58,(IFERROR(VALUE(MID('IN_COST'!$F$45,FIND(":",'IN_COST'!$F$45)+1,2)),1)-1)*6+3,9)</f>
        <v/>
      </c>
      <c r="M150" s="33">
        <f>INDEX('ENG_ALLOC'!$D$29:$P$58,(IFERROR(VALUE(MID('IN_COST'!$F$45,FIND(":",'IN_COST'!$F$45)+1,2)),1)-1)*6+3,10)</f>
        <v/>
      </c>
      <c r="N150" s="33">
        <f>INDEX('ENG_ALLOC'!$D$29:$P$58,(IFERROR(VALUE(MID('IN_COST'!$F$45,FIND(":",'IN_COST'!$F$45)+1,2)),1)-1)*6+3,11)</f>
        <v/>
      </c>
      <c r="O150" s="33">
        <f>INDEX('ENG_ALLOC'!$D$29:$P$58,(IFERROR(VALUE(MID('IN_COST'!$F$45,FIND(":",'IN_COST'!$F$45)+1,2)),1)-1)*6+3,12)</f>
        <v/>
      </c>
      <c r="P150" s="33">
        <f>INDEX('ENG_ALLOC'!$D$29:$P$58,(IFERROR(VALUE(MID('IN_COST'!$F$45,FIND(":",'IN_COST'!$F$45)+1,2)),1)-1)*6+3,13)</f>
        <v/>
      </c>
    </row>
    <row r="151">
      <c r="A151" s="15" t="inlineStr">
        <is>
          <t>OPC-07 ← ایستگاه 4</t>
        </is>
      </c>
      <c r="B151" s="16" t="inlineStr"/>
      <c r="C151" s="17" t="inlineStr">
        <is>
          <t>میلیون ریال</t>
        </is>
      </c>
      <c r="D151" s="33">
        <f>INDEX('ENG_ALLOC'!$D$29:$P$58,(IFERROR(VALUE(MID('IN_COST'!$F$45,FIND(":",'IN_COST'!$F$45)+1,2)),1)-1)*6+4,1)</f>
        <v/>
      </c>
      <c r="E151" s="33">
        <f>INDEX('ENG_ALLOC'!$D$29:$P$58,(IFERROR(VALUE(MID('IN_COST'!$F$45,FIND(":",'IN_COST'!$F$45)+1,2)),1)-1)*6+4,2)</f>
        <v/>
      </c>
      <c r="F151" s="33">
        <f>INDEX('ENG_ALLOC'!$D$29:$P$58,(IFERROR(VALUE(MID('IN_COST'!$F$45,FIND(":",'IN_COST'!$F$45)+1,2)),1)-1)*6+4,3)</f>
        <v/>
      </c>
      <c r="G151" s="33">
        <f>INDEX('ENG_ALLOC'!$D$29:$P$58,(IFERROR(VALUE(MID('IN_COST'!$F$45,FIND(":",'IN_COST'!$F$45)+1,2)),1)-1)*6+4,4)</f>
        <v/>
      </c>
      <c r="H151" s="33">
        <f>INDEX('ENG_ALLOC'!$D$29:$P$58,(IFERROR(VALUE(MID('IN_COST'!$F$45,FIND(":",'IN_COST'!$F$45)+1,2)),1)-1)*6+4,5)</f>
        <v/>
      </c>
      <c r="I151" s="33">
        <f>INDEX('ENG_ALLOC'!$D$29:$P$58,(IFERROR(VALUE(MID('IN_COST'!$F$45,FIND(":",'IN_COST'!$F$45)+1,2)),1)-1)*6+4,6)</f>
        <v/>
      </c>
      <c r="J151" s="33">
        <f>INDEX('ENG_ALLOC'!$D$29:$P$58,(IFERROR(VALUE(MID('IN_COST'!$F$45,FIND(":",'IN_COST'!$F$45)+1,2)),1)-1)*6+4,7)</f>
        <v/>
      </c>
      <c r="K151" s="33">
        <f>INDEX('ENG_ALLOC'!$D$29:$P$58,(IFERROR(VALUE(MID('IN_COST'!$F$45,FIND(":",'IN_COST'!$F$45)+1,2)),1)-1)*6+4,8)</f>
        <v/>
      </c>
      <c r="L151" s="33">
        <f>INDEX('ENG_ALLOC'!$D$29:$P$58,(IFERROR(VALUE(MID('IN_COST'!$F$45,FIND(":",'IN_COST'!$F$45)+1,2)),1)-1)*6+4,9)</f>
        <v/>
      </c>
      <c r="M151" s="33">
        <f>INDEX('ENG_ALLOC'!$D$29:$P$58,(IFERROR(VALUE(MID('IN_COST'!$F$45,FIND(":",'IN_COST'!$F$45)+1,2)),1)-1)*6+4,10)</f>
        <v/>
      </c>
      <c r="N151" s="33">
        <f>INDEX('ENG_ALLOC'!$D$29:$P$58,(IFERROR(VALUE(MID('IN_COST'!$F$45,FIND(":",'IN_COST'!$F$45)+1,2)),1)-1)*6+4,11)</f>
        <v/>
      </c>
      <c r="O151" s="33">
        <f>INDEX('ENG_ALLOC'!$D$29:$P$58,(IFERROR(VALUE(MID('IN_COST'!$F$45,FIND(":",'IN_COST'!$F$45)+1,2)),1)-1)*6+4,12)</f>
        <v/>
      </c>
      <c r="P151" s="33">
        <f>INDEX('ENG_ALLOC'!$D$29:$P$58,(IFERROR(VALUE(MID('IN_COST'!$F$45,FIND(":",'IN_COST'!$F$45)+1,2)),1)-1)*6+4,13)</f>
        <v/>
      </c>
    </row>
    <row r="152">
      <c r="A152" s="15" t="inlineStr">
        <is>
          <t>OPC-07 ← ایستگاه 5</t>
        </is>
      </c>
      <c r="B152" s="16" t="inlineStr"/>
      <c r="C152" s="17" t="inlineStr">
        <is>
          <t>میلیون ریال</t>
        </is>
      </c>
      <c r="D152" s="33">
        <f>INDEX('ENG_ALLOC'!$D$29:$P$58,(IFERROR(VALUE(MID('IN_COST'!$F$45,FIND(":",'IN_COST'!$F$45)+1,2)),1)-1)*6+5,1)</f>
        <v/>
      </c>
      <c r="E152" s="33">
        <f>INDEX('ENG_ALLOC'!$D$29:$P$58,(IFERROR(VALUE(MID('IN_COST'!$F$45,FIND(":",'IN_COST'!$F$45)+1,2)),1)-1)*6+5,2)</f>
        <v/>
      </c>
      <c r="F152" s="33">
        <f>INDEX('ENG_ALLOC'!$D$29:$P$58,(IFERROR(VALUE(MID('IN_COST'!$F$45,FIND(":",'IN_COST'!$F$45)+1,2)),1)-1)*6+5,3)</f>
        <v/>
      </c>
      <c r="G152" s="33">
        <f>INDEX('ENG_ALLOC'!$D$29:$P$58,(IFERROR(VALUE(MID('IN_COST'!$F$45,FIND(":",'IN_COST'!$F$45)+1,2)),1)-1)*6+5,4)</f>
        <v/>
      </c>
      <c r="H152" s="33">
        <f>INDEX('ENG_ALLOC'!$D$29:$P$58,(IFERROR(VALUE(MID('IN_COST'!$F$45,FIND(":",'IN_COST'!$F$45)+1,2)),1)-1)*6+5,5)</f>
        <v/>
      </c>
      <c r="I152" s="33">
        <f>INDEX('ENG_ALLOC'!$D$29:$P$58,(IFERROR(VALUE(MID('IN_COST'!$F$45,FIND(":",'IN_COST'!$F$45)+1,2)),1)-1)*6+5,6)</f>
        <v/>
      </c>
      <c r="J152" s="33">
        <f>INDEX('ENG_ALLOC'!$D$29:$P$58,(IFERROR(VALUE(MID('IN_COST'!$F$45,FIND(":",'IN_COST'!$F$45)+1,2)),1)-1)*6+5,7)</f>
        <v/>
      </c>
      <c r="K152" s="33">
        <f>INDEX('ENG_ALLOC'!$D$29:$P$58,(IFERROR(VALUE(MID('IN_COST'!$F$45,FIND(":",'IN_COST'!$F$45)+1,2)),1)-1)*6+5,8)</f>
        <v/>
      </c>
      <c r="L152" s="33">
        <f>INDEX('ENG_ALLOC'!$D$29:$P$58,(IFERROR(VALUE(MID('IN_COST'!$F$45,FIND(":",'IN_COST'!$F$45)+1,2)),1)-1)*6+5,9)</f>
        <v/>
      </c>
      <c r="M152" s="33">
        <f>INDEX('ENG_ALLOC'!$D$29:$P$58,(IFERROR(VALUE(MID('IN_COST'!$F$45,FIND(":",'IN_COST'!$F$45)+1,2)),1)-1)*6+5,10)</f>
        <v/>
      </c>
      <c r="N152" s="33">
        <f>INDEX('ENG_ALLOC'!$D$29:$P$58,(IFERROR(VALUE(MID('IN_COST'!$F$45,FIND(":",'IN_COST'!$F$45)+1,2)),1)-1)*6+5,11)</f>
        <v/>
      </c>
      <c r="O152" s="33">
        <f>INDEX('ENG_ALLOC'!$D$29:$P$58,(IFERROR(VALUE(MID('IN_COST'!$F$45,FIND(":",'IN_COST'!$F$45)+1,2)),1)-1)*6+5,12)</f>
        <v/>
      </c>
      <c r="P152" s="33">
        <f>INDEX('ENG_ALLOC'!$D$29:$P$58,(IFERROR(VALUE(MID('IN_COST'!$F$45,FIND(":",'IN_COST'!$F$45)+1,2)),1)-1)*6+5,13)</f>
        <v/>
      </c>
    </row>
    <row r="153">
      <c r="A153" s="15" t="inlineStr">
        <is>
          <t>OPC-07 ← ایستگاه 6</t>
        </is>
      </c>
      <c r="B153" s="16" t="inlineStr"/>
      <c r="C153" s="17" t="inlineStr">
        <is>
          <t>میلیون ریال</t>
        </is>
      </c>
      <c r="D153" s="33">
        <f>INDEX('ENG_ALLOC'!$D$29:$P$58,(IFERROR(VALUE(MID('IN_COST'!$F$45,FIND(":",'IN_COST'!$F$45)+1,2)),1)-1)*6+6,1)</f>
        <v/>
      </c>
      <c r="E153" s="33">
        <f>INDEX('ENG_ALLOC'!$D$29:$P$58,(IFERROR(VALUE(MID('IN_COST'!$F$45,FIND(":",'IN_COST'!$F$45)+1,2)),1)-1)*6+6,2)</f>
        <v/>
      </c>
      <c r="F153" s="33">
        <f>INDEX('ENG_ALLOC'!$D$29:$P$58,(IFERROR(VALUE(MID('IN_COST'!$F$45,FIND(":",'IN_COST'!$F$45)+1,2)),1)-1)*6+6,3)</f>
        <v/>
      </c>
      <c r="G153" s="33">
        <f>INDEX('ENG_ALLOC'!$D$29:$P$58,(IFERROR(VALUE(MID('IN_COST'!$F$45,FIND(":",'IN_COST'!$F$45)+1,2)),1)-1)*6+6,4)</f>
        <v/>
      </c>
      <c r="H153" s="33">
        <f>INDEX('ENG_ALLOC'!$D$29:$P$58,(IFERROR(VALUE(MID('IN_COST'!$F$45,FIND(":",'IN_COST'!$F$45)+1,2)),1)-1)*6+6,5)</f>
        <v/>
      </c>
      <c r="I153" s="33">
        <f>INDEX('ENG_ALLOC'!$D$29:$P$58,(IFERROR(VALUE(MID('IN_COST'!$F$45,FIND(":",'IN_COST'!$F$45)+1,2)),1)-1)*6+6,6)</f>
        <v/>
      </c>
      <c r="J153" s="33">
        <f>INDEX('ENG_ALLOC'!$D$29:$P$58,(IFERROR(VALUE(MID('IN_COST'!$F$45,FIND(":",'IN_COST'!$F$45)+1,2)),1)-1)*6+6,7)</f>
        <v/>
      </c>
      <c r="K153" s="33">
        <f>INDEX('ENG_ALLOC'!$D$29:$P$58,(IFERROR(VALUE(MID('IN_COST'!$F$45,FIND(":",'IN_COST'!$F$45)+1,2)),1)-1)*6+6,8)</f>
        <v/>
      </c>
      <c r="L153" s="33">
        <f>INDEX('ENG_ALLOC'!$D$29:$P$58,(IFERROR(VALUE(MID('IN_COST'!$F$45,FIND(":",'IN_COST'!$F$45)+1,2)),1)-1)*6+6,9)</f>
        <v/>
      </c>
      <c r="M153" s="33">
        <f>INDEX('ENG_ALLOC'!$D$29:$P$58,(IFERROR(VALUE(MID('IN_COST'!$F$45,FIND(":",'IN_COST'!$F$45)+1,2)),1)-1)*6+6,10)</f>
        <v/>
      </c>
      <c r="N153" s="33">
        <f>INDEX('ENG_ALLOC'!$D$29:$P$58,(IFERROR(VALUE(MID('IN_COST'!$F$45,FIND(":",'IN_COST'!$F$45)+1,2)),1)-1)*6+6,11)</f>
        <v/>
      </c>
      <c r="O153" s="33">
        <f>INDEX('ENG_ALLOC'!$D$29:$P$58,(IFERROR(VALUE(MID('IN_COST'!$F$45,FIND(":",'IN_COST'!$F$45)+1,2)),1)-1)*6+6,12)</f>
        <v/>
      </c>
      <c r="P153" s="33">
        <f>INDEX('ENG_ALLOC'!$D$29:$P$58,(IFERROR(VALUE(MID('IN_COST'!$F$45,FIND(":",'IN_COST'!$F$45)+1,2)),1)-1)*6+6,13)</f>
        <v/>
      </c>
    </row>
    <row r="154">
      <c r="A154" s="15" t="inlineStr">
        <is>
          <t>OPC-08 ← ایستگاه 1</t>
        </is>
      </c>
      <c r="B154" s="16" t="inlineStr"/>
      <c r="C154" s="17" t="inlineStr">
        <is>
          <t>میلیون ریال</t>
        </is>
      </c>
      <c r="D154" s="33">
        <f>INDEX('ENG_ALLOC'!$D$29:$P$58,(IFERROR(VALUE(MID('IN_COST'!$F$46,FIND(":",'IN_COST'!$F$46)+1,2)),1)-1)*6+1,1)</f>
        <v/>
      </c>
      <c r="E154" s="33">
        <f>INDEX('ENG_ALLOC'!$D$29:$P$58,(IFERROR(VALUE(MID('IN_COST'!$F$46,FIND(":",'IN_COST'!$F$46)+1,2)),1)-1)*6+1,2)</f>
        <v/>
      </c>
      <c r="F154" s="33">
        <f>INDEX('ENG_ALLOC'!$D$29:$P$58,(IFERROR(VALUE(MID('IN_COST'!$F$46,FIND(":",'IN_COST'!$F$46)+1,2)),1)-1)*6+1,3)</f>
        <v/>
      </c>
      <c r="G154" s="33">
        <f>INDEX('ENG_ALLOC'!$D$29:$P$58,(IFERROR(VALUE(MID('IN_COST'!$F$46,FIND(":",'IN_COST'!$F$46)+1,2)),1)-1)*6+1,4)</f>
        <v/>
      </c>
      <c r="H154" s="33">
        <f>INDEX('ENG_ALLOC'!$D$29:$P$58,(IFERROR(VALUE(MID('IN_COST'!$F$46,FIND(":",'IN_COST'!$F$46)+1,2)),1)-1)*6+1,5)</f>
        <v/>
      </c>
      <c r="I154" s="33">
        <f>INDEX('ENG_ALLOC'!$D$29:$P$58,(IFERROR(VALUE(MID('IN_COST'!$F$46,FIND(":",'IN_COST'!$F$46)+1,2)),1)-1)*6+1,6)</f>
        <v/>
      </c>
      <c r="J154" s="33">
        <f>INDEX('ENG_ALLOC'!$D$29:$P$58,(IFERROR(VALUE(MID('IN_COST'!$F$46,FIND(":",'IN_COST'!$F$46)+1,2)),1)-1)*6+1,7)</f>
        <v/>
      </c>
      <c r="K154" s="33">
        <f>INDEX('ENG_ALLOC'!$D$29:$P$58,(IFERROR(VALUE(MID('IN_COST'!$F$46,FIND(":",'IN_COST'!$F$46)+1,2)),1)-1)*6+1,8)</f>
        <v/>
      </c>
      <c r="L154" s="33">
        <f>INDEX('ENG_ALLOC'!$D$29:$P$58,(IFERROR(VALUE(MID('IN_COST'!$F$46,FIND(":",'IN_COST'!$F$46)+1,2)),1)-1)*6+1,9)</f>
        <v/>
      </c>
      <c r="M154" s="33">
        <f>INDEX('ENG_ALLOC'!$D$29:$P$58,(IFERROR(VALUE(MID('IN_COST'!$F$46,FIND(":",'IN_COST'!$F$46)+1,2)),1)-1)*6+1,10)</f>
        <v/>
      </c>
      <c r="N154" s="33">
        <f>INDEX('ENG_ALLOC'!$D$29:$P$58,(IFERROR(VALUE(MID('IN_COST'!$F$46,FIND(":",'IN_COST'!$F$46)+1,2)),1)-1)*6+1,11)</f>
        <v/>
      </c>
      <c r="O154" s="33">
        <f>INDEX('ENG_ALLOC'!$D$29:$P$58,(IFERROR(VALUE(MID('IN_COST'!$F$46,FIND(":",'IN_COST'!$F$46)+1,2)),1)-1)*6+1,12)</f>
        <v/>
      </c>
      <c r="P154" s="33">
        <f>INDEX('ENG_ALLOC'!$D$29:$P$58,(IFERROR(VALUE(MID('IN_COST'!$F$46,FIND(":",'IN_COST'!$F$46)+1,2)),1)-1)*6+1,13)</f>
        <v/>
      </c>
    </row>
    <row r="155">
      <c r="A155" s="15" t="inlineStr">
        <is>
          <t>OPC-08 ← ایستگاه 2</t>
        </is>
      </c>
      <c r="B155" s="16" t="inlineStr"/>
      <c r="C155" s="17" t="inlineStr">
        <is>
          <t>میلیون ریال</t>
        </is>
      </c>
      <c r="D155" s="33">
        <f>INDEX('ENG_ALLOC'!$D$29:$P$58,(IFERROR(VALUE(MID('IN_COST'!$F$46,FIND(":",'IN_COST'!$F$46)+1,2)),1)-1)*6+2,1)</f>
        <v/>
      </c>
      <c r="E155" s="33">
        <f>INDEX('ENG_ALLOC'!$D$29:$P$58,(IFERROR(VALUE(MID('IN_COST'!$F$46,FIND(":",'IN_COST'!$F$46)+1,2)),1)-1)*6+2,2)</f>
        <v/>
      </c>
      <c r="F155" s="33">
        <f>INDEX('ENG_ALLOC'!$D$29:$P$58,(IFERROR(VALUE(MID('IN_COST'!$F$46,FIND(":",'IN_COST'!$F$46)+1,2)),1)-1)*6+2,3)</f>
        <v/>
      </c>
      <c r="G155" s="33">
        <f>INDEX('ENG_ALLOC'!$D$29:$P$58,(IFERROR(VALUE(MID('IN_COST'!$F$46,FIND(":",'IN_COST'!$F$46)+1,2)),1)-1)*6+2,4)</f>
        <v/>
      </c>
      <c r="H155" s="33">
        <f>INDEX('ENG_ALLOC'!$D$29:$P$58,(IFERROR(VALUE(MID('IN_COST'!$F$46,FIND(":",'IN_COST'!$F$46)+1,2)),1)-1)*6+2,5)</f>
        <v/>
      </c>
      <c r="I155" s="33">
        <f>INDEX('ENG_ALLOC'!$D$29:$P$58,(IFERROR(VALUE(MID('IN_COST'!$F$46,FIND(":",'IN_COST'!$F$46)+1,2)),1)-1)*6+2,6)</f>
        <v/>
      </c>
      <c r="J155" s="33">
        <f>INDEX('ENG_ALLOC'!$D$29:$P$58,(IFERROR(VALUE(MID('IN_COST'!$F$46,FIND(":",'IN_COST'!$F$46)+1,2)),1)-1)*6+2,7)</f>
        <v/>
      </c>
      <c r="K155" s="33">
        <f>INDEX('ENG_ALLOC'!$D$29:$P$58,(IFERROR(VALUE(MID('IN_COST'!$F$46,FIND(":",'IN_COST'!$F$46)+1,2)),1)-1)*6+2,8)</f>
        <v/>
      </c>
      <c r="L155" s="33">
        <f>INDEX('ENG_ALLOC'!$D$29:$P$58,(IFERROR(VALUE(MID('IN_COST'!$F$46,FIND(":",'IN_COST'!$F$46)+1,2)),1)-1)*6+2,9)</f>
        <v/>
      </c>
      <c r="M155" s="33">
        <f>INDEX('ENG_ALLOC'!$D$29:$P$58,(IFERROR(VALUE(MID('IN_COST'!$F$46,FIND(":",'IN_COST'!$F$46)+1,2)),1)-1)*6+2,10)</f>
        <v/>
      </c>
      <c r="N155" s="33">
        <f>INDEX('ENG_ALLOC'!$D$29:$P$58,(IFERROR(VALUE(MID('IN_COST'!$F$46,FIND(":",'IN_COST'!$F$46)+1,2)),1)-1)*6+2,11)</f>
        <v/>
      </c>
      <c r="O155" s="33">
        <f>INDEX('ENG_ALLOC'!$D$29:$P$58,(IFERROR(VALUE(MID('IN_COST'!$F$46,FIND(":",'IN_COST'!$F$46)+1,2)),1)-1)*6+2,12)</f>
        <v/>
      </c>
      <c r="P155" s="33">
        <f>INDEX('ENG_ALLOC'!$D$29:$P$58,(IFERROR(VALUE(MID('IN_COST'!$F$46,FIND(":",'IN_COST'!$F$46)+1,2)),1)-1)*6+2,13)</f>
        <v/>
      </c>
    </row>
    <row r="156">
      <c r="A156" s="15" t="inlineStr">
        <is>
          <t>OPC-08 ← ایستگاه 3</t>
        </is>
      </c>
      <c r="B156" s="16" t="inlineStr"/>
      <c r="C156" s="17" t="inlineStr">
        <is>
          <t>میلیون ریال</t>
        </is>
      </c>
      <c r="D156" s="33">
        <f>INDEX('ENG_ALLOC'!$D$29:$P$58,(IFERROR(VALUE(MID('IN_COST'!$F$46,FIND(":",'IN_COST'!$F$46)+1,2)),1)-1)*6+3,1)</f>
        <v/>
      </c>
      <c r="E156" s="33">
        <f>INDEX('ENG_ALLOC'!$D$29:$P$58,(IFERROR(VALUE(MID('IN_COST'!$F$46,FIND(":",'IN_COST'!$F$46)+1,2)),1)-1)*6+3,2)</f>
        <v/>
      </c>
      <c r="F156" s="33">
        <f>INDEX('ENG_ALLOC'!$D$29:$P$58,(IFERROR(VALUE(MID('IN_COST'!$F$46,FIND(":",'IN_COST'!$F$46)+1,2)),1)-1)*6+3,3)</f>
        <v/>
      </c>
      <c r="G156" s="33">
        <f>INDEX('ENG_ALLOC'!$D$29:$P$58,(IFERROR(VALUE(MID('IN_COST'!$F$46,FIND(":",'IN_COST'!$F$46)+1,2)),1)-1)*6+3,4)</f>
        <v/>
      </c>
      <c r="H156" s="33">
        <f>INDEX('ENG_ALLOC'!$D$29:$P$58,(IFERROR(VALUE(MID('IN_COST'!$F$46,FIND(":",'IN_COST'!$F$46)+1,2)),1)-1)*6+3,5)</f>
        <v/>
      </c>
      <c r="I156" s="33">
        <f>INDEX('ENG_ALLOC'!$D$29:$P$58,(IFERROR(VALUE(MID('IN_COST'!$F$46,FIND(":",'IN_COST'!$F$46)+1,2)),1)-1)*6+3,6)</f>
        <v/>
      </c>
      <c r="J156" s="33">
        <f>INDEX('ENG_ALLOC'!$D$29:$P$58,(IFERROR(VALUE(MID('IN_COST'!$F$46,FIND(":",'IN_COST'!$F$46)+1,2)),1)-1)*6+3,7)</f>
        <v/>
      </c>
      <c r="K156" s="33">
        <f>INDEX('ENG_ALLOC'!$D$29:$P$58,(IFERROR(VALUE(MID('IN_COST'!$F$46,FIND(":",'IN_COST'!$F$46)+1,2)),1)-1)*6+3,8)</f>
        <v/>
      </c>
      <c r="L156" s="33">
        <f>INDEX('ENG_ALLOC'!$D$29:$P$58,(IFERROR(VALUE(MID('IN_COST'!$F$46,FIND(":",'IN_COST'!$F$46)+1,2)),1)-1)*6+3,9)</f>
        <v/>
      </c>
      <c r="M156" s="33">
        <f>INDEX('ENG_ALLOC'!$D$29:$P$58,(IFERROR(VALUE(MID('IN_COST'!$F$46,FIND(":",'IN_COST'!$F$46)+1,2)),1)-1)*6+3,10)</f>
        <v/>
      </c>
      <c r="N156" s="33">
        <f>INDEX('ENG_ALLOC'!$D$29:$P$58,(IFERROR(VALUE(MID('IN_COST'!$F$46,FIND(":",'IN_COST'!$F$46)+1,2)),1)-1)*6+3,11)</f>
        <v/>
      </c>
      <c r="O156" s="33">
        <f>INDEX('ENG_ALLOC'!$D$29:$P$58,(IFERROR(VALUE(MID('IN_COST'!$F$46,FIND(":",'IN_COST'!$F$46)+1,2)),1)-1)*6+3,12)</f>
        <v/>
      </c>
      <c r="P156" s="33">
        <f>INDEX('ENG_ALLOC'!$D$29:$P$58,(IFERROR(VALUE(MID('IN_COST'!$F$46,FIND(":",'IN_COST'!$F$46)+1,2)),1)-1)*6+3,13)</f>
        <v/>
      </c>
    </row>
    <row r="157">
      <c r="A157" s="15" t="inlineStr">
        <is>
          <t>OPC-08 ← ایستگاه 4</t>
        </is>
      </c>
      <c r="B157" s="16" t="inlineStr"/>
      <c r="C157" s="17" t="inlineStr">
        <is>
          <t>میلیون ریال</t>
        </is>
      </c>
      <c r="D157" s="33">
        <f>INDEX('ENG_ALLOC'!$D$29:$P$58,(IFERROR(VALUE(MID('IN_COST'!$F$46,FIND(":",'IN_COST'!$F$46)+1,2)),1)-1)*6+4,1)</f>
        <v/>
      </c>
      <c r="E157" s="33">
        <f>INDEX('ENG_ALLOC'!$D$29:$P$58,(IFERROR(VALUE(MID('IN_COST'!$F$46,FIND(":",'IN_COST'!$F$46)+1,2)),1)-1)*6+4,2)</f>
        <v/>
      </c>
      <c r="F157" s="33">
        <f>INDEX('ENG_ALLOC'!$D$29:$P$58,(IFERROR(VALUE(MID('IN_COST'!$F$46,FIND(":",'IN_COST'!$F$46)+1,2)),1)-1)*6+4,3)</f>
        <v/>
      </c>
      <c r="G157" s="33">
        <f>INDEX('ENG_ALLOC'!$D$29:$P$58,(IFERROR(VALUE(MID('IN_COST'!$F$46,FIND(":",'IN_COST'!$F$46)+1,2)),1)-1)*6+4,4)</f>
        <v/>
      </c>
      <c r="H157" s="33">
        <f>INDEX('ENG_ALLOC'!$D$29:$P$58,(IFERROR(VALUE(MID('IN_COST'!$F$46,FIND(":",'IN_COST'!$F$46)+1,2)),1)-1)*6+4,5)</f>
        <v/>
      </c>
      <c r="I157" s="33">
        <f>INDEX('ENG_ALLOC'!$D$29:$P$58,(IFERROR(VALUE(MID('IN_COST'!$F$46,FIND(":",'IN_COST'!$F$46)+1,2)),1)-1)*6+4,6)</f>
        <v/>
      </c>
      <c r="J157" s="33">
        <f>INDEX('ENG_ALLOC'!$D$29:$P$58,(IFERROR(VALUE(MID('IN_COST'!$F$46,FIND(":",'IN_COST'!$F$46)+1,2)),1)-1)*6+4,7)</f>
        <v/>
      </c>
      <c r="K157" s="33">
        <f>INDEX('ENG_ALLOC'!$D$29:$P$58,(IFERROR(VALUE(MID('IN_COST'!$F$46,FIND(":",'IN_COST'!$F$46)+1,2)),1)-1)*6+4,8)</f>
        <v/>
      </c>
      <c r="L157" s="33">
        <f>INDEX('ENG_ALLOC'!$D$29:$P$58,(IFERROR(VALUE(MID('IN_COST'!$F$46,FIND(":",'IN_COST'!$F$46)+1,2)),1)-1)*6+4,9)</f>
        <v/>
      </c>
      <c r="M157" s="33">
        <f>INDEX('ENG_ALLOC'!$D$29:$P$58,(IFERROR(VALUE(MID('IN_COST'!$F$46,FIND(":",'IN_COST'!$F$46)+1,2)),1)-1)*6+4,10)</f>
        <v/>
      </c>
      <c r="N157" s="33">
        <f>INDEX('ENG_ALLOC'!$D$29:$P$58,(IFERROR(VALUE(MID('IN_COST'!$F$46,FIND(":",'IN_COST'!$F$46)+1,2)),1)-1)*6+4,11)</f>
        <v/>
      </c>
      <c r="O157" s="33">
        <f>INDEX('ENG_ALLOC'!$D$29:$P$58,(IFERROR(VALUE(MID('IN_COST'!$F$46,FIND(":",'IN_COST'!$F$46)+1,2)),1)-1)*6+4,12)</f>
        <v/>
      </c>
      <c r="P157" s="33">
        <f>INDEX('ENG_ALLOC'!$D$29:$P$58,(IFERROR(VALUE(MID('IN_COST'!$F$46,FIND(":",'IN_COST'!$F$46)+1,2)),1)-1)*6+4,13)</f>
        <v/>
      </c>
    </row>
    <row r="158">
      <c r="A158" s="15" t="inlineStr">
        <is>
          <t>OPC-08 ← ایستگاه 5</t>
        </is>
      </c>
      <c r="B158" s="16" t="inlineStr"/>
      <c r="C158" s="17" t="inlineStr">
        <is>
          <t>میلیون ریال</t>
        </is>
      </c>
      <c r="D158" s="33">
        <f>INDEX('ENG_ALLOC'!$D$29:$P$58,(IFERROR(VALUE(MID('IN_COST'!$F$46,FIND(":",'IN_COST'!$F$46)+1,2)),1)-1)*6+5,1)</f>
        <v/>
      </c>
      <c r="E158" s="33">
        <f>INDEX('ENG_ALLOC'!$D$29:$P$58,(IFERROR(VALUE(MID('IN_COST'!$F$46,FIND(":",'IN_COST'!$F$46)+1,2)),1)-1)*6+5,2)</f>
        <v/>
      </c>
      <c r="F158" s="33">
        <f>INDEX('ENG_ALLOC'!$D$29:$P$58,(IFERROR(VALUE(MID('IN_COST'!$F$46,FIND(":",'IN_COST'!$F$46)+1,2)),1)-1)*6+5,3)</f>
        <v/>
      </c>
      <c r="G158" s="33">
        <f>INDEX('ENG_ALLOC'!$D$29:$P$58,(IFERROR(VALUE(MID('IN_COST'!$F$46,FIND(":",'IN_COST'!$F$46)+1,2)),1)-1)*6+5,4)</f>
        <v/>
      </c>
      <c r="H158" s="33">
        <f>INDEX('ENG_ALLOC'!$D$29:$P$58,(IFERROR(VALUE(MID('IN_COST'!$F$46,FIND(":",'IN_COST'!$F$46)+1,2)),1)-1)*6+5,5)</f>
        <v/>
      </c>
      <c r="I158" s="33">
        <f>INDEX('ENG_ALLOC'!$D$29:$P$58,(IFERROR(VALUE(MID('IN_COST'!$F$46,FIND(":",'IN_COST'!$F$46)+1,2)),1)-1)*6+5,6)</f>
        <v/>
      </c>
      <c r="J158" s="33">
        <f>INDEX('ENG_ALLOC'!$D$29:$P$58,(IFERROR(VALUE(MID('IN_COST'!$F$46,FIND(":",'IN_COST'!$F$46)+1,2)),1)-1)*6+5,7)</f>
        <v/>
      </c>
      <c r="K158" s="33">
        <f>INDEX('ENG_ALLOC'!$D$29:$P$58,(IFERROR(VALUE(MID('IN_COST'!$F$46,FIND(":",'IN_COST'!$F$46)+1,2)),1)-1)*6+5,8)</f>
        <v/>
      </c>
      <c r="L158" s="33">
        <f>INDEX('ENG_ALLOC'!$D$29:$P$58,(IFERROR(VALUE(MID('IN_COST'!$F$46,FIND(":",'IN_COST'!$F$46)+1,2)),1)-1)*6+5,9)</f>
        <v/>
      </c>
      <c r="M158" s="33">
        <f>INDEX('ENG_ALLOC'!$D$29:$P$58,(IFERROR(VALUE(MID('IN_COST'!$F$46,FIND(":",'IN_COST'!$F$46)+1,2)),1)-1)*6+5,10)</f>
        <v/>
      </c>
      <c r="N158" s="33">
        <f>INDEX('ENG_ALLOC'!$D$29:$P$58,(IFERROR(VALUE(MID('IN_COST'!$F$46,FIND(":",'IN_COST'!$F$46)+1,2)),1)-1)*6+5,11)</f>
        <v/>
      </c>
      <c r="O158" s="33">
        <f>INDEX('ENG_ALLOC'!$D$29:$P$58,(IFERROR(VALUE(MID('IN_COST'!$F$46,FIND(":",'IN_COST'!$F$46)+1,2)),1)-1)*6+5,12)</f>
        <v/>
      </c>
      <c r="P158" s="33">
        <f>INDEX('ENG_ALLOC'!$D$29:$P$58,(IFERROR(VALUE(MID('IN_COST'!$F$46,FIND(":",'IN_COST'!$F$46)+1,2)),1)-1)*6+5,13)</f>
        <v/>
      </c>
    </row>
    <row r="159">
      <c r="A159" s="15" t="inlineStr">
        <is>
          <t>OPC-08 ← ایستگاه 6</t>
        </is>
      </c>
      <c r="B159" s="16" t="inlineStr"/>
      <c r="C159" s="17" t="inlineStr">
        <is>
          <t>میلیون ریال</t>
        </is>
      </c>
      <c r="D159" s="33">
        <f>INDEX('ENG_ALLOC'!$D$29:$P$58,(IFERROR(VALUE(MID('IN_COST'!$F$46,FIND(":",'IN_COST'!$F$46)+1,2)),1)-1)*6+6,1)</f>
        <v/>
      </c>
      <c r="E159" s="33">
        <f>INDEX('ENG_ALLOC'!$D$29:$P$58,(IFERROR(VALUE(MID('IN_COST'!$F$46,FIND(":",'IN_COST'!$F$46)+1,2)),1)-1)*6+6,2)</f>
        <v/>
      </c>
      <c r="F159" s="33">
        <f>INDEX('ENG_ALLOC'!$D$29:$P$58,(IFERROR(VALUE(MID('IN_COST'!$F$46,FIND(":",'IN_COST'!$F$46)+1,2)),1)-1)*6+6,3)</f>
        <v/>
      </c>
      <c r="G159" s="33">
        <f>INDEX('ENG_ALLOC'!$D$29:$P$58,(IFERROR(VALUE(MID('IN_COST'!$F$46,FIND(":",'IN_COST'!$F$46)+1,2)),1)-1)*6+6,4)</f>
        <v/>
      </c>
      <c r="H159" s="33">
        <f>INDEX('ENG_ALLOC'!$D$29:$P$58,(IFERROR(VALUE(MID('IN_COST'!$F$46,FIND(":",'IN_COST'!$F$46)+1,2)),1)-1)*6+6,5)</f>
        <v/>
      </c>
      <c r="I159" s="33">
        <f>INDEX('ENG_ALLOC'!$D$29:$P$58,(IFERROR(VALUE(MID('IN_COST'!$F$46,FIND(":",'IN_COST'!$F$46)+1,2)),1)-1)*6+6,6)</f>
        <v/>
      </c>
      <c r="J159" s="33">
        <f>INDEX('ENG_ALLOC'!$D$29:$P$58,(IFERROR(VALUE(MID('IN_COST'!$F$46,FIND(":",'IN_COST'!$F$46)+1,2)),1)-1)*6+6,7)</f>
        <v/>
      </c>
      <c r="K159" s="33">
        <f>INDEX('ENG_ALLOC'!$D$29:$P$58,(IFERROR(VALUE(MID('IN_COST'!$F$46,FIND(":",'IN_COST'!$F$46)+1,2)),1)-1)*6+6,8)</f>
        <v/>
      </c>
      <c r="L159" s="33">
        <f>INDEX('ENG_ALLOC'!$D$29:$P$58,(IFERROR(VALUE(MID('IN_COST'!$F$46,FIND(":",'IN_COST'!$F$46)+1,2)),1)-1)*6+6,9)</f>
        <v/>
      </c>
      <c r="M159" s="33">
        <f>INDEX('ENG_ALLOC'!$D$29:$P$58,(IFERROR(VALUE(MID('IN_COST'!$F$46,FIND(":",'IN_COST'!$F$46)+1,2)),1)-1)*6+6,10)</f>
        <v/>
      </c>
      <c r="N159" s="33">
        <f>INDEX('ENG_ALLOC'!$D$29:$P$58,(IFERROR(VALUE(MID('IN_COST'!$F$46,FIND(":",'IN_COST'!$F$46)+1,2)),1)-1)*6+6,11)</f>
        <v/>
      </c>
      <c r="O159" s="33">
        <f>INDEX('ENG_ALLOC'!$D$29:$P$58,(IFERROR(VALUE(MID('IN_COST'!$F$46,FIND(":",'IN_COST'!$F$46)+1,2)),1)-1)*6+6,12)</f>
        <v/>
      </c>
      <c r="P159" s="33">
        <f>INDEX('ENG_ALLOC'!$D$29:$P$58,(IFERROR(VALUE(MID('IN_COST'!$F$46,FIND(":",'IN_COST'!$F$46)+1,2)),1)-1)*6+6,13)</f>
        <v/>
      </c>
    </row>
    <row r="160">
      <c r="A160" s="15" t="inlineStr">
        <is>
          <t>OPC-09 ← ایستگاه 1</t>
        </is>
      </c>
      <c r="B160" s="16" t="inlineStr"/>
      <c r="C160" s="17" t="inlineStr">
        <is>
          <t>میلیون ریال</t>
        </is>
      </c>
      <c r="D160" s="33">
        <f>'ENG_COST'!$D$61*'ENG_COST'!$D$32</f>
        <v/>
      </c>
      <c r="E160" s="33">
        <f>'ENG_COST'!$E$61*'ENG_COST'!$D$32</f>
        <v/>
      </c>
      <c r="F160" s="33">
        <f>'ENG_COST'!$F$61*'ENG_COST'!$D$32</f>
        <v/>
      </c>
      <c r="G160" s="33">
        <f>'ENG_COST'!$G$61*'ENG_COST'!$D$32</f>
        <v/>
      </c>
      <c r="H160" s="33">
        <f>'ENG_COST'!$H$61*'ENG_COST'!$D$32</f>
        <v/>
      </c>
      <c r="I160" s="33">
        <f>'ENG_COST'!$I$61*'ENG_COST'!$D$32</f>
        <v/>
      </c>
      <c r="J160" s="33">
        <f>'ENG_COST'!$J$61*'ENG_COST'!$D$32</f>
        <v/>
      </c>
      <c r="K160" s="33">
        <f>'ENG_COST'!$K$61*'ENG_COST'!$D$32</f>
        <v/>
      </c>
      <c r="L160" s="33">
        <f>'ENG_COST'!$L$61*'ENG_COST'!$D$32</f>
        <v/>
      </c>
      <c r="M160" s="33">
        <f>'ENG_COST'!$M$61*'ENG_COST'!$D$32</f>
        <v/>
      </c>
      <c r="N160" s="33">
        <f>'ENG_COST'!$N$61*'ENG_COST'!$D$32</f>
        <v/>
      </c>
      <c r="O160" s="33">
        <f>'ENG_COST'!$O$61*'ENG_COST'!$D$32</f>
        <v/>
      </c>
      <c r="P160" s="33">
        <f>'ENG_COST'!$P$61*'ENG_COST'!$D$32</f>
        <v/>
      </c>
    </row>
    <row r="161">
      <c r="A161" s="15" t="inlineStr">
        <is>
          <t>OPC-09 ← ایستگاه 2</t>
        </is>
      </c>
      <c r="B161" s="16" t="inlineStr"/>
      <c r="C161" s="17" t="inlineStr">
        <is>
          <t>میلیون ریال</t>
        </is>
      </c>
      <c r="D161" s="33">
        <f>'ENG_COST'!$D$61*'ENG_COST'!$E$32</f>
        <v/>
      </c>
      <c r="E161" s="33">
        <f>'ENG_COST'!$E$61*'ENG_COST'!$E$32</f>
        <v/>
      </c>
      <c r="F161" s="33">
        <f>'ENG_COST'!$F$61*'ENG_COST'!$E$32</f>
        <v/>
      </c>
      <c r="G161" s="33">
        <f>'ENG_COST'!$G$61*'ENG_COST'!$E$32</f>
        <v/>
      </c>
      <c r="H161" s="33">
        <f>'ENG_COST'!$H$61*'ENG_COST'!$E$32</f>
        <v/>
      </c>
      <c r="I161" s="33">
        <f>'ENG_COST'!$I$61*'ENG_COST'!$E$32</f>
        <v/>
      </c>
      <c r="J161" s="33">
        <f>'ENG_COST'!$J$61*'ENG_COST'!$E$32</f>
        <v/>
      </c>
      <c r="K161" s="33">
        <f>'ENG_COST'!$K$61*'ENG_COST'!$E$32</f>
        <v/>
      </c>
      <c r="L161" s="33">
        <f>'ENG_COST'!$L$61*'ENG_COST'!$E$32</f>
        <v/>
      </c>
      <c r="M161" s="33">
        <f>'ENG_COST'!$M$61*'ENG_COST'!$E$32</f>
        <v/>
      </c>
      <c r="N161" s="33">
        <f>'ENG_COST'!$N$61*'ENG_COST'!$E$32</f>
        <v/>
      </c>
      <c r="O161" s="33">
        <f>'ENG_COST'!$O$61*'ENG_COST'!$E$32</f>
        <v/>
      </c>
      <c r="P161" s="33">
        <f>'ENG_COST'!$P$61*'ENG_COST'!$E$32</f>
        <v/>
      </c>
    </row>
    <row r="162">
      <c r="A162" s="15" t="inlineStr">
        <is>
          <t>OPC-09 ← ایستگاه 3</t>
        </is>
      </c>
      <c r="B162" s="16" t="inlineStr"/>
      <c r="C162" s="17" t="inlineStr">
        <is>
          <t>میلیون ریال</t>
        </is>
      </c>
      <c r="D162" s="33">
        <f>'ENG_COST'!$D$61*'ENG_COST'!$F$32</f>
        <v/>
      </c>
      <c r="E162" s="33">
        <f>'ENG_COST'!$E$61*'ENG_COST'!$F$32</f>
        <v/>
      </c>
      <c r="F162" s="33">
        <f>'ENG_COST'!$F$61*'ENG_COST'!$F$32</f>
        <v/>
      </c>
      <c r="G162" s="33">
        <f>'ENG_COST'!$G$61*'ENG_COST'!$F$32</f>
        <v/>
      </c>
      <c r="H162" s="33">
        <f>'ENG_COST'!$H$61*'ENG_COST'!$F$32</f>
        <v/>
      </c>
      <c r="I162" s="33">
        <f>'ENG_COST'!$I$61*'ENG_COST'!$F$32</f>
        <v/>
      </c>
      <c r="J162" s="33">
        <f>'ENG_COST'!$J$61*'ENG_COST'!$F$32</f>
        <v/>
      </c>
      <c r="K162" s="33">
        <f>'ENG_COST'!$K$61*'ENG_COST'!$F$32</f>
        <v/>
      </c>
      <c r="L162" s="33">
        <f>'ENG_COST'!$L$61*'ENG_COST'!$F$32</f>
        <v/>
      </c>
      <c r="M162" s="33">
        <f>'ENG_COST'!$M$61*'ENG_COST'!$F$32</f>
        <v/>
      </c>
      <c r="N162" s="33">
        <f>'ENG_COST'!$N$61*'ENG_COST'!$F$32</f>
        <v/>
      </c>
      <c r="O162" s="33">
        <f>'ENG_COST'!$O$61*'ENG_COST'!$F$32</f>
        <v/>
      </c>
      <c r="P162" s="33">
        <f>'ENG_COST'!$P$61*'ENG_COST'!$F$32</f>
        <v/>
      </c>
    </row>
    <row r="163">
      <c r="A163" s="15" t="inlineStr">
        <is>
          <t>OPC-09 ← ایستگاه 4</t>
        </is>
      </c>
      <c r="B163" s="16" t="inlineStr"/>
      <c r="C163" s="17" t="inlineStr">
        <is>
          <t>میلیون ریال</t>
        </is>
      </c>
      <c r="D163" s="33">
        <f>'ENG_COST'!$D$61*'ENG_COST'!$G$32</f>
        <v/>
      </c>
      <c r="E163" s="33">
        <f>'ENG_COST'!$E$61*'ENG_COST'!$G$32</f>
        <v/>
      </c>
      <c r="F163" s="33">
        <f>'ENG_COST'!$F$61*'ENG_COST'!$G$32</f>
        <v/>
      </c>
      <c r="G163" s="33">
        <f>'ENG_COST'!$G$61*'ENG_COST'!$G$32</f>
        <v/>
      </c>
      <c r="H163" s="33">
        <f>'ENG_COST'!$H$61*'ENG_COST'!$G$32</f>
        <v/>
      </c>
      <c r="I163" s="33">
        <f>'ENG_COST'!$I$61*'ENG_COST'!$G$32</f>
        <v/>
      </c>
      <c r="J163" s="33">
        <f>'ENG_COST'!$J$61*'ENG_COST'!$G$32</f>
        <v/>
      </c>
      <c r="K163" s="33">
        <f>'ENG_COST'!$K$61*'ENG_COST'!$G$32</f>
        <v/>
      </c>
      <c r="L163" s="33">
        <f>'ENG_COST'!$L$61*'ENG_COST'!$G$32</f>
        <v/>
      </c>
      <c r="M163" s="33">
        <f>'ENG_COST'!$M$61*'ENG_COST'!$G$32</f>
        <v/>
      </c>
      <c r="N163" s="33">
        <f>'ENG_COST'!$N$61*'ENG_COST'!$G$32</f>
        <v/>
      </c>
      <c r="O163" s="33">
        <f>'ENG_COST'!$O$61*'ENG_COST'!$G$32</f>
        <v/>
      </c>
      <c r="P163" s="33">
        <f>'ENG_COST'!$P$61*'ENG_COST'!$G$32</f>
        <v/>
      </c>
    </row>
    <row r="164">
      <c r="A164" s="15" t="inlineStr">
        <is>
          <t>OPC-09 ← ایستگاه 5</t>
        </is>
      </c>
      <c r="B164" s="16" t="inlineStr"/>
      <c r="C164" s="17" t="inlineStr">
        <is>
          <t>میلیون ریال</t>
        </is>
      </c>
      <c r="D164" s="33">
        <f>'ENG_COST'!$D$61*'ENG_COST'!$H$32</f>
        <v/>
      </c>
      <c r="E164" s="33">
        <f>'ENG_COST'!$E$61*'ENG_COST'!$H$32</f>
        <v/>
      </c>
      <c r="F164" s="33">
        <f>'ENG_COST'!$F$61*'ENG_COST'!$H$32</f>
        <v/>
      </c>
      <c r="G164" s="33">
        <f>'ENG_COST'!$G$61*'ENG_COST'!$H$32</f>
        <v/>
      </c>
      <c r="H164" s="33">
        <f>'ENG_COST'!$H$61*'ENG_COST'!$H$32</f>
        <v/>
      </c>
      <c r="I164" s="33">
        <f>'ENG_COST'!$I$61*'ENG_COST'!$H$32</f>
        <v/>
      </c>
      <c r="J164" s="33">
        <f>'ENG_COST'!$J$61*'ENG_COST'!$H$32</f>
        <v/>
      </c>
      <c r="K164" s="33">
        <f>'ENG_COST'!$K$61*'ENG_COST'!$H$32</f>
        <v/>
      </c>
      <c r="L164" s="33">
        <f>'ENG_COST'!$L$61*'ENG_COST'!$H$32</f>
        <v/>
      </c>
      <c r="M164" s="33">
        <f>'ENG_COST'!$M$61*'ENG_COST'!$H$32</f>
        <v/>
      </c>
      <c r="N164" s="33">
        <f>'ENG_COST'!$N$61*'ENG_COST'!$H$32</f>
        <v/>
      </c>
      <c r="O164" s="33">
        <f>'ENG_COST'!$O$61*'ENG_COST'!$H$32</f>
        <v/>
      </c>
      <c r="P164" s="33">
        <f>'ENG_COST'!$P$61*'ENG_COST'!$H$32</f>
        <v/>
      </c>
    </row>
    <row r="165">
      <c r="A165" s="15" t="inlineStr">
        <is>
          <t>OPC-09 ← ایستگاه 6</t>
        </is>
      </c>
      <c r="B165" s="16" t="inlineStr"/>
      <c r="C165" s="17" t="inlineStr">
        <is>
          <t>میلیون ریال</t>
        </is>
      </c>
      <c r="D165" s="33">
        <f>'ENG_COST'!$D$61*'ENG_COST'!$I$32</f>
        <v/>
      </c>
      <c r="E165" s="33">
        <f>'ENG_COST'!$E$61*'ENG_COST'!$I$32</f>
        <v/>
      </c>
      <c r="F165" s="33">
        <f>'ENG_COST'!$F$61*'ENG_COST'!$I$32</f>
        <v/>
      </c>
      <c r="G165" s="33">
        <f>'ENG_COST'!$G$61*'ENG_COST'!$I$32</f>
        <v/>
      </c>
      <c r="H165" s="33">
        <f>'ENG_COST'!$H$61*'ENG_COST'!$I$32</f>
        <v/>
      </c>
      <c r="I165" s="33">
        <f>'ENG_COST'!$I$61*'ENG_COST'!$I$32</f>
        <v/>
      </c>
      <c r="J165" s="33">
        <f>'ENG_COST'!$J$61*'ENG_COST'!$I$32</f>
        <v/>
      </c>
      <c r="K165" s="33">
        <f>'ENG_COST'!$K$61*'ENG_COST'!$I$32</f>
        <v/>
      </c>
      <c r="L165" s="33">
        <f>'ENG_COST'!$L$61*'ENG_COST'!$I$32</f>
        <v/>
      </c>
      <c r="M165" s="33">
        <f>'ENG_COST'!$M$61*'ENG_COST'!$I$32</f>
        <v/>
      </c>
      <c r="N165" s="33">
        <f>'ENG_COST'!$N$61*'ENG_COST'!$I$32</f>
        <v/>
      </c>
      <c r="O165" s="33">
        <f>'ENG_COST'!$O$61*'ENG_COST'!$I$32</f>
        <v/>
      </c>
      <c r="P165" s="33">
        <f>'ENG_COST'!$P$61*'ENG_COST'!$I$32</f>
        <v/>
      </c>
    </row>
    <row r="166">
      <c r="A166" s="15" t="inlineStr">
        <is>
          <t>FPC-01 ← ایستگاه 1</t>
        </is>
      </c>
      <c r="B166" s="16" t="inlineStr"/>
      <c r="C166" s="17" t="inlineStr">
        <is>
          <t>میلیون ریال</t>
        </is>
      </c>
      <c r="D166" s="33">
        <f>'ENG_COST'!$D$62*'ENG_COST'!$D$33</f>
        <v/>
      </c>
      <c r="E166" s="33">
        <f>'ENG_COST'!$E$62*'ENG_COST'!$D$33</f>
        <v/>
      </c>
      <c r="F166" s="33">
        <f>'ENG_COST'!$F$62*'ENG_COST'!$D$33</f>
        <v/>
      </c>
      <c r="G166" s="33">
        <f>'ENG_COST'!$G$62*'ENG_COST'!$D$33</f>
        <v/>
      </c>
      <c r="H166" s="33">
        <f>'ENG_COST'!$H$62*'ENG_COST'!$D$33</f>
        <v/>
      </c>
      <c r="I166" s="33">
        <f>'ENG_COST'!$I$62*'ENG_COST'!$D$33</f>
        <v/>
      </c>
      <c r="J166" s="33">
        <f>'ENG_COST'!$J$62*'ENG_COST'!$D$33</f>
        <v/>
      </c>
      <c r="K166" s="33">
        <f>'ENG_COST'!$K$62*'ENG_COST'!$D$33</f>
        <v/>
      </c>
      <c r="L166" s="33">
        <f>'ENG_COST'!$L$62*'ENG_COST'!$D$33</f>
        <v/>
      </c>
      <c r="M166" s="33">
        <f>'ENG_COST'!$M$62*'ENG_COST'!$D$33</f>
        <v/>
      </c>
      <c r="N166" s="33">
        <f>'ENG_COST'!$N$62*'ENG_COST'!$D$33</f>
        <v/>
      </c>
      <c r="O166" s="33">
        <f>'ENG_COST'!$O$62*'ENG_COST'!$D$33</f>
        <v/>
      </c>
      <c r="P166" s="33">
        <f>'ENG_COST'!$P$62*'ENG_COST'!$D$33</f>
        <v/>
      </c>
    </row>
    <row r="167">
      <c r="A167" s="15" t="inlineStr">
        <is>
          <t>FPC-01 ← ایستگاه 2</t>
        </is>
      </c>
      <c r="B167" s="16" t="inlineStr"/>
      <c r="C167" s="17" t="inlineStr">
        <is>
          <t>میلیون ریال</t>
        </is>
      </c>
      <c r="D167" s="33">
        <f>'ENG_COST'!$D$62*'ENG_COST'!$E$33</f>
        <v/>
      </c>
      <c r="E167" s="33">
        <f>'ENG_COST'!$E$62*'ENG_COST'!$E$33</f>
        <v/>
      </c>
      <c r="F167" s="33">
        <f>'ENG_COST'!$F$62*'ENG_COST'!$E$33</f>
        <v/>
      </c>
      <c r="G167" s="33">
        <f>'ENG_COST'!$G$62*'ENG_COST'!$E$33</f>
        <v/>
      </c>
      <c r="H167" s="33">
        <f>'ENG_COST'!$H$62*'ENG_COST'!$E$33</f>
        <v/>
      </c>
      <c r="I167" s="33">
        <f>'ENG_COST'!$I$62*'ENG_COST'!$E$33</f>
        <v/>
      </c>
      <c r="J167" s="33">
        <f>'ENG_COST'!$J$62*'ENG_COST'!$E$33</f>
        <v/>
      </c>
      <c r="K167" s="33">
        <f>'ENG_COST'!$K$62*'ENG_COST'!$E$33</f>
        <v/>
      </c>
      <c r="L167" s="33">
        <f>'ENG_COST'!$L$62*'ENG_COST'!$E$33</f>
        <v/>
      </c>
      <c r="M167" s="33">
        <f>'ENG_COST'!$M$62*'ENG_COST'!$E$33</f>
        <v/>
      </c>
      <c r="N167" s="33">
        <f>'ENG_COST'!$N$62*'ENG_COST'!$E$33</f>
        <v/>
      </c>
      <c r="O167" s="33">
        <f>'ENG_COST'!$O$62*'ENG_COST'!$E$33</f>
        <v/>
      </c>
      <c r="P167" s="33">
        <f>'ENG_COST'!$P$62*'ENG_COST'!$E$33</f>
        <v/>
      </c>
    </row>
    <row r="168">
      <c r="A168" s="15" t="inlineStr">
        <is>
          <t>FPC-01 ← ایستگاه 3</t>
        </is>
      </c>
      <c r="B168" s="16" t="inlineStr"/>
      <c r="C168" s="17" t="inlineStr">
        <is>
          <t>میلیون ریال</t>
        </is>
      </c>
      <c r="D168" s="33">
        <f>'ENG_COST'!$D$62*'ENG_COST'!$F$33</f>
        <v/>
      </c>
      <c r="E168" s="33">
        <f>'ENG_COST'!$E$62*'ENG_COST'!$F$33</f>
        <v/>
      </c>
      <c r="F168" s="33">
        <f>'ENG_COST'!$F$62*'ENG_COST'!$F$33</f>
        <v/>
      </c>
      <c r="G168" s="33">
        <f>'ENG_COST'!$G$62*'ENG_COST'!$F$33</f>
        <v/>
      </c>
      <c r="H168" s="33">
        <f>'ENG_COST'!$H$62*'ENG_COST'!$F$33</f>
        <v/>
      </c>
      <c r="I168" s="33">
        <f>'ENG_COST'!$I$62*'ENG_COST'!$F$33</f>
        <v/>
      </c>
      <c r="J168" s="33">
        <f>'ENG_COST'!$J$62*'ENG_COST'!$F$33</f>
        <v/>
      </c>
      <c r="K168" s="33">
        <f>'ENG_COST'!$K$62*'ENG_COST'!$F$33</f>
        <v/>
      </c>
      <c r="L168" s="33">
        <f>'ENG_COST'!$L$62*'ENG_COST'!$F$33</f>
        <v/>
      </c>
      <c r="M168" s="33">
        <f>'ENG_COST'!$M$62*'ENG_COST'!$F$33</f>
        <v/>
      </c>
      <c r="N168" s="33">
        <f>'ENG_COST'!$N$62*'ENG_COST'!$F$33</f>
        <v/>
      </c>
      <c r="O168" s="33">
        <f>'ENG_COST'!$O$62*'ENG_COST'!$F$33</f>
        <v/>
      </c>
      <c r="P168" s="33">
        <f>'ENG_COST'!$P$62*'ENG_COST'!$F$33</f>
        <v/>
      </c>
    </row>
    <row r="169">
      <c r="A169" s="15" t="inlineStr">
        <is>
          <t>FPC-01 ← ایستگاه 4</t>
        </is>
      </c>
      <c r="B169" s="16" t="inlineStr"/>
      <c r="C169" s="17" t="inlineStr">
        <is>
          <t>میلیون ریال</t>
        </is>
      </c>
      <c r="D169" s="33">
        <f>'ENG_COST'!$D$62*'ENG_COST'!$G$33</f>
        <v/>
      </c>
      <c r="E169" s="33">
        <f>'ENG_COST'!$E$62*'ENG_COST'!$G$33</f>
        <v/>
      </c>
      <c r="F169" s="33">
        <f>'ENG_COST'!$F$62*'ENG_COST'!$G$33</f>
        <v/>
      </c>
      <c r="G169" s="33">
        <f>'ENG_COST'!$G$62*'ENG_COST'!$G$33</f>
        <v/>
      </c>
      <c r="H169" s="33">
        <f>'ENG_COST'!$H$62*'ENG_COST'!$G$33</f>
        <v/>
      </c>
      <c r="I169" s="33">
        <f>'ENG_COST'!$I$62*'ENG_COST'!$G$33</f>
        <v/>
      </c>
      <c r="J169" s="33">
        <f>'ENG_COST'!$J$62*'ENG_COST'!$G$33</f>
        <v/>
      </c>
      <c r="K169" s="33">
        <f>'ENG_COST'!$K$62*'ENG_COST'!$G$33</f>
        <v/>
      </c>
      <c r="L169" s="33">
        <f>'ENG_COST'!$L$62*'ENG_COST'!$G$33</f>
        <v/>
      </c>
      <c r="M169" s="33">
        <f>'ENG_COST'!$M$62*'ENG_COST'!$G$33</f>
        <v/>
      </c>
      <c r="N169" s="33">
        <f>'ENG_COST'!$N$62*'ENG_COST'!$G$33</f>
        <v/>
      </c>
      <c r="O169" s="33">
        <f>'ENG_COST'!$O$62*'ENG_COST'!$G$33</f>
        <v/>
      </c>
      <c r="P169" s="33">
        <f>'ENG_COST'!$P$62*'ENG_COST'!$G$33</f>
        <v/>
      </c>
    </row>
    <row r="170">
      <c r="A170" s="15" t="inlineStr">
        <is>
          <t>FPC-01 ← ایستگاه 5</t>
        </is>
      </c>
      <c r="B170" s="16" t="inlineStr"/>
      <c r="C170" s="17" t="inlineStr">
        <is>
          <t>میلیون ریال</t>
        </is>
      </c>
      <c r="D170" s="33">
        <f>'ENG_COST'!$D$62*'ENG_COST'!$H$33</f>
        <v/>
      </c>
      <c r="E170" s="33">
        <f>'ENG_COST'!$E$62*'ENG_COST'!$H$33</f>
        <v/>
      </c>
      <c r="F170" s="33">
        <f>'ENG_COST'!$F$62*'ENG_COST'!$H$33</f>
        <v/>
      </c>
      <c r="G170" s="33">
        <f>'ENG_COST'!$G$62*'ENG_COST'!$H$33</f>
        <v/>
      </c>
      <c r="H170" s="33">
        <f>'ENG_COST'!$H$62*'ENG_COST'!$H$33</f>
        <v/>
      </c>
      <c r="I170" s="33">
        <f>'ENG_COST'!$I$62*'ENG_COST'!$H$33</f>
        <v/>
      </c>
      <c r="J170" s="33">
        <f>'ENG_COST'!$J$62*'ENG_COST'!$H$33</f>
        <v/>
      </c>
      <c r="K170" s="33">
        <f>'ENG_COST'!$K$62*'ENG_COST'!$H$33</f>
        <v/>
      </c>
      <c r="L170" s="33">
        <f>'ENG_COST'!$L$62*'ENG_COST'!$H$33</f>
        <v/>
      </c>
      <c r="M170" s="33">
        <f>'ENG_COST'!$M$62*'ENG_COST'!$H$33</f>
        <v/>
      </c>
      <c r="N170" s="33">
        <f>'ENG_COST'!$N$62*'ENG_COST'!$H$33</f>
        <v/>
      </c>
      <c r="O170" s="33">
        <f>'ENG_COST'!$O$62*'ENG_COST'!$H$33</f>
        <v/>
      </c>
      <c r="P170" s="33">
        <f>'ENG_COST'!$P$62*'ENG_COST'!$H$33</f>
        <v/>
      </c>
    </row>
    <row r="171">
      <c r="A171" s="15" t="inlineStr">
        <is>
          <t>FPC-01 ← ایستگاه 6</t>
        </is>
      </c>
      <c r="B171" s="16" t="inlineStr"/>
      <c r="C171" s="17" t="inlineStr">
        <is>
          <t>میلیون ریال</t>
        </is>
      </c>
      <c r="D171" s="33">
        <f>'ENG_COST'!$D$62*'ENG_COST'!$I$33</f>
        <v/>
      </c>
      <c r="E171" s="33">
        <f>'ENG_COST'!$E$62*'ENG_COST'!$I$33</f>
        <v/>
      </c>
      <c r="F171" s="33">
        <f>'ENG_COST'!$F$62*'ENG_COST'!$I$33</f>
        <v/>
      </c>
      <c r="G171" s="33">
        <f>'ENG_COST'!$G$62*'ENG_COST'!$I$33</f>
        <v/>
      </c>
      <c r="H171" s="33">
        <f>'ENG_COST'!$H$62*'ENG_COST'!$I$33</f>
        <v/>
      </c>
      <c r="I171" s="33">
        <f>'ENG_COST'!$I$62*'ENG_COST'!$I$33</f>
        <v/>
      </c>
      <c r="J171" s="33">
        <f>'ENG_COST'!$J$62*'ENG_COST'!$I$33</f>
        <v/>
      </c>
      <c r="K171" s="33">
        <f>'ENG_COST'!$K$62*'ENG_COST'!$I$33</f>
        <v/>
      </c>
      <c r="L171" s="33">
        <f>'ENG_COST'!$L$62*'ENG_COST'!$I$33</f>
        <v/>
      </c>
      <c r="M171" s="33">
        <f>'ENG_COST'!$M$62*'ENG_COST'!$I$33</f>
        <v/>
      </c>
      <c r="N171" s="33">
        <f>'ENG_COST'!$N$62*'ENG_COST'!$I$33</f>
        <v/>
      </c>
      <c r="O171" s="33">
        <f>'ENG_COST'!$O$62*'ENG_COST'!$I$33</f>
        <v/>
      </c>
      <c r="P171" s="33">
        <f>'ENG_COST'!$P$62*'ENG_COST'!$I$33</f>
        <v/>
      </c>
    </row>
    <row r="172">
      <c r="A172" s="15" t="inlineStr">
        <is>
          <t>FPC-02 ← ایستگاه 1</t>
        </is>
      </c>
      <c r="B172" s="16" t="inlineStr"/>
      <c r="C172" s="17" t="inlineStr">
        <is>
          <t>میلیون ریال</t>
        </is>
      </c>
      <c r="D172" s="33">
        <f>'ENG_COST'!$D$63*'ENG_COST'!$D$34</f>
        <v/>
      </c>
      <c r="E172" s="33">
        <f>'ENG_COST'!$E$63*'ENG_COST'!$D$34</f>
        <v/>
      </c>
      <c r="F172" s="33">
        <f>'ENG_COST'!$F$63*'ENG_COST'!$D$34</f>
        <v/>
      </c>
      <c r="G172" s="33">
        <f>'ENG_COST'!$G$63*'ENG_COST'!$D$34</f>
        <v/>
      </c>
      <c r="H172" s="33">
        <f>'ENG_COST'!$H$63*'ENG_COST'!$D$34</f>
        <v/>
      </c>
      <c r="I172" s="33">
        <f>'ENG_COST'!$I$63*'ENG_COST'!$D$34</f>
        <v/>
      </c>
      <c r="J172" s="33">
        <f>'ENG_COST'!$J$63*'ENG_COST'!$D$34</f>
        <v/>
      </c>
      <c r="K172" s="33">
        <f>'ENG_COST'!$K$63*'ENG_COST'!$D$34</f>
        <v/>
      </c>
      <c r="L172" s="33">
        <f>'ENG_COST'!$L$63*'ENG_COST'!$D$34</f>
        <v/>
      </c>
      <c r="M172" s="33">
        <f>'ENG_COST'!$M$63*'ENG_COST'!$D$34</f>
        <v/>
      </c>
      <c r="N172" s="33">
        <f>'ENG_COST'!$N$63*'ENG_COST'!$D$34</f>
        <v/>
      </c>
      <c r="O172" s="33">
        <f>'ENG_COST'!$O$63*'ENG_COST'!$D$34</f>
        <v/>
      </c>
      <c r="P172" s="33">
        <f>'ENG_COST'!$P$63*'ENG_COST'!$D$34</f>
        <v/>
      </c>
    </row>
    <row r="173">
      <c r="A173" s="15" t="inlineStr">
        <is>
          <t>FPC-02 ← ایستگاه 2</t>
        </is>
      </c>
      <c r="B173" s="16" t="inlineStr"/>
      <c r="C173" s="17" t="inlineStr">
        <is>
          <t>میلیون ریال</t>
        </is>
      </c>
      <c r="D173" s="33">
        <f>'ENG_COST'!$D$63*'ENG_COST'!$E$34</f>
        <v/>
      </c>
      <c r="E173" s="33">
        <f>'ENG_COST'!$E$63*'ENG_COST'!$E$34</f>
        <v/>
      </c>
      <c r="F173" s="33">
        <f>'ENG_COST'!$F$63*'ENG_COST'!$E$34</f>
        <v/>
      </c>
      <c r="G173" s="33">
        <f>'ENG_COST'!$G$63*'ENG_COST'!$E$34</f>
        <v/>
      </c>
      <c r="H173" s="33">
        <f>'ENG_COST'!$H$63*'ENG_COST'!$E$34</f>
        <v/>
      </c>
      <c r="I173" s="33">
        <f>'ENG_COST'!$I$63*'ENG_COST'!$E$34</f>
        <v/>
      </c>
      <c r="J173" s="33">
        <f>'ENG_COST'!$J$63*'ENG_COST'!$E$34</f>
        <v/>
      </c>
      <c r="K173" s="33">
        <f>'ENG_COST'!$K$63*'ENG_COST'!$E$34</f>
        <v/>
      </c>
      <c r="L173" s="33">
        <f>'ENG_COST'!$L$63*'ENG_COST'!$E$34</f>
        <v/>
      </c>
      <c r="M173" s="33">
        <f>'ENG_COST'!$M$63*'ENG_COST'!$E$34</f>
        <v/>
      </c>
      <c r="N173" s="33">
        <f>'ENG_COST'!$N$63*'ENG_COST'!$E$34</f>
        <v/>
      </c>
      <c r="O173" s="33">
        <f>'ENG_COST'!$O$63*'ENG_COST'!$E$34</f>
        <v/>
      </c>
      <c r="P173" s="33">
        <f>'ENG_COST'!$P$63*'ENG_COST'!$E$34</f>
        <v/>
      </c>
    </row>
    <row r="174">
      <c r="A174" s="15" t="inlineStr">
        <is>
          <t>FPC-02 ← ایستگاه 3</t>
        </is>
      </c>
      <c r="B174" s="16" t="inlineStr"/>
      <c r="C174" s="17" t="inlineStr">
        <is>
          <t>میلیون ریال</t>
        </is>
      </c>
      <c r="D174" s="33">
        <f>'ENG_COST'!$D$63*'ENG_COST'!$F$34</f>
        <v/>
      </c>
      <c r="E174" s="33">
        <f>'ENG_COST'!$E$63*'ENG_COST'!$F$34</f>
        <v/>
      </c>
      <c r="F174" s="33">
        <f>'ENG_COST'!$F$63*'ENG_COST'!$F$34</f>
        <v/>
      </c>
      <c r="G174" s="33">
        <f>'ENG_COST'!$G$63*'ENG_COST'!$F$34</f>
        <v/>
      </c>
      <c r="H174" s="33">
        <f>'ENG_COST'!$H$63*'ENG_COST'!$F$34</f>
        <v/>
      </c>
      <c r="I174" s="33">
        <f>'ENG_COST'!$I$63*'ENG_COST'!$F$34</f>
        <v/>
      </c>
      <c r="J174" s="33">
        <f>'ENG_COST'!$J$63*'ENG_COST'!$F$34</f>
        <v/>
      </c>
      <c r="K174" s="33">
        <f>'ENG_COST'!$K$63*'ENG_COST'!$F$34</f>
        <v/>
      </c>
      <c r="L174" s="33">
        <f>'ENG_COST'!$L$63*'ENG_COST'!$F$34</f>
        <v/>
      </c>
      <c r="M174" s="33">
        <f>'ENG_COST'!$M$63*'ENG_COST'!$F$34</f>
        <v/>
      </c>
      <c r="N174" s="33">
        <f>'ENG_COST'!$N$63*'ENG_COST'!$F$34</f>
        <v/>
      </c>
      <c r="O174" s="33">
        <f>'ENG_COST'!$O$63*'ENG_COST'!$F$34</f>
        <v/>
      </c>
      <c r="P174" s="33">
        <f>'ENG_COST'!$P$63*'ENG_COST'!$F$34</f>
        <v/>
      </c>
    </row>
    <row r="175">
      <c r="A175" s="15" t="inlineStr">
        <is>
          <t>FPC-02 ← ایستگاه 4</t>
        </is>
      </c>
      <c r="B175" s="16" t="inlineStr"/>
      <c r="C175" s="17" t="inlineStr">
        <is>
          <t>میلیون ریال</t>
        </is>
      </c>
      <c r="D175" s="33">
        <f>'ENG_COST'!$D$63*'ENG_COST'!$G$34</f>
        <v/>
      </c>
      <c r="E175" s="33">
        <f>'ENG_COST'!$E$63*'ENG_COST'!$G$34</f>
        <v/>
      </c>
      <c r="F175" s="33">
        <f>'ENG_COST'!$F$63*'ENG_COST'!$G$34</f>
        <v/>
      </c>
      <c r="G175" s="33">
        <f>'ENG_COST'!$G$63*'ENG_COST'!$G$34</f>
        <v/>
      </c>
      <c r="H175" s="33">
        <f>'ENG_COST'!$H$63*'ENG_COST'!$G$34</f>
        <v/>
      </c>
      <c r="I175" s="33">
        <f>'ENG_COST'!$I$63*'ENG_COST'!$G$34</f>
        <v/>
      </c>
      <c r="J175" s="33">
        <f>'ENG_COST'!$J$63*'ENG_COST'!$G$34</f>
        <v/>
      </c>
      <c r="K175" s="33">
        <f>'ENG_COST'!$K$63*'ENG_COST'!$G$34</f>
        <v/>
      </c>
      <c r="L175" s="33">
        <f>'ENG_COST'!$L$63*'ENG_COST'!$G$34</f>
        <v/>
      </c>
      <c r="M175" s="33">
        <f>'ENG_COST'!$M$63*'ENG_COST'!$G$34</f>
        <v/>
      </c>
      <c r="N175" s="33">
        <f>'ENG_COST'!$N$63*'ENG_COST'!$G$34</f>
        <v/>
      </c>
      <c r="O175" s="33">
        <f>'ENG_COST'!$O$63*'ENG_COST'!$G$34</f>
        <v/>
      </c>
      <c r="P175" s="33">
        <f>'ENG_COST'!$P$63*'ENG_COST'!$G$34</f>
        <v/>
      </c>
    </row>
    <row r="176">
      <c r="A176" s="15" t="inlineStr">
        <is>
          <t>FPC-02 ← ایستگاه 5</t>
        </is>
      </c>
      <c r="B176" s="16" t="inlineStr"/>
      <c r="C176" s="17" t="inlineStr">
        <is>
          <t>میلیون ریال</t>
        </is>
      </c>
      <c r="D176" s="33">
        <f>'ENG_COST'!$D$63*'ENG_COST'!$H$34</f>
        <v/>
      </c>
      <c r="E176" s="33">
        <f>'ENG_COST'!$E$63*'ENG_COST'!$H$34</f>
        <v/>
      </c>
      <c r="F176" s="33">
        <f>'ENG_COST'!$F$63*'ENG_COST'!$H$34</f>
        <v/>
      </c>
      <c r="G176" s="33">
        <f>'ENG_COST'!$G$63*'ENG_COST'!$H$34</f>
        <v/>
      </c>
      <c r="H176" s="33">
        <f>'ENG_COST'!$H$63*'ENG_COST'!$H$34</f>
        <v/>
      </c>
      <c r="I176" s="33">
        <f>'ENG_COST'!$I$63*'ENG_COST'!$H$34</f>
        <v/>
      </c>
      <c r="J176" s="33">
        <f>'ENG_COST'!$J$63*'ENG_COST'!$H$34</f>
        <v/>
      </c>
      <c r="K176" s="33">
        <f>'ENG_COST'!$K$63*'ENG_COST'!$H$34</f>
        <v/>
      </c>
      <c r="L176" s="33">
        <f>'ENG_COST'!$L$63*'ENG_COST'!$H$34</f>
        <v/>
      </c>
      <c r="M176" s="33">
        <f>'ENG_COST'!$M$63*'ENG_COST'!$H$34</f>
        <v/>
      </c>
      <c r="N176" s="33">
        <f>'ENG_COST'!$N$63*'ENG_COST'!$H$34</f>
        <v/>
      </c>
      <c r="O176" s="33">
        <f>'ENG_COST'!$O$63*'ENG_COST'!$H$34</f>
        <v/>
      </c>
      <c r="P176" s="33">
        <f>'ENG_COST'!$P$63*'ENG_COST'!$H$34</f>
        <v/>
      </c>
    </row>
    <row r="177">
      <c r="A177" s="15" t="inlineStr">
        <is>
          <t>FPC-02 ← ایستگاه 6</t>
        </is>
      </c>
      <c r="B177" s="16" t="inlineStr"/>
      <c r="C177" s="17" t="inlineStr">
        <is>
          <t>میلیون ریال</t>
        </is>
      </c>
      <c r="D177" s="33">
        <f>'ENG_COST'!$D$63*'ENG_COST'!$I$34</f>
        <v/>
      </c>
      <c r="E177" s="33">
        <f>'ENG_COST'!$E$63*'ENG_COST'!$I$34</f>
        <v/>
      </c>
      <c r="F177" s="33">
        <f>'ENG_COST'!$F$63*'ENG_COST'!$I$34</f>
        <v/>
      </c>
      <c r="G177" s="33">
        <f>'ENG_COST'!$G$63*'ENG_COST'!$I$34</f>
        <v/>
      </c>
      <c r="H177" s="33">
        <f>'ENG_COST'!$H$63*'ENG_COST'!$I$34</f>
        <v/>
      </c>
      <c r="I177" s="33">
        <f>'ENG_COST'!$I$63*'ENG_COST'!$I$34</f>
        <v/>
      </c>
      <c r="J177" s="33">
        <f>'ENG_COST'!$J$63*'ENG_COST'!$I$34</f>
        <v/>
      </c>
      <c r="K177" s="33">
        <f>'ENG_COST'!$K$63*'ENG_COST'!$I$34</f>
        <v/>
      </c>
      <c r="L177" s="33">
        <f>'ENG_COST'!$L$63*'ENG_COST'!$I$34</f>
        <v/>
      </c>
      <c r="M177" s="33">
        <f>'ENG_COST'!$M$63*'ENG_COST'!$I$34</f>
        <v/>
      </c>
      <c r="N177" s="33">
        <f>'ENG_COST'!$N$63*'ENG_COST'!$I$34</f>
        <v/>
      </c>
      <c r="O177" s="33">
        <f>'ENG_COST'!$O$63*'ENG_COST'!$I$34</f>
        <v/>
      </c>
      <c r="P177" s="33">
        <f>'ENG_COST'!$P$63*'ENG_COST'!$I$34</f>
        <v/>
      </c>
    </row>
    <row r="178">
      <c r="A178" s="15" t="inlineStr">
        <is>
          <t>FPC-03 ← ایستگاه 1</t>
        </is>
      </c>
      <c r="B178" s="16" t="inlineStr"/>
      <c r="C178" s="17" t="inlineStr">
        <is>
          <t>میلیون ریال</t>
        </is>
      </c>
      <c r="D178" s="33">
        <f>'ENG_COST'!$D$64*'ENG_COST'!$D$35</f>
        <v/>
      </c>
      <c r="E178" s="33">
        <f>'ENG_COST'!$E$64*'ENG_COST'!$D$35</f>
        <v/>
      </c>
      <c r="F178" s="33">
        <f>'ENG_COST'!$F$64*'ENG_COST'!$D$35</f>
        <v/>
      </c>
      <c r="G178" s="33">
        <f>'ENG_COST'!$G$64*'ENG_COST'!$D$35</f>
        <v/>
      </c>
      <c r="H178" s="33">
        <f>'ENG_COST'!$H$64*'ENG_COST'!$D$35</f>
        <v/>
      </c>
      <c r="I178" s="33">
        <f>'ENG_COST'!$I$64*'ENG_COST'!$D$35</f>
        <v/>
      </c>
      <c r="J178" s="33">
        <f>'ENG_COST'!$J$64*'ENG_COST'!$D$35</f>
        <v/>
      </c>
      <c r="K178" s="33">
        <f>'ENG_COST'!$K$64*'ENG_COST'!$D$35</f>
        <v/>
      </c>
      <c r="L178" s="33">
        <f>'ENG_COST'!$L$64*'ENG_COST'!$D$35</f>
        <v/>
      </c>
      <c r="M178" s="33">
        <f>'ENG_COST'!$M$64*'ENG_COST'!$D$35</f>
        <v/>
      </c>
      <c r="N178" s="33">
        <f>'ENG_COST'!$N$64*'ENG_COST'!$D$35</f>
        <v/>
      </c>
      <c r="O178" s="33">
        <f>'ENG_COST'!$O$64*'ENG_COST'!$D$35</f>
        <v/>
      </c>
      <c r="P178" s="33">
        <f>'ENG_COST'!$P$64*'ENG_COST'!$D$35</f>
        <v/>
      </c>
    </row>
    <row r="179">
      <c r="A179" s="15" t="inlineStr">
        <is>
          <t>FPC-03 ← ایستگاه 2</t>
        </is>
      </c>
      <c r="B179" s="16" t="inlineStr"/>
      <c r="C179" s="17" t="inlineStr">
        <is>
          <t>میلیون ریال</t>
        </is>
      </c>
      <c r="D179" s="33">
        <f>'ENG_COST'!$D$64*'ENG_COST'!$E$35</f>
        <v/>
      </c>
      <c r="E179" s="33">
        <f>'ENG_COST'!$E$64*'ENG_COST'!$E$35</f>
        <v/>
      </c>
      <c r="F179" s="33">
        <f>'ENG_COST'!$F$64*'ENG_COST'!$E$35</f>
        <v/>
      </c>
      <c r="G179" s="33">
        <f>'ENG_COST'!$G$64*'ENG_COST'!$E$35</f>
        <v/>
      </c>
      <c r="H179" s="33">
        <f>'ENG_COST'!$H$64*'ENG_COST'!$E$35</f>
        <v/>
      </c>
      <c r="I179" s="33">
        <f>'ENG_COST'!$I$64*'ENG_COST'!$E$35</f>
        <v/>
      </c>
      <c r="J179" s="33">
        <f>'ENG_COST'!$J$64*'ENG_COST'!$E$35</f>
        <v/>
      </c>
      <c r="K179" s="33">
        <f>'ENG_COST'!$K$64*'ENG_COST'!$E$35</f>
        <v/>
      </c>
      <c r="L179" s="33">
        <f>'ENG_COST'!$L$64*'ENG_COST'!$E$35</f>
        <v/>
      </c>
      <c r="M179" s="33">
        <f>'ENG_COST'!$M$64*'ENG_COST'!$E$35</f>
        <v/>
      </c>
      <c r="N179" s="33">
        <f>'ENG_COST'!$N$64*'ENG_COST'!$E$35</f>
        <v/>
      </c>
      <c r="O179" s="33">
        <f>'ENG_COST'!$O$64*'ENG_COST'!$E$35</f>
        <v/>
      </c>
      <c r="P179" s="33">
        <f>'ENG_COST'!$P$64*'ENG_COST'!$E$35</f>
        <v/>
      </c>
    </row>
    <row r="180">
      <c r="A180" s="15" t="inlineStr">
        <is>
          <t>FPC-03 ← ایستگاه 3</t>
        </is>
      </c>
      <c r="B180" s="16" t="inlineStr"/>
      <c r="C180" s="17" t="inlineStr">
        <is>
          <t>میلیون ریال</t>
        </is>
      </c>
      <c r="D180" s="33">
        <f>'ENG_COST'!$D$64*'ENG_COST'!$F$35</f>
        <v/>
      </c>
      <c r="E180" s="33">
        <f>'ENG_COST'!$E$64*'ENG_COST'!$F$35</f>
        <v/>
      </c>
      <c r="F180" s="33">
        <f>'ENG_COST'!$F$64*'ENG_COST'!$F$35</f>
        <v/>
      </c>
      <c r="G180" s="33">
        <f>'ENG_COST'!$G$64*'ENG_COST'!$F$35</f>
        <v/>
      </c>
      <c r="H180" s="33">
        <f>'ENG_COST'!$H$64*'ENG_COST'!$F$35</f>
        <v/>
      </c>
      <c r="I180" s="33">
        <f>'ENG_COST'!$I$64*'ENG_COST'!$F$35</f>
        <v/>
      </c>
      <c r="J180" s="33">
        <f>'ENG_COST'!$J$64*'ENG_COST'!$F$35</f>
        <v/>
      </c>
      <c r="K180" s="33">
        <f>'ENG_COST'!$K$64*'ENG_COST'!$F$35</f>
        <v/>
      </c>
      <c r="L180" s="33">
        <f>'ENG_COST'!$L$64*'ENG_COST'!$F$35</f>
        <v/>
      </c>
      <c r="M180" s="33">
        <f>'ENG_COST'!$M$64*'ENG_COST'!$F$35</f>
        <v/>
      </c>
      <c r="N180" s="33">
        <f>'ENG_COST'!$N$64*'ENG_COST'!$F$35</f>
        <v/>
      </c>
      <c r="O180" s="33">
        <f>'ENG_COST'!$O$64*'ENG_COST'!$F$35</f>
        <v/>
      </c>
      <c r="P180" s="33">
        <f>'ENG_COST'!$P$64*'ENG_COST'!$F$35</f>
        <v/>
      </c>
    </row>
    <row r="181">
      <c r="A181" s="15" t="inlineStr">
        <is>
          <t>FPC-03 ← ایستگاه 4</t>
        </is>
      </c>
      <c r="B181" s="16" t="inlineStr"/>
      <c r="C181" s="17" t="inlineStr">
        <is>
          <t>میلیون ریال</t>
        </is>
      </c>
      <c r="D181" s="33">
        <f>'ENG_COST'!$D$64*'ENG_COST'!$G$35</f>
        <v/>
      </c>
      <c r="E181" s="33">
        <f>'ENG_COST'!$E$64*'ENG_COST'!$G$35</f>
        <v/>
      </c>
      <c r="F181" s="33">
        <f>'ENG_COST'!$F$64*'ENG_COST'!$G$35</f>
        <v/>
      </c>
      <c r="G181" s="33">
        <f>'ENG_COST'!$G$64*'ENG_COST'!$G$35</f>
        <v/>
      </c>
      <c r="H181" s="33">
        <f>'ENG_COST'!$H$64*'ENG_COST'!$G$35</f>
        <v/>
      </c>
      <c r="I181" s="33">
        <f>'ENG_COST'!$I$64*'ENG_COST'!$G$35</f>
        <v/>
      </c>
      <c r="J181" s="33">
        <f>'ENG_COST'!$J$64*'ENG_COST'!$G$35</f>
        <v/>
      </c>
      <c r="K181" s="33">
        <f>'ENG_COST'!$K$64*'ENG_COST'!$G$35</f>
        <v/>
      </c>
      <c r="L181" s="33">
        <f>'ENG_COST'!$L$64*'ENG_COST'!$G$35</f>
        <v/>
      </c>
      <c r="M181" s="33">
        <f>'ENG_COST'!$M$64*'ENG_COST'!$G$35</f>
        <v/>
      </c>
      <c r="N181" s="33">
        <f>'ENG_COST'!$N$64*'ENG_COST'!$G$35</f>
        <v/>
      </c>
      <c r="O181" s="33">
        <f>'ENG_COST'!$O$64*'ENG_COST'!$G$35</f>
        <v/>
      </c>
      <c r="P181" s="33">
        <f>'ENG_COST'!$P$64*'ENG_COST'!$G$35</f>
        <v/>
      </c>
    </row>
    <row r="182">
      <c r="A182" s="15" t="inlineStr">
        <is>
          <t>FPC-03 ← ایستگاه 5</t>
        </is>
      </c>
      <c r="B182" s="16" t="inlineStr"/>
      <c r="C182" s="17" t="inlineStr">
        <is>
          <t>میلیون ریال</t>
        </is>
      </c>
      <c r="D182" s="33">
        <f>'ENG_COST'!$D$64*'ENG_COST'!$H$35</f>
        <v/>
      </c>
      <c r="E182" s="33">
        <f>'ENG_COST'!$E$64*'ENG_COST'!$H$35</f>
        <v/>
      </c>
      <c r="F182" s="33">
        <f>'ENG_COST'!$F$64*'ENG_COST'!$H$35</f>
        <v/>
      </c>
      <c r="G182" s="33">
        <f>'ENG_COST'!$G$64*'ENG_COST'!$H$35</f>
        <v/>
      </c>
      <c r="H182" s="33">
        <f>'ENG_COST'!$H$64*'ENG_COST'!$H$35</f>
        <v/>
      </c>
      <c r="I182" s="33">
        <f>'ENG_COST'!$I$64*'ENG_COST'!$H$35</f>
        <v/>
      </c>
      <c r="J182" s="33">
        <f>'ENG_COST'!$J$64*'ENG_COST'!$H$35</f>
        <v/>
      </c>
      <c r="K182" s="33">
        <f>'ENG_COST'!$K$64*'ENG_COST'!$H$35</f>
        <v/>
      </c>
      <c r="L182" s="33">
        <f>'ENG_COST'!$L$64*'ENG_COST'!$H$35</f>
        <v/>
      </c>
      <c r="M182" s="33">
        <f>'ENG_COST'!$M$64*'ENG_COST'!$H$35</f>
        <v/>
      </c>
      <c r="N182" s="33">
        <f>'ENG_COST'!$N$64*'ENG_COST'!$H$35</f>
        <v/>
      </c>
      <c r="O182" s="33">
        <f>'ENG_COST'!$O$64*'ENG_COST'!$H$35</f>
        <v/>
      </c>
      <c r="P182" s="33">
        <f>'ENG_COST'!$P$64*'ENG_COST'!$H$35</f>
        <v/>
      </c>
    </row>
    <row r="183">
      <c r="A183" s="15" t="inlineStr">
        <is>
          <t>FPC-03 ← ایستگاه 6</t>
        </is>
      </c>
      <c r="B183" s="16" t="inlineStr"/>
      <c r="C183" s="17" t="inlineStr">
        <is>
          <t>میلیون ریال</t>
        </is>
      </c>
      <c r="D183" s="33">
        <f>'ENG_COST'!$D$64*'ENG_COST'!$I$35</f>
        <v/>
      </c>
      <c r="E183" s="33">
        <f>'ENG_COST'!$E$64*'ENG_COST'!$I$35</f>
        <v/>
      </c>
      <c r="F183" s="33">
        <f>'ENG_COST'!$F$64*'ENG_COST'!$I$35</f>
        <v/>
      </c>
      <c r="G183" s="33">
        <f>'ENG_COST'!$G$64*'ENG_COST'!$I$35</f>
        <v/>
      </c>
      <c r="H183" s="33">
        <f>'ENG_COST'!$H$64*'ENG_COST'!$I$35</f>
        <v/>
      </c>
      <c r="I183" s="33">
        <f>'ENG_COST'!$I$64*'ENG_COST'!$I$35</f>
        <v/>
      </c>
      <c r="J183" s="33">
        <f>'ENG_COST'!$J$64*'ENG_COST'!$I$35</f>
        <v/>
      </c>
      <c r="K183" s="33">
        <f>'ENG_COST'!$K$64*'ENG_COST'!$I$35</f>
        <v/>
      </c>
      <c r="L183" s="33">
        <f>'ENG_COST'!$L$64*'ENG_COST'!$I$35</f>
        <v/>
      </c>
      <c r="M183" s="33">
        <f>'ENG_COST'!$M$64*'ENG_COST'!$I$35</f>
        <v/>
      </c>
      <c r="N183" s="33">
        <f>'ENG_COST'!$N$64*'ENG_COST'!$I$35</f>
        <v/>
      </c>
      <c r="O183" s="33">
        <f>'ENG_COST'!$O$64*'ENG_COST'!$I$35</f>
        <v/>
      </c>
      <c r="P183" s="33">
        <f>'ENG_COST'!$P$64*'ENG_COST'!$I$35</f>
        <v/>
      </c>
    </row>
    <row r="184">
      <c r="A184" s="15" t="inlineStr">
        <is>
          <t>FPC-04 ← ایستگاه 1</t>
        </is>
      </c>
      <c r="B184" s="16" t="inlineStr"/>
      <c r="C184" s="17" t="inlineStr">
        <is>
          <t>میلیون ریال</t>
        </is>
      </c>
      <c r="D184" s="33">
        <f>'ENG_COST'!$D$65*'ENG_COST'!$D$36</f>
        <v/>
      </c>
      <c r="E184" s="33">
        <f>'ENG_COST'!$E$65*'ENG_COST'!$D$36</f>
        <v/>
      </c>
      <c r="F184" s="33">
        <f>'ENG_COST'!$F$65*'ENG_COST'!$D$36</f>
        <v/>
      </c>
      <c r="G184" s="33">
        <f>'ENG_COST'!$G$65*'ENG_COST'!$D$36</f>
        <v/>
      </c>
      <c r="H184" s="33">
        <f>'ENG_COST'!$H$65*'ENG_COST'!$D$36</f>
        <v/>
      </c>
      <c r="I184" s="33">
        <f>'ENG_COST'!$I$65*'ENG_COST'!$D$36</f>
        <v/>
      </c>
      <c r="J184" s="33">
        <f>'ENG_COST'!$J$65*'ENG_COST'!$D$36</f>
        <v/>
      </c>
      <c r="K184" s="33">
        <f>'ENG_COST'!$K$65*'ENG_COST'!$D$36</f>
        <v/>
      </c>
      <c r="L184" s="33">
        <f>'ENG_COST'!$L$65*'ENG_COST'!$D$36</f>
        <v/>
      </c>
      <c r="M184" s="33">
        <f>'ENG_COST'!$M$65*'ENG_COST'!$D$36</f>
        <v/>
      </c>
      <c r="N184" s="33">
        <f>'ENG_COST'!$N$65*'ENG_COST'!$D$36</f>
        <v/>
      </c>
      <c r="O184" s="33">
        <f>'ENG_COST'!$O$65*'ENG_COST'!$D$36</f>
        <v/>
      </c>
      <c r="P184" s="33">
        <f>'ENG_COST'!$P$65*'ENG_COST'!$D$36</f>
        <v/>
      </c>
    </row>
    <row r="185">
      <c r="A185" s="15" t="inlineStr">
        <is>
          <t>FPC-04 ← ایستگاه 2</t>
        </is>
      </c>
      <c r="B185" s="16" t="inlineStr"/>
      <c r="C185" s="17" t="inlineStr">
        <is>
          <t>میلیون ریال</t>
        </is>
      </c>
      <c r="D185" s="33">
        <f>'ENG_COST'!$D$65*'ENG_COST'!$E$36</f>
        <v/>
      </c>
      <c r="E185" s="33">
        <f>'ENG_COST'!$E$65*'ENG_COST'!$E$36</f>
        <v/>
      </c>
      <c r="F185" s="33">
        <f>'ENG_COST'!$F$65*'ENG_COST'!$E$36</f>
        <v/>
      </c>
      <c r="G185" s="33">
        <f>'ENG_COST'!$G$65*'ENG_COST'!$E$36</f>
        <v/>
      </c>
      <c r="H185" s="33">
        <f>'ENG_COST'!$H$65*'ENG_COST'!$E$36</f>
        <v/>
      </c>
      <c r="I185" s="33">
        <f>'ENG_COST'!$I$65*'ENG_COST'!$E$36</f>
        <v/>
      </c>
      <c r="J185" s="33">
        <f>'ENG_COST'!$J$65*'ENG_COST'!$E$36</f>
        <v/>
      </c>
      <c r="K185" s="33">
        <f>'ENG_COST'!$K$65*'ENG_COST'!$E$36</f>
        <v/>
      </c>
      <c r="L185" s="33">
        <f>'ENG_COST'!$L$65*'ENG_COST'!$E$36</f>
        <v/>
      </c>
      <c r="M185" s="33">
        <f>'ENG_COST'!$M$65*'ENG_COST'!$E$36</f>
        <v/>
      </c>
      <c r="N185" s="33">
        <f>'ENG_COST'!$N$65*'ENG_COST'!$E$36</f>
        <v/>
      </c>
      <c r="O185" s="33">
        <f>'ENG_COST'!$O$65*'ENG_COST'!$E$36</f>
        <v/>
      </c>
      <c r="P185" s="33">
        <f>'ENG_COST'!$P$65*'ENG_COST'!$E$36</f>
        <v/>
      </c>
    </row>
    <row r="186">
      <c r="A186" s="15" t="inlineStr">
        <is>
          <t>FPC-04 ← ایستگاه 3</t>
        </is>
      </c>
      <c r="B186" s="16" t="inlineStr"/>
      <c r="C186" s="17" t="inlineStr">
        <is>
          <t>میلیون ریال</t>
        </is>
      </c>
      <c r="D186" s="33">
        <f>'ENG_COST'!$D$65*'ENG_COST'!$F$36</f>
        <v/>
      </c>
      <c r="E186" s="33">
        <f>'ENG_COST'!$E$65*'ENG_COST'!$F$36</f>
        <v/>
      </c>
      <c r="F186" s="33">
        <f>'ENG_COST'!$F$65*'ENG_COST'!$F$36</f>
        <v/>
      </c>
      <c r="G186" s="33">
        <f>'ENG_COST'!$G$65*'ENG_COST'!$F$36</f>
        <v/>
      </c>
      <c r="H186" s="33">
        <f>'ENG_COST'!$H$65*'ENG_COST'!$F$36</f>
        <v/>
      </c>
      <c r="I186" s="33">
        <f>'ENG_COST'!$I$65*'ENG_COST'!$F$36</f>
        <v/>
      </c>
      <c r="J186" s="33">
        <f>'ENG_COST'!$J$65*'ENG_COST'!$F$36</f>
        <v/>
      </c>
      <c r="K186" s="33">
        <f>'ENG_COST'!$K$65*'ENG_COST'!$F$36</f>
        <v/>
      </c>
      <c r="L186" s="33">
        <f>'ENG_COST'!$L$65*'ENG_COST'!$F$36</f>
        <v/>
      </c>
      <c r="M186" s="33">
        <f>'ENG_COST'!$M$65*'ENG_COST'!$F$36</f>
        <v/>
      </c>
      <c r="N186" s="33">
        <f>'ENG_COST'!$N$65*'ENG_COST'!$F$36</f>
        <v/>
      </c>
      <c r="O186" s="33">
        <f>'ENG_COST'!$O$65*'ENG_COST'!$F$36</f>
        <v/>
      </c>
      <c r="P186" s="33">
        <f>'ENG_COST'!$P$65*'ENG_COST'!$F$36</f>
        <v/>
      </c>
    </row>
    <row r="187">
      <c r="A187" s="15" t="inlineStr">
        <is>
          <t>FPC-04 ← ایستگاه 4</t>
        </is>
      </c>
      <c r="B187" s="16" t="inlineStr"/>
      <c r="C187" s="17" t="inlineStr">
        <is>
          <t>میلیون ریال</t>
        </is>
      </c>
      <c r="D187" s="33">
        <f>'ENG_COST'!$D$65*'ENG_COST'!$G$36</f>
        <v/>
      </c>
      <c r="E187" s="33">
        <f>'ENG_COST'!$E$65*'ENG_COST'!$G$36</f>
        <v/>
      </c>
      <c r="F187" s="33">
        <f>'ENG_COST'!$F$65*'ENG_COST'!$G$36</f>
        <v/>
      </c>
      <c r="G187" s="33">
        <f>'ENG_COST'!$G$65*'ENG_COST'!$G$36</f>
        <v/>
      </c>
      <c r="H187" s="33">
        <f>'ENG_COST'!$H$65*'ENG_COST'!$G$36</f>
        <v/>
      </c>
      <c r="I187" s="33">
        <f>'ENG_COST'!$I$65*'ENG_COST'!$G$36</f>
        <v/>
      </c>
      <c r="J187" s="33">
        <f>'ENG_COST'!$J$65*'ENG_COST'!$G$36</f>
        <v/>
      </c>
      <c r="K187" s="33">
        <f>'ENG_COST'!$K$65*'ENG_COST'!$G$36</f>
        <v/>
      </c>
      <c r="L187" s="33">
        <f>'ENG_COST'!$L$65*'ENG_COST'!$G$36</f>
        <v/>
      </c>
      <c r="M187" s="33">
        <f>'ENG_COST'!$M$65*'ENG_COST'!$G$36</f>
        <v/>
      </c>
      <c r="N187" s="33">
        <f>'ENG_COST'!$N$65*'ENG_COST'!$G$36</f>
        <v/>
      </c>
      <c r="O187" s="33">
        <f>'ENG_COST'!$O$65*'ENG_COST'!$G$36</f>
        <v/>
      </c>
      <c r="P187" s="33">
        <f>'ENG_COST'!$P$65*'ENG_COST'!$G$36</f>
        <v/>
      </c>
    </row>
    <row r="188">
      <c r="A188" s="15" t="inlineStr">
        <is>
          <t>FPC-04 ← ایستگاه 5</t>
        </is>
      </c>
      <c r="B188" s="16" t="inlineStr"/>
      <c r="C188" s="17" t="inlineStr">
        <is>
          <t>میلیون ریال</t>
        </is>
      </c>
      <c r="D188" s="33">
        <f>'ENG_COST'!$D$65*'ENG_COST'!$H$36</f>
        <v/>
      </c>
      <c r="E188" s="33">
        <f>'ENG_COST'!$E$65*'ENG_COST'!$H$36</f>
        <v/>
      </c>
      <c r="F188" s="33">
        <f>'ENG_COST'!$F$65*'ENG_COST'!$H$36</f>
        <v/>
      </c>
      <c r="G188" s="33">
        <f>'ENG_COST'!$G$65*'ENG_COST'!$H$36</f>
        <v/>
      </c>
      <c r="H188" s="33">
        <f>'ENG_COST'!$H$65*'ENG_COST'!$H$36</f>
        <v/>
      </c>
      <c r="I188" s="33">
        <f>'ENG_COST'!$I$65*'ENG_COST'!$H$36</f>
        <v/>
      </c>
      <c r="J188" s="33">
        <f>'ENG_COST'!$J$65*'ENG_COST'!$H$36</f>
        <v/>
      </c>
      <c r="K188" s="33">
        <f>'ENG_COST'!$K$65*'ENG_COST'!$H$36</f>
        <v/>
      </c>
      <c r="L188" s="33">
        <f>'ENG_COST'!$L$65*'ENG_COST'!$H$36</f>
        <v/>
      </c>
      <c r="M188" s="33">
        <f>'ENG_COST'!$M$65*'ENG_COST'!$H$36</f>
        <v/>
      </c>
      <c r="N188" s="33">
        <f>'ENG_COST'!$N$65*'ENG_COST'!$H$36</f>
        <v/>
      </c>
      <c r="O188" s="33">
        <f>'ENG_COST'!$O$65*'ENG_COST'!$H$36</f>
        <v/>
      </c>
      <c r="P188" s="33">
        <f>'ENG_COST'!$P$65*'ENG_COST'!$H$36</f>
        <v/>
      </c>
    </row>
    <row r="189">
      <c r="A189" s="15" t="inlineStr">
        <is>
          <t>FPC-04 ← ایستگاه 6</t>
        </is>
      </c>
      <c r="B189" s="16" t="inlineStr"/>
      <c r="C189" s="17" t="inlineStr">
        <is>
          <t>میلیون ریال</t>
        </is>
      </c>
      <c r="D189" s="33">
        <f>'ENG_COST'!$D$65*'ENG_COST'!$I$36</f>
        <v/>
      </c>
      <c r="E189" s="33">
        <f>'ENG_COST'!$E$65*'ENG_COST'!$I$36</f>
        <v/>
      </c>
      <c r="F189" s="33">
        <f>'ENG_COST'!$F$65*'ENG_COST'!$I$36</f>
        <v/>
      </c>
      <c r="G189" s="33">
        <f>'ENG_COST'!$G$65*'ENG_COST'!$I$36</f>
        <v/>
      </c>
      <c r="H189" s="33">
        <f>'ENG_COST'!$H$65*'ENG_COST'!$I$36</f>
        <v/>
      </c>
      <c r="I189" s="33">
        <f>'ENG_COST'!$I$65*'ENG_COST'!$I$36</f>
        <v/>
      </c>
      <c r="J189" s="33">
        <f>'ENG_COST'!$J$65*'ENG_COST'!$I$36</f>
        <v/>
      </c>
      <c r="K189" s="33">
        <f>'ENG_COST'!$K$65*'ENG_COST'!$I$36</f>
        <v/>
      </c>
      <c r="L189" s="33">
        <f>'ENG_COST'!$L$65*'ENG_COST'!$I$36</f>
        <v/>
      </c>
      <c r="M189" s="33">
        <f>'ENG_COST'!$M$65*'ENG_COST'!$I$36</f>
        <v/>
      </c>
      <c r="N189" s="33">
        <f>'ENG_COST'!$N$65*'ENG_COST'!$I$36</f>
        <v/>
      </c>
      <c r="O189" s="33">
        <f>'ENG_COST'!$O$65*'ENG_COST'!$I$36</f>
        <v/>
      </c>
      <c r="P189" s="33">
        <f>'ENG_COST'!$P$65*'ENG_COST'!$I$36</f>
        <v/>
      </c>
    </row>
    <row r="190">
      <c r="A190" s="15" t="inlineStr">
        <is>
          <t>FPC-05 ← ایستگاه 1</t>
        </is>
      </c>
      <c r="B190" s="16" t="inlineStr"/>
      <c r="C190" s="17" t="inlineStr">
        <is>
          <t>میلیون ریال</t>
        </is>
      </c>
      <c r="D190" s="33">
        <f>'ENG_COST'!$D$66*'ENG_COST'!$D$37</f>
        <v/>
      </c>
      <c r="E190" s="33">
        <f>'ENG_COST'!$E$66*'ENG_COST'!$D$37</f>
        <v/>
      </c>
      <c r="F190" s="33">
        <f>'ENG_COST'!$F$66*'ENG_COST'!$D$37</f>
        <v/>
      </c>
      <c r="G190" s="33">
        <f>'ENG_COST'!$G$66*'ENG_COST'!$D$37</f>
        <v/>
      </c>
      <c r="H190" s="33">
        <f>'ENG_COST'!$H$66*'ENG_COST'!$D$37</f>
        <v/>
      </c>
      <c r="I190" s="33">
        <f>'ENG_COST'!$I$66*'ENG_COST'!$D$37</f>
        <v/>
      </c>
      <c r="J190" s="33">
        <f>'ENG_COST'!$J$66*'ENG_COST'!$D$37</f>
        <v/>
      </c>
      <c r="K190" s="33">
        <f>'ENG_COST'!$K$66*'ENG_COST'!$D$37</f>
        <v/>
      </c>
      <c r="L190" s="33">
        <f>'ENG_COST'!$L$66*'ENG_COST'!$D$37</f>
        <v/>
      </c>
      <c r="M190" s="33">
        <f>'ENG_COST'!$M$66*'ENG_COST'!$D$37</f>
        <v/>
      </c>
      <c r="N190" s="33">
        <f>'ENG_COST'!$N$66*'ENG_COST'!$D$37</f>
        <v/>
      </c>
      <c r="O190" s="33">
        <f>'ENG_COST'!$O$66*'ENG_COST'!$D$37</f>
        <v/>
      </c>
      <c r="P190" s="33">
        <f>'ENG_COST'!$P$66*'ENG_COST'!$D$37</f>
        <v/>
      </c>
    </row>
    <row r="191">
      <c r="A191" s="15" t="inlineStr">
        <is>
          <t>FPC-05 ← ایستگاه 2</t>
        </is>
      </c>
      <c r="B191" s="16" t="inlineStr"/>
      <c r="C191" s="17" t="inlineStr">
        <is>
          <t>میلیون ریال</t>
        </is>
      </c>
      <c r="D191" s="33">
        <f>'ENG_COST'!$D$66*'ENG_COST'!$E$37</f>
        <v/>
      </c>
      <c r="E191" s="33">
        <f>'ENG_COST'!$E$66*'ENG_COST'!$E$37</f>
        <v/>
      </c>
      <c r="F191" s="33">
        <f>'ENG_COST'!$F$66*'ENG_COST'!$E$37</f>
        <v/>
      </c>
      <c r="G191" s="33">
        <f>'ENG_COST'!$G$66*'ENG_COST'!$E$37</f>
        <v/>
      </c>
      <c r="H191" s="33">
        <f>'ENG_COST'!$H$66*'ENG_COST'!$E$37</f>
        <v/>
      </c>
      <c r="I191" s="33">
        <f>'ENG_COST'!$I$66*'ENG_COST'!$E$37</f>
        <v/>
      </c>
      <c r="J191" s="33">
        <f>'ENG_COST'!$J$66*'ENG_COST'!$E$37</f>
        <v/>
      </c>
      <c r="K191" s="33">
        <f>'ENG_COST'!$K$66*'ENG_COST'!$E$37</f>
        <v/>
      </c>
      <c r="L191" s="33">
        <f>'ENG_COST'!$L$66*'ENG_COST'!$E$37</f>
        <v/>
      </c>
      <c r="M191" s="33">
        <f>'ENG_COST'!$M$66*'ENG_COST'!$E$37</f>
        <v/>
      </c>
      <c r="N191" s="33">
        <f>'ENG_COST'!$N$66*'ENG_COST'!$E$37</f>
        <v/>
      </c>
      <c r="O191" s="33">
        <f>'ENG_COST'!$O$66*'ENG_COST'!$E$37</f>
        <v/>
      </c>
      <c r="P191" s="33">
        <f>'ENG_COST'!$P$66*'ENG_COST'!$E$37</f>
        <v/>
      </c>
    </row>
    <row r="192">
      <c r="A192" s="15" t="inlineStr">
        <is>
          <t>FPC-05 ← ایستگاه 3</t>
        </is>
      </c>
      <c r="B192" s="16" t="inlineStr"/>
      <c r="C192" s="17" t="inlineStr">
        <is>
          <t>میلیون ریال</t>
        </is>
      </c>
      <c r="D192" s="33">
        <f>'ENG_COST'!$D$66*'ENG_COST'!$F$37</f>
        <v/>
      </c>
      <c r="E192" s="33">
        <f>'ENG_COST'!$E$66*'ENG_COST'!$F$37</f>
        <v/>
      </c>
      <c r="F192" s="33">
        <f>'ENG_COST'!$F$66*'ENG_COST'!$F$37</f>
        <v/>
      </c>
      <c r="G192" s="33">
        <f>'ENG_COST'!$G$66*'ENG_COST'!$F$37</f>
        <v/>
      </c>
      <c r="H192" s="33">
        <f>'ENG_COST'!$H$66*'ENG_COST'!$F$37</f>
        <v/>
      </c>
      <c r="I192" s="33">
        <f>'ENG_COST'!$I$66*'ENG_COST'!$F$37</f>
        <v/>
      </c>
      <c r="J192" s="33">
        <f>'ENG_COST'!$J$66*'ENG_COST'!$F$37</f>
        <v/>
      </c>
      <c r="K192" s="33">
        <f>'ENG_COST'!$K$66*'ENG_COST'!$F$37</f>
        <v/>
      </c>
      <c r="L192" s="33">
        <f>'ENG_COST'!$L$66*'ENG_COST'!$F$37</f>
        <v/>
      </c>
      <c r="M192" s="33">
        <f>'ENG_COST'!$M$66*'ENG_COST'!$F$37</f>
        <v/>
      </c>
      <c r="N192" s="33">
        <f>'ENG_COST'!$N$66*'ENG_COST'!$F$37</f>
        <v/>
      </c>
      <c r="O192" s="33">
        <f>'ENG_COST'!$O$66*'ENG_COST'!$F$37</f>
        <v/>
      </c>
      <c r="P192" s="33">
        <f>'ENG_COST'!$P$66*'ENG_COST'!$F$37</f>
        <v/>
      </c>
    </row>
    <row r="193">
      <c r="A193" s="15" t="inlineStr">
        <is>
          <t>FPC-05 ← ایستگاه 4</t>
        </is>
      </c>
      <c r="B193" s="16" t="inlineStr"/>
      <c r="C193" s="17" t="inlineStr">
        <is>
          <t>میلیون ریال</t>
        </is>
      </c>
      <c r="D193" s="33">
        <f>'ENG_COST'!$D$66*'ENG_COST'!$G$37</f>
        <v/>
      </c>
      <c r="E193" s="33">
        <f>'ENG_COST'!$E$66*'ENG_COST'!$G$37</f>
        <v/>
      </c>
      <c r="F193" s="33">
        <f>'ENG_COST'!$F$66*'ENG_COST'!$G$37</f>
        <v/>
      </c>
      <c r="G193" s="33">
        <f>'ENG_COST'!$G$66*'ENG_COST'!$G$37</f>
        <v/>
      </c>
      <c r="H193" s="33">
        <f>'ENG_COST'!$H$66*'ENG_COST'!$G$37</f>
        <v/>
      </c>
      <c r="I193" s="33">
        <f>'ENG_COST'!$I$66*'ENG_COST'!$G$37</f>
        <v/>
      </c>
      <c r="J193" s="33">
        <f>'ENG_COST'!$J$66*'ENG_COST'!$G$37</f>
        <v/>
      </c>
      <c r="K193" s="33">
        <f>'ENG_COST'!$K$66*'ENG_COST'!$G$37</f>
        <v/>
      </c>
      <c r="L193" s="33">
        <f>'ENG_COST'!$L$66*'ENG_COST'!$G$37</f>
        <v/>
      </c>
      <c r="M193" s="33">
        <f>'ENG_COST'!$M$66*'ENG_COST'!$G$37</f>
        <v/>
      </c>
      <c r="N193" s="33">
        <f>'ENG_COST'!$N$66*'ENG_COST'!$G$37</f>
        <v/>
      </c>
      <c r="O193" s="33">
        <f>'ENG_COST'!$O$66*'ENG_COST'!$G$37</f>
        <v/>
      </c>
      <c r="P193" s="33">
        <f>'ENG_COST'!$P$66*'ENG_COST'!$G$37</f>
        <v/>
      </c>
    </row>
    <row r="194">
      <c r="A194" s="15" t="inlineStr">
        <is>
          <t>FPC-05 ← ایستگاه 5</t>
        </is>
      </c>
      <c r="B194" s="16" t="inlineStr"/>
      <c r="C194" s="17" t="inlineStr">
        <is>
          <t>میلیون ریال</t>
        </is>
      </c>
      <c r="D194" s="33">
        <f>'ENG_COST'!$D$66*'ENG_COST'!$H$37</f>
        <v/>
      </c>
      <c r="E194" s="33">
        <f>'ENG_COST'!$E$66*'ENG_COST'!$H$37</f>
        <v/>
      </c>
      <c r="F194" s="33">
        <f>'ENG_COST'!$F$66*'ENG_COST'!$H$37</f>
        <v/>
      </c>
      <c r="G194" s="33">
        <f>'ENG_COST'!$G$66*'ENG_COST'!$H$37</f>
        <v/>
      </c>
      <c r="H194" s="33">
        <f>'ENG_COST'!$H$66*'ENG_COST'!$H$37</f>
        <v/>
      </c>
      <c r="I194" s="33">
        <f>'ENG_COST'!$I$66*'ENG_COST'!$H$37</f>
        <v/>
      </c>
      <c r="J194" s="33">
        <f>'ENG_COST'!$J$66*'ENG_COST'!$H$37</f>
        <v/>
      </c>
      <c r="K194" s="33">
        <f>'ENG_COST'!$K$66*'ENG_COST'!$H$37</f>
        <v/>
      </c>
      <c r="L194" s="33">
        <f>'ENG_COST'!$L$66*'ENG_COST'!$H$37</f>
        <v/>
      </c>
      <c r="M194" s="33">
        <f>'ENG_COST'!$M$66*'ENG_COST'!$H$37</f>
        <v/>
      </c>
      <c r="N194" s="33">
        <f>'ENG_COST'!$N$66*'ENG_COST'!$H$37</f>
        <v/>
      </c>
      <c r="O194" s="33">
        <f>'ENG_COST'!$O$66*'ENG_COST'!$H$37</f>
        <v/>
      </c>
      <c r="P194" s="33">
        <f>'ENG_COST'!$P$66*'ENG_COST'!$H$37</f>
        <v/>
      </c>
    </row>
    <row r="195">
      <c r="A195" s="15" t="inlineStr">
        <is>
          <t>FPC-05 ← ایستگاه 6</t>
        </is>
      </c>
      <c r="B195" s="16" t="inlineStr"/>
      <c r="C195" s="17" t="inlineStr">
        <is>
          <t>میلیون ریال</t>
        </is>
      </c>
      <c r="D195" s="33">
        <f>'ENG_COST'!$D$66*'ENG_COST'!$I$37</f>
        <v/>
      </c>
      <c r="E195" s="33">
        <f>'ENG_COST'!$E$66*'ENG_COST'!$I$37</f>
        <v/>
      </c>
      <c r="F195" s="33">
        <f>'ENG_COST'!$F$66*'ENG_COST'!$I$37</f>
        <v/>
      </c>
      <c r="G195" s="33">
        <f>'ENG_COST'!$G$66*'ENG_COST'!$I$37</f>
        <v/>
      </c>
      <c r="H195" s="33">
        <f>'ENG_COST'!$H$66*'ENG_COST'!$I$37</f>
        <v/>
      </c>
      <c r="I195" s="33">
        <f>'ENG_COST'!$I$66*'ENG_COST'!$I$37</f>
        <v/>
      </c>
      <c r="J195" s="33">
        <f>'ENG_COST'!$J$66*'ENG_COST'!$I$37</f>
        <v/>
      </c>
      <c r="K195" s="33">
        <f>'ENG_COST'!$K$66*'ENG_COST'!$I$37</f>
        <v/>
      </c>
      <c r="L195" s="33">
        <f>'ENG_COST'!$L$66*'ENG_COST'!$I$37</f>
        <v/>
      </c>
      <c r="M195" s="33">
        <f>'ENG_COST'!$M$66*'ENG_COST'!$I$37</f>
        <v/>
      </c>
      <c r="N195" s="33">
        <f>'ENG_COST'!$N$66*'ENG_COST'!$I$37</f>
        <v/>
      </c>
      <c r="O195" s="33">
        <f>'ENG_COST'!$O$66*'ENG_COST'!$I$37</f>
        <v/>
      </c>
      <c r="P195" s="33">
        <f>'ENG_COST'!$P$66*'ENG_COST'!$I$37</f>
        <v/>
      </c>
    </row>
    <row r="196">
      <c r="A196" s="15" t="inlineStr">
        <is>
          <t>FPC-06 ← ایستگاه 1</t>
        </is>
      </c>
      <c r="B196" s="16" t="inlineStr"/>
      <c r="C196" s="17" t="inlineStr">
        <is>
          <t>میلیون ریال</t>
        </is>
      </c>
      <c r="D196" s="33">
        <f>'ENG_COST'!$D$67*'ENG_COST'!$D$38</f>
        <v/>
      </c>
      <c r="E196" s="33">
        <f>'ENG_COST'!$E$67*'ENG_COST'!$D$38</f>
        <v/>
      </c>
      <c r="F196" s="33">
        <f>'ENG_COST'!$F$67*'ENG_COST'!$D$38</f>
        <v/>
      </c>
      <c r="G196" s="33">
        <f>'ENG_COST'!$G$67*'ENG_COST'!$D$38</f>
        <v/>
      </c>
      <c r="H196" s="33">
        <f>'ENG_COST'!$H$67*'ENG_COST'!$D$38</f>
        <v/>
      </c>
      <c r="I196" s="33">
        <f>'ENG_COST'!$I$67*'ENG_COST'!$D$38</f>
        <v/>
      </c>
      <c r="J196" s="33">
        <f>'ENG_COST'!$J$67*'ENG_COST'!$D$38</f>
        <v/>
      </c>
      <c r="K196" s="33">
        <f>'ENG_COST'!$K$67*'ENG_COST'!$D$38</f>
        <v/>
      </c>
      <c r="L196" s="33">
        <f>'ENG_COST'!$L$67*'ENG_COST'!$D$38</f>
        <v/>
      </c>
      <c r="M196" s="33">
        <f>'ENG_COST'!$M$67*'ENG_COST'!$D$38</f>
        <v/>
      </c>
      <c r="N196" s="33">
        <f>'ENG_COST'!$N$67*'ENG_COST'!$D$38</f>
        <v/>
      </c>
      <c r="O196" s="33">
        <f>'ENG_COST'!$O$67*'ENG_COST'!$D$38</f>
        <v/>
      </c>
      <c r="P196" s="33">
        <f>'ENG_COST'!$P$67*'ENG_COST'!$D$38</f>
        <v/>
      </c>
    </row>
    <row r="197">
      <c r="A197" s="15" t="inlineStr">
        <is>
          <t>FPC-06 ← ایستگاه 2</t>
        </is>
      </c>
      <c r="B197" s="16" t="inlineStr"/>
      <c r="C197" s="17" t="inlineStr">
        <is>
          <t>میلیون ریال</t>
        </is>
      </c>
      <c r="D197" s="33">
        <f>'ENG_COST'!$D$67*'ENG_COST'!$E$38</f>
        <v/>
      </c>
      <c r="E197" s="33">
        <f>'ENG_COST'!$E$67*'ENG_COST'!$E$38</f>
        <v/>
      </c>
      <c r="F197" s="33">
        <f>'ENG_COST'!$F$67*'ENG_COST'!$E$38</f>
        <v/>
      </c>
      <c r="G197" s="33">
        <f>'ENG_COST'!$G$67*'ENG_COST'!$E$38</f>
        <v/>
      </c>
      <c r="H197" s="33">
        <f>'ENG_COST'!$H$67*'ENG_COST'!$E$38</f>
        <v/>
      </c>
      <c r="I197" s="33">
        <f>'ENG_COST'!$I$67*'ENG_COST'!$E$38</f>
        <v/>
      </c>
      <c r="J197" s="33">
        <f>'ENG_COST'!$J$67*'ENG_COST'!$E$38</f>
        <v/>
      </c>
      <c r="K197" s="33">
        <f>'ENG_COST'!$K$67*'ENG_COST'!$E$38</f>
        <v/>
      </c>
      <c r="L197" s="33">
        <f>'ENG_COST'!$L$67*'ENG_COST'!$E$38</f>
        <v/>
      </c>
      <c r="M197" s="33">
        <f>'ENG_COST'!$M$67*'ENG_COST'!$E$38</f>
        <v/>
      </c>
      <c r="N197" s="33">
        <f>'ENG_COST'!$N$67*'ENG_COST'!$E$38</f>
        <v/>
      </c>
      <c r="O197" s="33">
        <f>'ENG_COST'!$O$67*'ENG_COST'!$E$38</f>
        <v/>
      </c>
      <c r="P197" s="33">
        <f>'ENG_COST'!$P$67*'ENG_COST'!$E$38</f>
        <v/>
      </c>
    </row>
    <row r="198">
      <c r="A198" s="15" t="inlineStr">
        <is>
          <t>FPC-06 ← ایستگاه 3</t>
        </is>
      </c>
      <c r="B198" s="16" t="inlineStr"/>
      <c r="C198" s="17" t="inlineStr">
        <is>
          <t>میلیون ریال</t>
        </is>
      </c>
      <c r="D198" s="33">
        <f>'ENG_COST'!$D$67*'ENG_COST'!$F$38</f>
        <v/>
      </c>
      <c r="E198" s="33">
        <f>'ENG_COST'!$E$67*'ENG_COST'!$F$38</f>
        <v/>
      </c>
      <c r="F198" s="33">
        <f>'ENG_COST'!$F$67*'ENG_COST'!$F$38</f>
        <v/>
      </c>
      <c r="G198" s="33">
        <f>'ENG_COST'!$G$67*'ENG_COST'!$F$38</f>
        <v/>
      </c>
      <c r="H198" s="33">
        <f>'ENG_COST'!$H$67*'ENG_COST'!$F$38</f>
        <v/>
      </c>
      <c r="I198" s="33">
        <f>'ENG_COST'!$I$67*'ENG_COST'!$F$38</f>
        <v/>
      </c>
      <c r="J198" s="33">
        <f>'ENG_COST'!$J$67*'ENG_COST'!$F$38</f>
        <v/>
      </c>
      <c r="K198" s="33">
        <f>'ENG_COST'!$K$67*'ENG_COST'!$F$38</f>
        <v/>
      </c>
      <c r="L198" s="33">
        <f>'ENG_COST'!$L$67*'ENG_COST'!$F$38</f>
        <v/>
      </c>
      <c r="M198" s="33">
        <f>'ENG_COST'!$M$67*'ENG_COST'!$F$38</f>
        <v/>
      </c>
      <c r="N198" s="33">
        <f>'ENG_COST'!$N$67*'ENG_COST'!$F$38</f>
        <v/>
      </c>
      <c r="O198" s="33">
        <f>'ENG_COST'!$O$67*'ENG_COST'!$F$38</f>
        <v/>
      </c>
      <c r="P198" s="33">
        <f>'ENG_COST'!$P$67*'ENG_COST'!$F$38</f>
        <v/>
      </c>
    </row>
    <row r="199">
      <c r="A199" s="15" t="inlineStr">
        <is>
          <t>FPC-06 ← ایستگاه 4</t>
        </is>
      </c>
      <c r="B199" s="16" t="inlineStr"/>
      <c r="C199" s="17" t="inlineStr">
        <is>
          <t>میلیون ریال</t>
        </is>
      </c>
      <c r="D199" s="33">
        <f>'ENG_COST'!$D$67*'ENG_COST'!$G$38</f>
        <v/>
      </c>
      <c r="E199" s="33">
        <f>'ENG_COST'!$E$67*'ENG_COST'!$G$38</f>
        <v/>
      </c>
      <c r="F199" s="33">
        <f>'ENG_COST'!$F$67*'ENG_COST'!$G$38</f>
        <v/>
      </c>
      <c r="G199" s="33">
        <f>'ENG_COST'!$G$67*'ENG_COST'!$G$38</f>
        <v/>
      </c>
      <c r="H199" s="33">
        <f>'ENG_COST'!$H$67*'ENG_COST'!$G$38</f>
        <v/>
      </c>
      <c r="I199" s="33">
        <f>'ENG_COST'!$I$67*'ENG_COST'!$G$38</f>
        <v/>
      </c>
      <c r="J199" s="33">
        <f>'ENG_COST'!$J$67*'ENG_COST'!$G$38</f>
        <v/>
      </c>
      <c r="K199" s="33">
        <f>'ENG_COST'!$K$67*'ENG_COST'!$G$38</f>
        <v/>
      </c>
      <c r="L199" s="33">
        <f>'ENG_COST'!$L$67*'ENG_COST'!$G$38</f>
        <v/>
      </c>
      <c r="M199" s="33">
        <f>'ENG_COST'!$M$67*'ENG_COST'!$G$38</f>
        <v/>
      </c>
      <c r="N199" s="33">
        <f>'ENG_COST'!$N$67*'ENG_COST'!$G$38</f>
        <v/>
      </c>
      <c r="O199" s="33">
        <f>'ENG_COST'!$O$67*'ENG_COST'!$G$38</f>
        <v/>
      </c>
      <c r="P199" s="33">
        <f>'ENG_COST'!$P$67*'ENG_COST'!$G$38</f>
        <v/>
      </c>
    </row>
    <row r="200">
      <c r="A200" s="15" t="inlineStr">
        <is>
          <t>FPC-06 ← ایستگاه 5</t>
        </is>
      </c>
      <c r="B200" s="16" t="inlineStr"/>
      <c r="C200" s="17" t="inlineStr">
        <is>
          <t>میلیون ریال</t>
        </is>
      </c>
      <c r="D200" s="33">
        <f>'ENG_COST'!$D$67*'ENG_COST'!$H$38</f>
        <v/>
      </c>
      <c r="E200" s="33">
        <f>'ENG_COST'!$E$67*'ENG_COST'!$H$38</f>
        <v/>
      </c>
      <c r="F200" s="33">
        <f>'ENG_COST'!$F$67*'ENG_COST'!$H$38</f>
        <v/>
      </c>
      <c r="G200" s="33">
        <f>'ENG_COST'!$G$67*'ENG_COST'!$H$38</f>
        <v/>
      </c>
      <c r="H200" s="33">
        <f>'ENG_COST'!$H$67*'ENG_COST'!$H$38</f>
        <v/>
      </c>
      <c r="I200" s="33">
        <f>'ENG_COST'!$I$67*'ENG_COST'!$H$38</f>
        <v/>
      </c>
      <c r="J200" s="33">
        <f>'ENG_COST'!$J$67*'ENG_COST'!$H$38</f>
        <v/>
      </c>
      <c r="K200" s="33">
        <f>'ENG_COST'!$K$67*'ENG_COST'!$H$38</f>
        <v/>
      </c>
      <c r="L200" s="33">
        <f>'ENG_COST'!$L$67*'ENG_COST'!$H$38</f>
        <v/>
      </c>
      <c r="M200" s="33">
        <f>'ENG_COST'!$M$67*'ENG_COST'!$H$38</f>
        <v/>
      </c>
      <c r="N200" s="33">
        <f>'ENG_COST'!$N$67*'ENG_COST'!$H$38</f>
        <v/>
      </c>
      <c r="O200" s="33">
        <f>'ENG_COST'!$O$67*'ENG_COST'!$H$38</f>
        <v/>
      </c>
      <c r="P200" s="33">
        <f>'ENG_COST'!$P$67*'ENG_COST'!$H$38</f>
        <v/>
      </c>
    </row>
    <row r="201">
      <c r="A201" s="15" t="inlineStr">
        <is>
          <t>FPC-06 ← ایستگاه 6</t>
        </is>
      </c>
      <c r="B201" s="16" t="inlineStr"/>
      <c r="C201" s="17" t="inlineStr">
        <is>
          <t>میلیون ریال</t>
        </is>
      </c>
      <c r="D201" s="33">
        <f>'ENG_COST'!$D$67*'ENG_COST'!$I$38</f>
        <v/>
      </c>
      <c r="E201" s="33">
        <f>'ENG_COST'!$E$67*'ENG_COST'!$I$38</f>
        <v/>
      </c>
      <c r="F201" s="33">
        <f>'ENG_COST'!$F$67*'ENG_COST'!$I$38</f>
        <v/>
      </c>
      <c r="G201" s="33">
        <f>'ENG_COST'!$G$67*'ENG_COST'!$I$38</f>
        <v/>
      </c>
      <c r="H201" s="33">
        <f>'ENG_COST'!$H$67*'ENG_COST'!$I$38</f>
        <v/>
      </c>
      <c r="I201" s="33">
        <f>'ENG_COST'!$I$67*'ENG_COST'!$I$38</f>
        <v/>
      </c>
      <c r="J201" s="33">
        <f>'ENG_COST'!$J$67*'ENG_COST'!$I$38</f>
        <v/>
      </c>
      <c r="K201" s="33">
        <f>'ENG_COST'!$K$67*'ENG_COST'!$I$38</f>
        <v/>
      </c>
      <c r="L201" s="33">
        <f>'ENG_COST'!$L$67*'ENG_COST'!$I$38</f>
        <v/>
      </c>
      <c r="M201" s="33">
        <f>'ENG_COST'!$M$67*'ENG_COST'!$I$38</f>
        <v/>
      </c>
      <c r="N201" s="33">
        <f>'ENG_COST'!$N$67*'ENG_COST'!$I$38</f>
        <v/>
      </c>
      <c r="O201" s="33">
        <f>'ENG_COST'!$O$67*'ENG_COST'!$I$38</f>
        <v/>
      </c>
      <c r="P201" s="33">
        <f>'ENG_COST'!$P$67*'ENG_COST'!$I$38</f>
        <v/>
      </c>
    </row>
    <row r="202">
      <c r="A202" s="15" t="inlineStr">
        <is>
          <t>FPC-07 ← ایستگاه 1</t>
        </is>
      </c>
      <c r="B202" s="16" t="inlineStr"/>
      <c r="C202" s="17" t="inlineStr">
        <is>
          <t>میلیون ریال</t>
        </is>
      </c>
      <c r="D202" s="33">
        <f>'ENG_COST'!$D$68*'ENG_COST'!$D$39</f>
        <v/>
      </c>
      <c r="E202" s="33">
        <f>'ENG_COST'!$E$68*'ENG_COST'!$D$39</f>
        <v/>
      </c>
      <c r="F202" s="33">
        <f>'ENG_COST'!$F$68*'ENG_COST'!$D$39</f>
        <v/>
      </c>
      <c r="G202" s="33">
        <f>'ENG_COST'!$G$68*'ENG_COST'!$D$39</f>
        <v/>
      </c>
      <c r="H202" s="33">
        <f>'ENG_COST'!$H$68*'ENG_COST'!$D$39</f>
        <v/>
      </c>
      <c r="I202" s="33">
        <f>'ENG_COST'!$I$68*'ENG_COST'!$D$39</f>
        <v/>
      </c>
      <c r="J202" s="33">
        <f>'ENG_COST'!$J$68*'ENG_COST'!$D$39</f>
        <v/>
      </c>
      <c r="K202" s="33">
        <f>'ENG_COST'!$K$68*'ENG_COST'!$D$39</f>
        <v/>
      </c>
      <c r="L202" s="33">
        <f>'ENG_COST'!$L$68*'ENG_COST'!$D$39</f>
        <v/>
      </c>
      <c r="M202" s="33">
        <f>'ENG_COST'!$M$68*'ENG_COST'!$D$39</f>
        <v/>
      </c>
      <c r="N202" s="33">
        <f>'ENG_COST'!$N$68*'ENG_COST'!$D$39</f>
        <v/>
      </c>
      <c r="O202" s="33">
        <f>'ENG_COST'!$O$68*'ENG_COST'!$D$39</f>
        <v/>
      </c>
      <c r="P202" s="33">
        <f>'ENG_COST'!$P$68*'ENG_COST'!$D$39</f>
        <v/>
      </c>
    </row>
    <row r="203">
      <c r="A203" s="15" t="inlineStr">
        <is>
          <t>FPC-07 ← ایستگاه 2</t>
        </is>
      </c>
      <c r="B203" s="16" t="inlineStr"/>
      <c r="C203" s="17" t="inlineStr">
        <is>
          <t>میلیون ریال</t>
        </is>
      </c>
      <c r="D203" s="33">
        <f>'ENG_COST'!$D$68*'ENG_COST'!$E$39</f>
        <v/>
      </c>
      <c r="E203" s="33">
        <f>'ENG_COST'!$E$68*'ENG_COST'!$E$39</f>
        <v/>
      </c>
      <c r="F203" s="33">
        <f>'ENG_COST'!$F$68*'ENG_COST'!$E$39</f>
        <v/>
      </c>
      <c r="G203" s="33">
        <f>'ENG_COST'!$G$68*'ENG_COST'!$E$39</f>
        <v/>
      </c>
      <c r="H203" s="33">
        <f>'ENG_COST'!$H$68*'ENG_COST'!$E$39</f>
        <v/>
      </c>
      <c r="I203" s="33">
        <f>'ENG_COST'!$I$68*'ENG_COST'!$E$39</f>
        <v/>
      </c>
      <c r="J203" s="33">
        <f>'ENG_COST'!$J$68*'ENG_COST'!$E$39</f>
        <v/>
      </c>
      <c r="K203" s="33">
        <f>'ENG_COST'!$K$68*'ENG_COST'!$E$39</f>
        <v/>
      </c>
      <c r="L203" s="33">
        <f>'ENG_COST'!$L$68*'ENG_COST'!$E$39</f>
        <v/>
      </c>
      <c r="M203" s="33">
        <f>'ENG_COST'!$M$68*'ENG_COST'!$E$39</f>
        <v/>
      </c>
      <c r="N203" s="33">
        <f>'ENG_COST'!$N$68*'ENG_COST'!$E$39</f>
        <v/>
      </c>
      <c r="O203" s="33">
        <f>'ENG_COST'!$O$68*'ENG_COST'!$E$39</f>
        <v/>
      </c>
      <c r="P203" s="33">
        <f>'ENG_COST'!$P$68*'ENG_COST'!$E$39</f>
        <v/>
      </c>
    </row>
    <row r="204">
      <c r="A204" s="15" t="inlineStr">
        <is>
          <t>FPC-07 ← ایستگاه 3</t>
        </is>
      </c>
      <c r="B204" s="16" t="inlineStr"/>
      <c r="C204" s="17" t="inlineStr">
        <is>
          <t>میلیون ریال</t>
        </is>
      </c>
      <c r="D204" s="33">
        <f>'ENG_COST'!$D$68*'ENG_COST'!$F$39</f>
        <v/>
      </c>
      <c r="E204" s="33">
        <f>'ENG_COST'!$E$68*'ENG_COST'!$F$39</f>
        <v/>
      </c>
      <c r="F204" s="33">
        <f>'ENG_COST'!$F$68*'ENG_COST'!$F$39</f>
        <v/>
      </c>
      <c r="G204" s="33">
        <f>'ENG_COST'!$G$68*'ENG_COST'!$F$39</f>
        <v/>
      </c>
      <c r="H204" s="33">
        <f>'ENG_COST'!$H$68*'ENG_COST'!$F$39</f>
        <v/>
      </c>
      <c r="I204" s="33">
        <f>'ENG_COST'!$I$68*'ENG_COST'!$F$39</f>
        <v/>
      </c>
      <c r="J204" s="33">
        <f>'ENG_COST'!$J$68*'ENG_COST'!$F$39</f>
        <v/>
      </c>
      <c r="K204" s="33">
        <f>'ENG_COST'!$K$68*'ENG_COST'!$F$39</f>
        <v/>
      </c>
      <c r="L204" s="33">
        <f>'ENG_COST'!$L$68*'ENG_COST'!$F$39</f>
        <v/>
      </c>
      <c r="M204" s="33">
        <f>'ENG_COST'!$M$68*'ENG_COST'!$F$39</f>
        <v/>
      </c>
      <c r="N204" s="33">
        <f>'ENG_COST'!$N$68*'ENG_COST'!$F$39</f>
        <v/>
      </c>
      <c r="O204" s="33">
        <f>'ENG_COST'!$O$68*'ENG_COST'!$F$39</f>
        <v/>
      </c>
      <c r="P204" s="33">
        <f>'ENG_COST'!$P$68*'ENG_COST'!$F$39</f>
        <v/>
      </c>
    </row>
    <row r="205">
      <c r="A205" s="15" t="inlineStr">
        <is>
          <t>FPC-07 ← ایستگاه 4</t>
        </is>
      </c>
      <c r="B205" s="16" t="inlineStr"/>
      <c r="C205" s="17" t="inlineStr">
        <is>
          <t>میلیون ریال</t>
        </is>
      </c>
      <c r="D205" s="33">
        <f>'ENG_COST'!$D$68*'ENG_COST'!$G$39</f>
        <v/>
      </c>
      <c r="E205" s="33">
        <f>'ENG_COST'!$E$68*'ENG_COST'!$G$39</f>
        <v/>
      </c>
      <c r="F205" s="33">
        <f>'ENG_COST'!$F$68*'ENG_COST'!$G$39</f>
        <v/>
      </c>
      <c r="G205" s="33">
        <f>'ENG_COST'!$G$68*'ENG_COST'!$G$39</f>
        <v/>
      </c>
      <c r="H205" s="33">
        <f>'ENG_COST'!$H$68*'ENG_COST'!$G$39</f>
        <v/>
      </c>
      <c r="I205" s="33">
        <f>'ENG_COST'!$I$68*'ENG_COST'!$G$39</f>
        <v/>
      </c>
      <c r="J205" s="33">
        <f>'ENG_COST'!$J$68*'ENG_COST'!$G$39</f>
        <v/>
      </c>
      <c r="K205" s="33">
        <f>'ENG_COST'!$K$68*'ENG_COST'!$G$39</f>
        <v/>
      </c>
      <c r="L205" s="33">
        <f>'ENG_COST'!$L$68*'ENG_COST'!$G$39</f>
        <v/>
      </c>
      <c r="M205" s="33">
        <f>'ENG_COST'!$M$68*'ENG_COST'!$G$39</f>
        <v/>
      </c>
      <c r="N205" s="33">
        <f>'ENG_COST'!$N$68*'ENG_COST'!$G$39</f>
        <v/>
      </c>
      <c r="O205" s="33">
        <f>'ENG_COST'!$O$68*'ENG_COST'!$G$39</f>
        <v/>
      </c>
      <c r="P205" s="33">
        <f>'ENG_COST'!$P$68*'ENG_COST'!$G$39</f>
        <v/>
      </c>
    </row>
    <row r="206">
      <c r="A206" s="15" t="inlineStr">
        <is>
          <t>FPC-07 ← ایستگاه 5</t>
        </is>
      </c>
      <c r="B206" s="16" t="inlineStr"/>
      <c r="C206" s="17" t="inlineStr">
        <is>
          <t>میلیون ریال</t>
        </is>
      </c>
      <c r="D206" s="33">
        <f>'ENG_COST'!$D$68*'ENG_COST'!$H$39</f>
        <v/>
      </c>
      <c r="E206" s="33">
        <f>'ENG_COST'!$E$68*'ENG_COST'!$H$39</f>
        <v/>
      </c>
      <c r="F206" s="33">
        <f>'ENG_COST'!$F$68*'ENG_COST'!$H$39</f>
        <v/>
      </c>
      <c r="G206" s="33">
        <f>'ENG_COST'!$G$68*'ENG_COST'!$H$39</f>
        <v/>
      </c>
      <c r="H206" s="33">
        <f>'ENG_COST'!$H$68*'ENG_COST'!$H$39</f>
        <v/>
      </c>
      <c r="I206" s="33">
        <f>'ENG_COST'!$I$68*'ENG_COST'!$H$39</f>
        <v/>
      </c>
      <c r="J206" s="33">
        <f>'ENG_COST'!$J$68*'ENG_COST'!$H$39</f>
        <v/>
      </c>
      <c r="K206" s="33">
        <f>'ENG_COST'!$K$68*'ENG_COST'!$H$39</f>
        <v/>
      </c>
      <c r="L206" s="33">
        <f>'ENG_COST'!$L$68*'ENG_COST'!$H$39</f>
        <v/>
      </c>
      <c r="M206" s="33">
        <f>'ENG_COST'!$M$68*'ENG_COST'!$H$39</f>
        <v/>
      </c>
      <c r="N206" s="33">
        <f>'ENG_COST'!$N$68*'ENG_COST'!$H$39</f>
        <v/>
      </c>
      <c r="O206" s="33">
        <f>'ENG_COST'!$O$68*'ENG_COST'!$H$39</f>
        <v/>
      </c>
      <c r="P206" s="33">
        <f>'ENG_COST'!$P$68*'ENG_COST'!$H$39</f>
        <v/>
      </c>
    </row>
    <row r="207">
      <c r="A207" s="15" t="inlineStr">
        <is>
          <t>FPC-07 ← ایستگاه 6</t>
        </is>
      </c>
      <c r="B207" s="16" t="inlineStr"/>
      <c r="C207" s="17" t="inlineStr">
        <is>
          <t>میلیون ریال</t>
        </is>
      </c>
      <c r="D207" s="33">
        <f>'ENG_COST'!$D$68*'ENG_COST'!$I$39</f>
        <v/>
      </c>
      <c r="E207" s="33">
        <f>'ENG_COST'!$E$68*'ENG_COST'!$I$39</f>
        <v/>
      </c>
      <c r="F207" s="33">
        <f>'ENG_COST'!$F$68*'ENG_COST'!$I$39</f>
        <v/>
      </c>
      <c r="G207" s="33">
        <f>'ENG_COST'!$G$68*'ENG_COST'!$I$39</f>
        <v/>
      </c>
      <c r="H207" s="33">
        <f>'ENG_COST'!$H$68*'ENG_COST'!$I$39</f>
        <v/>
      </c>
      <c r="I207" s="33">
        <f>'ENG_COST'!$I$68*'ENG_COST'!$I$39</f>
        <v/>
      </c>
      <c r="J207" s="33">
        <f>'ENG_COST'!$J$68*'ENG_COST'!$I$39</f>
        <v/>
      </c>
      <c r="K207" s="33">
        <f>'ENG_COST'!$K$68*'ENG_COST'!$I$39</f>
        <v/>
      </c>
      <c r="L207" s="33">
        <f>'ENG_COST'!$L$68*'ENG_COST'!$I$39</f>
        <v/>
      </c>
      <c r="M207" s="33">
        <f>'ENG_COST'!$M$68*'ENG_COST'!$I$39</f>
        <v/>
      </c>
      <c r="N207" s="33">
        <f>'ENG_COST'!$N$68*'ENG_COST'!$I$39</f>
        <v/>
      </c>
      <c r="O207" s="33">
        <f>'ENG_COST'!$O$68*'ENG_COST'!$I$39</f>
        <v/>
      </c>
      <c r="P207" s="33">
        <f>'ENG_COST'!$P$68*'ENG_COST'!$I$39</f>
        <v/>
      </c>
    </row>
    <row r="208">
      <c r="A208" s="15" t="inlineStr">
        <is>
          <t>FPC-08 ← ایستگاه 1</t>
        </is>
      </c>
      <c r="B208" s="16" t="inlineStr"/>
      <c r="C208" s="17" t="inlineStr">
        <is>
          <t>میلیون ریال</t>
        </is>
      </c>
      <c r="D208" s="33">
        <f>'ENG_COST'!$D$69*'ENG_COST'!$D$40</f>
        <v/>
      </c>
      <c r="E208" s="33">
        <f>'ENG_COST'!$E$69*'ENG_COST'!$D$40</f>
        <v/>
      </c>
      <c r="F208" s="33">
        <f>'ENG_COST'!$F$69*'ENG_COST'!$D$40</f>
        <v/>
      </c>
      <c r="G208" s="33">
        <f>'ENG_COST'!$G$69*'ENG_COST'!$D$40</f>
        <v/>
      </c>
      <c r="H208" s="33">
        <f>'ENG_COST'!$H$69*'ENG_COST'!$D$40</f>
        <v/>
      </c>
      <c r="I208" s="33">
        <f>'ENG_COST'!$I$69*'ENG_COST'!$D$40</f>
        <v/>
      </c>
      <c r="J208" s="33">
        <f>'ENG_COST'!$J$69*'ENG_COST'!$D$40</f>
        <v/>
      </c>
      <c r="K208" s="33">
        <f>'ENG_COST'!$K$69*'ENG_COST'!$D$40</f>
        <v/>
      </c>
      <c r="L208" s="33">
        <f>'ENG_COST'!$L$69*'ENG_COST'!$D$40</f>
        <v/>
      </c>
      <c r="M208" s="33">
        <f>'ENG_COST'!$M$69*'ENG_COST'!$D$40</f>
        <v/>
      </c>
      <c r="N208" s="33">
        <f>'ENG_COST'!$N$69*'ENG_COST'!$D$40</f>
        <v/>
      </c>
      <c r="O208" s="33">
        <f>'ENG_COST'!$O$69*'ENG_COST'!$D$40</f>
        <v/>
      </c>
      <c r="P208" s="33">
        <f>'ENG_COST'!$P$69*'ENG_COST'!$D$40</f>
        <v/>
      </c>
    </row>
    <row r="209">
      <c r="A209" s="15" t="inlineStr">
        <is>
          <t>FPC-08 ← ایستگاه 2</t>
        </is>
      </c>
      <c r="B209" s="16" t="inlineStr"/>
      <c r="C209" s="17" t="inlineStr">
        <is>
          <t>میلیون ریال</t>
        </is>
      </c>
      <c r="D209" s="33">
        <f>'ENG_COST'!$D$69*'ENG_COST'!$E$40</f>
        <v/>
      </c>
      <c r="E209" s="33">
        <f>'ENG_COST'!$E$69*'ENG_COST'!$E$40</f>
        <v/>
      </c>
      <c r="F209" s="33">
        <f>'ENG_COST'!$F$69*'ENG_COST'!$E$40</f>
        <v/>
      </c>
      <c r="G209" s="33">
        <f>'ENG_COST'!$G$69*'ENG_COST'!$E$40</f>
        <v/>
      </c>
      <c r="H209" s="33">
        <f>'ENG_COST'!$H$69*'ENG_COST'!$E$40</f>
        <v/>
      </c>
      <c r="I209" s="33">
        <f>'ENG_COST'!$I$69*'ENG_COST'!$E$40</f>
        <v/>
      </c>
      <c r="J209" s="33">
        <f>'ENG_COST'!$J$69*'ENG_COST'!$E$40</f>
        <v/>
      </c>
      <c r="K209" s="33">
        <f>'ENG_COST'!$K$69*'ENG_COST'!$E$40</f>
        <v/>
      </c>
      <c r="L209" s="33">
        <f>'ENG_COST'!$L$69*'ENG_COST'!$E$40</f>
        <v/>
      </c>
      <c r="M209" s="33">
        <f>'ENG_COST'!$M$69*'ENG_COST'!$E$40</f>
        <v/>
      </c>
      <c r="N209" s="33">
        <f>'ENG_COST'!$N$69*'ENG_COST'!$E$40</f>
        <v/>
      </c>
      <c r="O209" s="33">
        <f>'ENG_COST'!$O$69*'ENG_COST'!$E$40</f>
        <v/>
      </c>
      <c r="P209" s="33">
        <f>'ENG_COST'!$P$69*'ENG_COST'!$E$40</f>
        <v/>
      </c>
    </row>
    <row r="210">
      <c r="A210" s="15" t="inlineStr">
        <is>
          <t>FPC-08 ← ایستگاه 3</t>
        </is>
      </c>
      <c r="B210" s="16" t="inlineStr"/>
      <c r="C210" s="17" t="inlineStr">
        <is>
          <t>میلیون ریال</t>
        </is>
      </c>
      <c r="D210" s="33">
        <f>'ENG_COST'!$D$69*'ENG_COST'!$F$40</f>
        <v/>
      </c>
      <c r="E210" s="33">
        <f>'ENG_COST'!$E$69*'ENG_COST'!$F$40</f>
        <v/>
      </c>
      <c r="F210" s="33">
        <f>'ENG_COST'!$F$69*'ENG_COST'!$F$40</f>
        <v/>
      </c>
      <c r="G210" s="33">
        <f>'ENG_COST'!$G$69*'ENG_COST'!$F$40</f>
        <v/>
      </c>
      <c r="H210" s="33">
        <f>'ENG_COST'!$H$69*'ENG_COST'!$F$40</f>
        <v/>
      </c>
      <c r="I210" s="33">
        <f>'ENG_COST'!$I$69*'ENG_COST'!$F$40</f>
        <v/>
      </c>
      <c r="J210" s="33">
        <f>'ENG_COST'!$J$69*'ENG_COST'!$F$40</f>
        <v/>
      </c>
      <c r="K210" s="33">
        <f>'ENG_COST'!$K$69*'ENG_COST'!$F$40</f>
        <v/>
      </c>
      <c r="L210" s="33">
        <f>'ENG_COST'!$L$69*'ENG_COST'!$F$40</f>
        <v/>
      </c>
      <c r="M210" s="33">
        <f>'ENG_COST'!$M$69*'ENG_COST'!$F$40</f>
        <v/>
      </c>
      <c r="N210" s="33">
        <f>'ENG_COST'!$N$69*'ENG_COST'!$F$40</f>
        <v/>
      </c>
      <c r="O210" s="33">
        <f>'ENG_COST'!$O$69*'ENG_COST'!$F$40</f>
        <v/>
      </c>
      <c r="P210" s="33">
        <f>'ENG_COST'!$P$69*'ENG_COST'!$F$40</f>
        <v/>
      </c>
    </row>
    <row r="211">
      <c r="A211" s="15" t="inlineStr">
        <is>
          <t>FPC-08 ← ایستگاه 4</t>
        </is>
      </c>
      <c r="B211" s="16" t="inlineStr"/>
      <c r="C211" s="17" t="inlineStr">
        <is>
          <t>میلیون ریال</t>
        </is>
      </c>
      <c r="D211" s="33">
        <f>'ENG_COST'!$D$69*'ENG_COST'!$G$40</f>
        <v/>
      </c>
      <c r="E211" s="33">
        <f>'ENG_COST'!$E$69*'ENG_COST'!$G$40</f>
        <v/>
      </c>
      <c r="F211" s="33">
        <f>'ENG_COST'!$F$69*'ENG_COST'!$G$40</f>
        <v/>
      </c>
      <c r="G211" s="33">
        <f>'ENG_COST'!$G$69*'ENG_COST'!$G$40</f>
        <v/>
      </c>
      <c r="H211" s="33">
        <f>'ENG_COST'!$H$69*'ENG_COST'!$G$40</f>
        <v/>
      </c>
      <c r="I211" s="33">
        <f>'ENG_COST'!$I$69*'ENG_COST'!$G$40</f>
        <v/>
      </c>
      <c r="J211" s="33">
        <f>'ENG_COST'!$J$69*'ENG_COST'!$G$40</f>
        <v/>
      </c>
      <c r="K211" s="33">
        <f>'ENG_COST'!$K$69*'ENG_COST'!$G$40</f>
        <v/>
      </c>
      <c r="L211" s="33">
        <f>'ENG_COST'!$L$69*'ENG_COST'!$G$40</f>
        <v/>
      </c>
      <c r="M211" s="33">
        <f>'ENG_COST'!$M$69*'ENG_COST'!$G$40</f>
        <v/>
      </c>
      <c r="N211" s="33">
        <f>'ENG_COST'!$N$69*'ENG_COST'!$G$40</f>
        <v/>
      </c>
      <c r="O211" s="33">
        <f>'ENG_COST'!$O$69*'ENG_COST'!$G$40</f>
        <v/>
      </c>
      <c r="P211" s="33">
        <f>'ENG_COST'!$P$69*'ENG_COST'!$G$40</f>
        <v/>
      </c>
    </row>
    <row r="212">
      <c r="A212" s="15" t="inlineStr">
        <is>
          <t>FPC-08 ← ایستگاه 5</t>
        </is>
      </c>
      <c r="B212" s="16" t="inlineStr"/>
      <c r="C212" s="17" t="inlineStr">
        <is>
          <t>میلیون ریال</t>
        </is>
      </c>
      <c r="D212" s="33">
        <f>'ENG_COST'!$D$69*'ENG_COST'!$H$40</f>
        <v/>
      </c>
      <c r="E212" s="33">
        <f>'ENG_COST'!$E$69*'ENG_COST'!$H$40</f>
        <v/>
      </c>
      <c r="F212" s="33">
        <f>'ENG_COST'!$F$69*'ENG_COST'!$H$40</f>
        <v/>
      </c>
      <c r="G212" s="33">
        <f>'ENG_COST'!$G$69*'ENG_COST'!$H$40</f>
        <v/>
      </c>
      <c r="H212" s="33">
        <f>'ENG_COST'!$H$69*'ENG_COST'!$H$40</f>
        <v/>
      </c>
      <c r="I212" s="33">
        <f>'ENG_COST'!$I$69*'ENG_COST'!$H$40</f>
        <v/>
      </c>
      <c r="J212" s="33">
        <f>'ENG_COST'!$J$69*'ENG_COST'!$H$40</f>
        <v/>
      </c>
      <c r="K212" s="33">
        <f>'ENG_COST'!$K$69*'ENG_COST'!$H$40</f>
        <v/>
      </c>
      <c r="L212" s="33">
        <f>'ENG_COST'!$L$69*'ENG_COST'!$H$40</f>
        <v/>
      </c>
      <c r="M212" s="33">
        <f>'ENG_COST'!$M$69*'ENG_COST'!$H$40</f>
        <v/>
      </c>
      <c r="N212" s="33">
        <f>'ENG_COST'!$N$69*'ENG_COST'!$H$40</f>
        <v/>
      </c>
      <c r="O212" s="33">
        <f>'ENG_COST'!$O$69*'ENG_COST'!$H$40</f>
        <v/>
      </c>
      <c r="P212" s="33">
        <f>'ENG_COST'!$P$69*'ENG_COST'!$H$40</f>
        <v/>
      </c>
    </row>
    <row r="213">
      <c r="A213" s="15" t="inlineStr">
        <is>
          <t>FPC-08 ← ایستگاه 6</t>
        </is>
      </c>
      <c r="B213" s="16" t="inlineStr"/>
      <c r="C213" s="17" t="inlineStr">
        <is>
          <t>میلیون ریال</t>
        </is>
      </c>
      <c r="D213" s="33">
        <f>'ENG_COST'!$D$69*'ENG_COST'!$I$40</f>
        <v/>
      </c>
      <c r="E213" s="33">
        <f>'ENG_COST'!$E$69*'ENG_COST'!$I$40</f>
        <v/>
      </c>
      <c r="F213" s="33">
        <f>'ENG_COST'!$F$69*'ENG_COST'!$I$40</f>
        <v/>
      </c>
      <c r="G213" s="33">
        <f>'ENG_COST'!$G$69*'ENG_COST'!$I$40</f>
        <v/>
      </c>
      <c r="H213" s="33">
        <f>'ENG_COST'!$H$69*'ENG_COST'!$I$40</f>
        <v/>
      </c>
      <c r="I213" s="33">
        <f>'ENG_COST'!$I$69*'ENG_COST'!$I$40</f>
        <v/>
      </c>
      <c r="J213" s="33">
        <f>'ENG_COST'!$J$69*'ENG_COST'!$I$40</f>
        <v/>
      </c>
      <c r="K213" s="33">
        <f>'ENG_COST'!$K$69*'ENG_COST'!$I$40</f>
        <v/>
      </c>
      <c r="L213" s="33">
        <f>'ENG_COST'!$L$69*'ENG_COST'!$I$40</f>
        <v/>
      </c>
      <c r="M213" s="33">
        <f>'ENG_COST'!$M$69*'ENG_COST'!$I$40</f>
        <v/>
      </c>
      <c r="N213" s="33">
        <f>'ENG_COST'!$N$69*'ENG_COST'!$I$40</f>
        <v/>
      </c>
      <c r="O213" s="33">
        <f>'ENG_COST'!$O$69*'ENG_COST'!$I$40</f>
        <v/>
      </c>
      <c r="P213" s="33">
        <f>'ENG_COST'!$P$69*'ENG_COST'!$I$40</f>
        <v/>
      </c>
    </row>
    <row r="214">
      <c r="A214" s="15" t="inlineStr">
        <is>
          <t>FPC-09 ← ایستگاه 1</t>
        </is>
      </c>
      <c r="B214" s="16" t="inlineStr"/>
      <c r="C214" s="17" t="inlineStr">
        <is>
          <t>میلیون ریال</t>
        </is>
      </c>
      <c r="D214" s="33">
        <f>'ENG_COST'!$D$70*'ENG_COST'!$D$41</f>
        <v/>
      </c>
      <c r="E214" s="33">
        <f>'ENG_COST'!$E$70*'ENG_COST'!$D$41</f>
        <v/>
      </c>
      <c r="F214" s="33">
        <f>'ENG_COST'!$F$70*'ENG_COST'!$D$41</f>
        <v/>
      </c>
      <c r="G214" s="33">
        <f>'ENG_COST'!$G$70*'ENG_COST'!$D$41</f>
        <v/>
      </c>
      <c r="H214" s="33">
        <f>'ENG_COST'!$H$70*'ENG_COST'!$D$41</f>
        <v/>
      </c>
      <c r="I214" s="33">
        <f>'ENG_COST'!$I$70*'ENG_COST'!$D$41</f>
        <v/>
      </c>
      <c r="J214" s="33">
        <f>'ENG_COST'!$J$70*'ENG_COST'!$D$41</f>
        <v/>
      </c>
      <c r="K214" s="33">
        <f>'ENG_COST'!$K$70*'ENG_COST'!$D$41</f>
        <v/>
      </c>
      <c r="L214" s="33">
        <f>'ENG_COST'!$L$70*'ENG_COST'!$D$41</f>
        <v/>
      </c>
      <c r="M214" s="33">
        <f>'ENG_COST'!$M$70*'ENG_COST'!$D$41</f>
        <v/>
      </c>
      <c r="N214" s="33">
        <f>'ENG_COST'!$N$70*'ENG_COST'!$D$41</f>
        <v/>
      </c>
      <c r="O214" s="33">
        <f>'ENG_COST'!$O$70*'ENG_COST'!$D$41</f>
        <v/>
      </c>
      <c r="P214" s="33">
        <f>'ENG_COST'!$P$70*'ENG_COST'!$D$41</f>
        <v/>
      </c>
    </row>
    <row r="215">
      <c r="A215" s="15" t="inlineStr">
        <is>
          <t>FPC-09 ← ایستگاه 2</t>
        </is>
      </c>
      <c r="B215" s="16" t="inlineStr"/>
      <c r="C215" s="17" t="inlineStr">
        <is>
          <t>میلیون ریال</t>
        </is>
      </c>
      <c r="D215" s="33">
        <f>'ENG_COST'!$D$70*'ENG_COST'!$E$41</f>
        <v/>
      </c>
      <c r="E215" s="33">
        <f>'ENG_COST'!$E$70*'ENG_COST'!$E$41</f>
        <v/>
      </c>
      <c r="F215" s="33">
        <f>'ENG_COST'!$F$70*'ENG_COST'!$E$41</f>
        <v/>
      </c>
      <c r="G215" s="33">
        <f>'ENG_COST'!$G$70*'ENG_COST'!$E$41</f>
        <v/>
      </c>
      <c r="H215" s="33">
        <f>'ENG_COST'!$H$70*'ENG_COST'!$E$41</f>
        <v/>
      </c>
      <c r="I215" s="33">
        <f>'ENG_COST'!$I$70*'ENG_COST'!$E$41</f>
        <v/>
      </c>
      <c r="J215" s="33">
        <f>'ENG_COST'!$J$70*'ENG_COST'!$E$41</f>
        <v/>
      </c>
      <c r="K215" s="33">
        <f>'ENG_COST'!$K$70*'ENG_COST'!$E$41</f>
        <v/>
      </c>
      <c r="L215" s="33">
        <f>'ENG_COST'!$L$70*'ENG_COST'!$E$41</f>
        <v/>
      </c>
      <c r="M215" s="33">
        <f>'ENG_COST'!$M$70*'ENG_COST'!$E$41</f>
        <v/>
      </c>
      <c r="N215" s="33">
        <f>'ENG_COST'!$N$70*'ENG_COST'!$E$41</f>
        <v/>
      </c>
      <c r="O215" s="33">
        <f>'ENG_COST'!$O$70*'ENG_COST'!$E$41</f>
        <v/>
      </c>
      <c r="P215" s="33">
        <f>'ENG_COST'!$P$70*'ENG_COST'!$E$41</f>
        <v/>
      </c>
    </row>
    <row r="216">
      <c r="A216" s="15" t="inlineStr">
        <is>
          <t>FPC-09 ← ایستگاه 3</t>
        </is>
      </c>
      <c r="B216" s="16" t="inlineStr"/>
      <c r="C216" s="17" t="inlineStr">
        <is>
          <t>میلیون ریال</t>
        </is>
      </c>
      <c r="D216" s="33">
        <f>'ENG_COST'!$D$70*'ENG_COST'!$F$41</f>
        <v/>
      </c>
      <c r="E216" s="33">
        <f>'ENG_COST'!$E$70*'ENG_COST'!$F$41</f>
        <v/>
      </c>
      <c r="F216" s="33">
        <f>'ENG_COST'!$F$70*'ENG_COST'!$F$41</f>
        <v/>
      </c>
      <c r="G216" s="33">
        <f>'ENG_COST'!$G$70*'ENG_COST'!$F$41</f>
        <v/>
      </c>
      <c r="H216" s="33">
        <f>'ENG_COST'!$H$70*'ENG_COST'!$F$41</f>
        <v/>
      </c>
      <c r="I216" s="33">
        <f>'ENG_COST'!$I$70*'ENG_COST'!$F$41</f>
        <v/>
      </c>
      <c r="J216" s="33">
        <f>'ENG_COST'!$J$70*'ENG_COST'!$F$41</f>
        <v/>
      </c>
      <c r="K216" s="33">
        <f>'ENG_COST'!$K$70*'ENG_COST'!$F$41</f>
        <v/>
      </c>
      <c r="L216" s="33">
        <f>'ENG_COST'!$L$70*'ENG_COST'!$F$41</f>
        <v/>
      </c>
      <c r="M216" s="33">
        <f>'ENG_COST'!$M$70*'ENG_COST'!$F$41</f>
        <v/>
      </c>
      <c r="N216" s="33">
        <f>'ENG_COST'!$N$70*'ENG_COST'!$F$41</f>
        <v/>
      </c>
      <c r="O216" s="33">
        <f>'ENG_COST'!$O$70*'ENG_COST'!$F$41</f>
        <v/>
      </c>
      <c r="P216" s="33">
        <f>'ENG_COST'!$P$70*'ENG_COST'!$F$41</f>
        <v/>
      </c>
    </row>
    <row r="217">
      <c r="A217" s="15" t="inlineStr">
        <is>
          <t>FPC-09 ← ایستگاه 4</t>
        </is>
      </c>
      <c r="B217" s="16" t="inlineStr"/>
      <c r="C217" s="17" t="inlineStr">
        <is>
          <t>میلیون ریال</t>
        </is>
      </c>
      <c r="D217" s="33">
        <f>'ENG_COST'!$D$70*'ENG_COST'!$G$41</f>
        <v/>
      </c>
      <c r="E217" s="33">
        <f>'ENG_COST'!$E$70*'ENG_COST'!$G$41</f>
        <v/>
      </c>
      <c r="F217" s="33">
        <f>'ENG_COST'!$F$70*'ENG_COST'!$G$41</f>
        <v/>
      </c>
      <c r="G217" s="33">
        <f>'ENG_COST'!$G$70*'ENG_COST'!$G$41</f>
        <v/>
      </c>
      <c r="H217" s="33">
        <f>'ENG_COST'!$H$70*'ENG_COST'!$G$41</f>
        <v/>
      </c>
      <c r="I217" s="33">
        <f>'ENG_COST'!$I$70*'ENG_COST'!$G$41</f>
        <v/>
      </c>
      <c r="J217" s="33">
        <f>'ENG_COST'!$J$70*'ENG_COST'!$G$41</f>
        <v/>
      </c>
      <c r="K217" s="33">
        <f>'ENG_COST'!$K$70*'ENG_COST'!$G$41</f>
        <v/>
      </c>
      <c r="L217" s="33">
        <f>'ENG_COST'!$L$70*'ENG_COST'!$G$41</f>
        <v/>
      </c>
      <c r="M217" s="33">
        <f>'ENG_COST'!$M$70*'ENG_COST'!$G$41</f>
        <v/>
      </c>
      <c r="N217" s="33">
        <f>'ENG_COST'!$N$70*'ENG_COST'!$G$41</f>
        <v/>
      </c>
      <c r="O217" s="33">
        <f>'ENG_COST'!$O$70*'ENG_COST'!$G$41</f>
        <v/>
      </c>
      <c r="P217" s="33">
        <f>'ENG_COST'!$P$70*'ENG_COST'!$G$41</f>
        <v/>
      </c>
    </row>
    <row r="218">
      <c r="A218" s="15" t="inlineStr">
        <is>
          <t>FPC-09 ← ایستگاه 5</t>
        </is>
      </c>
      <c r="B218" s="16" t="inlineStr"/>
      <c r="C218" s="17" t="inlineStr">
        <is>
          <t>میلیون ریال</t>
        </is>
      </c>
      <c r="D218" s="33">
        <f>'ENG_COST'!$D$70*'ENG_COST'!$H$41</f>
        <v/>
      </c>
      <c r="E218" s="33">
        <f>'ENG_COST'!$E$70*'ENG_COST'!$H$41</f>
        <v/>
      </c>
      <c r="F218" s="33">
        <f>'ENG_COST'!$F$70*'ENG_COST'!$H$41</f>
        <v/>
      </c>
      <c r="G218" s="33">
        <f>'ENG_COST'!$G$70*'ENG_COST'!$H$41</f>
        <v/>
      </c>
      <c r="H218" s="33">
        <f>'ENG_COST'!$H$70*'ENG_COST'!$H$41</f>
        <v/>
      </c>
      <c r="I218" s="33">
        <f>'ENG_COST'!$I$70*'ENG_COST'!$H$41</f>
        <v/>
      </c>
      <c r="J218" s="33">
        <f>'ENG_COST'!$J$70*'ENG_COST'!$H$41</f>
        <v/>
      </c>
      <c r="K218" s="33">
        <f>'ENG_COST'!$K$70*'ENG_COST'!$H$41</f>
        <v/>
      </c>
      <c r="L218" s="33">
        <f>'ENG_COST'!$L$70*'ENG_COST'!$H$41</f>
        <v/>
      </c>
      <c r="M218" s="33">
        <f>'ENG_COST'!$M$70*'ENG_COST'!$H$41</f>
        <v/>
      </c>
      <c r="N218" s="33">
        <f>'ENG_COST'!$N$70*'ENG_COST'!$H$41</f>
        <v/>
      </c>
      <c r="O218" s="33">
        <f>'ENG_COST'!$O$70*'ENG_COST'!$H$41</f>
        <v/>
      </c>
      <c r="P218" s="33">
        <f>'ENG_COST'!$P$70*'ENG_COST'!$H$41</f>
        <v/>
      </c>
    </row>
    <row r="219">
      <c r="A219" s="15" t="inlineStr">
        <is>
          <t>FPC-09 ← ایستگاه 6</t>
        </is>
      </c>
      <c r="B219" s="16" t="inlineStr"/>
      <c r="C219" s="17" t="inlineStr">
        <is>
          <t>میلیون ریال</t>
        </is>
      </c>
      <c r="D219" s="33">
        <f>'ENG_COST'!$D$70*'ENG_COST'!$I$41</f>
        <v/>
      </c>
      <c r="E219" s="33">
        <f>'ENG_COST'!$E$70*'ENG_COST'!$I$41</f>
        <v/>
      </c>
      <c r="F219" s="33">
        <f>'ENG_COST'!$F$70*'ENG_COST'!$I$41</f>
        <v/>
      </c>
      <c r="G219" s="33">
        <f>'ENG_COST'!$G$70*'ENG_COST'!$I$41</f>
        <v/>
      </c>
      <c r="H219" s="33">
        <f>'ENG_COST'!$H$70*'ENG_COST'!$I$41</f>
        <v/>
      </c>
      <c r="I219" s="33">
        <f>'ENG_COST'!$I$70*'ENG_COST'!$I$41</f>
        <v/>
      </c>
      <c r="J219" s="33">
        <f>'ENG_COST'!$J$70*'ENG_COST'!$I$41</f>
        <v/>
      </c>
      <c r="K219" s="33">
        <f>'ENG_COST'!$K$70*'ENG_COST'!$I$41</f>
        <v/>
      </c>
      <c r="L219" s="33">
        <f>'ENG_COST'!$L$70*'ENG_COST'!$I$41</f>
        <v/>
      </c>
      <c r="M219" s="33">
        <f>'ENG_COST'!$M$70*'ENG_COST'!$I$41</f>
        <v/>
      </c>
      <c r="N219" s="33">
        <f>'ENG_COST'!$N$70*'ENG_COST'!$I$41</f>
        <v/>
      </c>
      <c r="O219" s="33">
        <f>'ENG_COST'!$O$70*'ENG_COST'!$I$41</f>
        <v/>
      </c>
      <c r="P219" s="33">
        <f>'ENG_COST'!$P$70*'ENG_COST'!$I$41</f>
        <v/>
      </c>
    </row>
    <row r="220">
      <c r="A220" s="15" t="inlineStr">
        <is>
          <t>FPC-10 ← ایستگاه 1</t>
        </is>
      </c>
      <c r="B220" s="16" t="inlineStr"/>
      <c r="C220" s="17" t="inlineStr">
        <is>
          <t>میلیون ریال</t>
        </is>
      </c>
      <c r="D220" s="33">
        <f>'ENG_COST'!$D$71*'ENG_COST'!$D$42</f>
        <v/>
      </c>
      <c r="E220" s="33">
        <f>'ENG_COST'!$E$71*'ENG_COST'!$D$42</f>
        <v/>
      </c>
      <c r="F220" s="33">
        <f>'ENG_COST'!$F$71*'ENG_COST'!$D$42</f>
        <v/>
      </c>
      <c r="G220" s="33">
        <f>'ENG_COST'!$G$71*'ENG_COST'!$D$42</f>
        <v/>
      </c>
      <c r="H220" s="33">
        <f>'ENG_COST'!$H$71*'ENG_COST'!$D$42</f>
        <v/>
      </c>
      <c r="I220" s="33">
        <f>'ENG_COST'!$I$71*'ENG_COST'!$D$42</f>
        <v/>
      </c>
      <c r="J220" s="33">
        <f>'ENG_COST'!$J$71*'ENG_COST'!$D$42</f>
        <v/>
      </c>
      <c r="K220" s="33">
        <f>'ENG_COST'!$K$71*'ENG_COST'!$D$42</f>
        <v/>
      </c>
      <c r="L220" s="33">
        <f>'ENG_COST'!$L$71*'ENG_COST'!$D$42</f>
        <v/>
      </c>
      <c r="M220" s="33">
        <f>'ENG_COST'!$M$71*'ENG_COST'!$D$42</f>
        <v/>
      </c>
      <c r="N220" s="33">
        <f>'ENG_COST'!$N$71*'ENG_COST'!$D$42</f>
        <v/>
      </c>
      <c r="O220" s="33">
        <f>'ENG_COST'!$O$71*'ENG_COST'!$D$42</f>
        <v/>
      </c>
      <c r="P220" s="33">
        <f>'ENG_COST'!$P$71*'ENG_COST'!$D$42</f>
        <v/>
      </c>
    </row>
    <row r="221">
      <c r="A221" s="15" t="inlineStr">
        <is>
          <t>FPC-10 ← ایستگاه 2</t>
        </is>
      </c>
      <c r="B221" s="16" t="inlineStr"/>
      <c r="C221" s="17" t="inlineStr">
        <is>
          <t>میلیون ریال</t>
        </is>
      </c>
      <c r="D221" s="33">
        <f>'ENG_COST'!$D$71*'ENG_COST'!$E$42</f>
        <v/>
      </c>
      <c r="E221" s="33">
        <f>'ENG_COST'!$E$71*'ENG_COST'!$E$42</f>
        <v/>
      </c>
      <c r="F221" s="33">
        <f>'ENG_COST'!$F$71*'ENG_COST'!$E$42</f>
        <v/>
      </c>
      <c r="G221" s="33">
        <f>'ENG_COST'!$G$71*'ENG_COST'!$E$42</f>
        <v/>
      </c>
      <c r="H221" s="33">
        <f>'ENG_COST'!$H$71*'ENG_COST'!$E$42</f>
        <v/>
      </c>
      <c r="I221" s="33">
        <f>'ENG_COST'!$I$71*'ENG_COST'!$E$42</f>
        <v/>
      </c>
      <c r="J221" s="33">
        <f>'ENG_COST'!$J$71*'ENG_COST'!$E$42</f>
        <v/>
      </c>
      <c r="K221" s="33">
        <f>'ENG_COST'!$K$71*'ENG_COST'!$E$42</f>
        <v/>
      </c>
      <c r="L221" s="33">
        <f>'ENG_COST'!$L$71*'ENG_COST'!$E$42</f>
        <v/>
      </c>
      <c r="M221" s="33">
        <f>'ENG_COST'!$M$71*'ENG_COST'!$E$42</f>
        <v/>
      </c>
      <c r="N221" s="33">
        <f>'ENG_COST'!$N$71*'ENG_COST'!$E$42</f>
        <v/>
      </c>
      <c r="O221" s="33">
        <f>'ENG_COST'!$O$71*'ENG_COST'!$E$42</f>
        <v/>
      </c>
      <c r="P221" s="33">
        <f>'ENG_COST'!$P$71*'ENG_COST'!$E$42</f>
        <v/>
      </c>
    </row>
    <row r="222">
      <c r="A222" s="15" t="inlineStr">
        <is>
          <t>FPC-10 ← ایستگاه 3</t>
        </is>
      </c>
      <c r="B222" s="16" t="inlineStr"/>
      <c r="C222" s="17" t="inlineStr">
        <is>
          <t>میلیون ریال</t>
        </is>
      </c>
      <c r="D222" s="33">
        <f>'ENG_COST'!$D$71*'ENG_COST'!$F$42</f>
        <v/>
      </c>
      <c r="E222" s="33">
        <f>'ENG_COST'!$E$71*'ENG_COST'!$F$42</f>
        <v/>
      </c>
      <c r="F222" s="33">
        <f>'ENG_COST'!$F$71*'ENG_COST'!$F$42</f>
        <v/>
      </c>
      <c r="G222" s="33">
        <f>'ENG_COST'!$G$71*'ENG_COST'!$F$42</f>
        <v/>
      </c>
      <c r="H222" s="33">
        <f>'ENG_COST'!$H$71*'ENG_COST'!$F$42</f>
        <v/>
      </c>
      <c r="I222" s="33">
        <f>'ENG_COST'!$I$71*'ENG_COST'!$F$42</f>
        <v/>
      </c>
      <c r="J222" s="33">
        <f>'ENG_COST'!$J$71*'ENG_COST'!$F$42</f>
        <v/>
      </c>
      <c r="K222" s="33">
        <f>'ENG_COST'!$K$71*'ENG_COST'!$F$42</f>
        <v/>
      </c>
      <c r="L222" s="33">
        <f>'ENG_COST'!$L$71*'ENG_COST'!$F$42</f>
        <v/>
      </c>
      <c r="M222" s="33">
        <f>'ENG_COST'!$M$71*'ENG_COST'!$F$42</f>
        <v/>
      </c>
      <c r="N222" s="33">
        <f>'ENG_COST'!$N$71*'ENG_COST'!$F$42</f>
        <v/>
      </c>
      <c r="O222" s="33">
        <f>'ENG_COST'!$O$71*'ENG_COST'!$F$42</f>
        <v/>
      </c>
      <c r="P222" s="33">
        <f>'ENG_COST'!$P$71*'ENG_COST'!$F$42</f>
        <v/>
      </c>
    </row>
    <row r="223">
      <c r="A223" s="15" t="inlineStr">
        <is>
          <t>FPC-10 ← ایستگاه 4</t>
        </is>
      </c>
      <c r="B223" s="16" t="inlineStr"/>
      <c r="C223" s="17" t="inlineStr">
        <is>
          <t>میلیون ریال</t>
        </is>
      </c>
      <c r="D223" s="33">
        <f>'ENG_COST'!$D$71*'ENG_COST'!$G$42</f>
        <v/>
      </c>
      <c r="E223" s="33">
        <f>'ENG_COST'!$E$71*'ENG_COST'!$G$42</f>
        <v/>
      </c>
      <c r="F223" s="33">
        <f>'ENG_COST'!$F$71*'ENG_COST'!$G$42</f>
        <v/>
      </c>
      <c r="G223" s="33">
        <f>'ENG_COST'!$G$71*'ENG_COST'!$G$42</f>
        <v/>
      </c>
      <c r="H223" s="33">
        <f>'ENG_COST'!$H$71*'ENG_COST'!$G$42</f>
        <v/>
      </c>
      <c r="I223" s="33">
        <f>'ENG_COST'!$I$71*'ENG_COST'!$G$42</f>
        <v/>
      </c>
      <c r="J223" s="33">
        <f>'ENG_COST'!$J$71*'ENG_COST'!$G$42</f>
        <v/>
      </c>
      <c r="K223" s="33">
        <f>'ENG_COST'!$K$71*'ENG_COST'!$G$42</f>
        <v/>
      </c>
      <c r="L223" s="33">
        <f>'ENG_COST'!$L$71*'ENG_COST'!$G$42</f>
        <v/>
      </c>
      <c r="M223" s="33">
        <f>'ENG_COST'!$M$71*'ENG_COST'!$G$42</f>
        <v/>
      </c>
      <c r="N223" s="33">
        <f>'ENG_COST'!$N$71*'ENG_COST'!$G$42</f>
        <v/>
      </c>
      <c r="O223" s="33">
        <f>'ENG_COST'!$O$71*'ENG_COST'!$G$42</f>
        <v/>
      </c>
      <c r="P223" s="33">
        <f>'ENG_COST'!$P$71*'ENG_COST'!$G$42</f>
        <v/>
      </c>
    </row>
    <row r="224">
      <c r="A224" s="15" t="inlineStr">
        <is>
          <t>FPC-10 ← ایستگاه 5</t>
        </is>
      </c>
      <c r="B224" s="16" t="inlineStr"/>
      <c r="C224" s="17" t="inlineStr">
        <is>
          <t>میلیون ریال</t>
        </is>
      </c>
      <c r="D224" s="33">
        <f>'ENG_COST'!$D$71*'ENG_COST'!$H$42</f>
        <v/>
      </c>
      <c r="E224" s="33">
        <f>'ENG_COST'!$E$71*'ENG_COST'!$H$42</f>
        <v/>
      </c>
      <c r="F224" s="33">
        <f>'ENG_COST'!$F$71*'ENG_COST'!$H$42</f>
        <v/>
      </c>
      <c r="G224" s="33">
        <f>'ENG_COST'!$G$71*'ENG_COST'!$H$42</f>
        <v/>
      </c>
      <c r="H224" s="33">
        <f>'ENG_COST'!$H$71*'ENG_COST'!$H$42</f>
        <v/>
      </c>
      <c r="I224" s="33">
        <f>'ENG_COST'!$I$71*'ENG_COST'!$H$42</f>
        <v/>
      </c>
      <c r="J224" s="33">
        <f>'ENG_COST'!$J$71*'ENG_COST'!$H$42</f>
        <v/>
      </c>
      <c r="K224" s="33">
        <f>'ENG_COST'!$K$71*'ENG_COST'!$H$42</f>
        <v/>
      </c>
      <c r="L224" s="33">
        <f>'ENG_COST'!$L$71*'ENG_COST'!$H$42</f>
        <v/>
      </c>
      <c r="M224" s="33">
        <f>'ENG_COST'!$M$71*'ENG_COST'!$H$42</f>
        <v/>
      </c>
      <c r="N224" s="33">
        <f>'ENG_COST'!$N$71*'ENG_COST'!$H$42</f>
        <v/>
      </c>
      <c r="O224" s="33">
        <f>'ENG_COST'!$O$71*'ENG_COST'!$H$42</f>
        <v/>
      </c>
      <c r="P224" s="33">
        <f>'ENG_COST'!$P$71*'ENG_COST'!$H$42</f>
        <v/>
      </c>
    </row>
    <row r="225">
      <c r="A225" s="15" t="inlineStr">
        <is>
          <t>FPC-10 ← ایستگاه 6</t>
        </is>
      </c>
      <c r="B225" s="16" t="inlineStr"/>
      <c r="C225" s="17" t="inlineStr">
        <is>
          <t>میلیون ریال</t>
        </is>
      </c>
      <c r="D225" s="33">
        <f>'ENG_COST'!$D$71*'ENG_COST'!$I$42</f>
        <v/>
      </c>
      <c r="E225" s="33">
        <f>'ENG_COST'!$E$71*'ENG_COST'!$I$42</f>
        <v/>
      </c>
      <c r="F225" s="33">
        <f>'ENG_COST'!$F$71*'ENG_COST'!$I$42</f>
        <v/>
      </c>
      <c r="G225" s="33">
        <f>'ENG_COST'!$G$71*'ENG_COST'!$I$42</f>
        <v/>
      </c>
      <c r="H225" s="33">
        <f>'ENG_COST'!$H$71*'ENG_COST'!$I$42</f>
        <v/>
      </c>
      <c r="I225" s="33">
        <f>'ENG_COST'!$I$71*'ENG_COST'!$I$42</f>
        <v/>
      </c>
      <c r="J225" s="33">
        <f>'ENG_COST'!$J$71*'ENG_COST'!$I$42</f>
        <v/>
      </c>
      <c r="K225" s="33">
        <f>'ENG_COST'!$K$71*'ENG_COST'!$I$42</f>
        <v/>
      </c>
      <c r="L225" s="33">
        <f>'ENG_COST'!$L$71*'ENG_COST'!$I$42</f>
        <v/>
      </c>
      <c r="M225" s="33">
        <f>'ENG_COST'!$M$71*'ENG_COST'!$I$42</f>
        <v/>
      </c>
      <c r="N225" s="33">
        <f>'ENG_COST'!$N$71*'ENG_COST'!$I$42</f>
        <v/>
      </c>
      <c r="O225" s="33">
        <f>'ENG_COST'!$O$71*'ENG_COST'!$I$42</f>
        <v/>
      </c>
      <c r="P225" s="33">
        <f>'ENG_COST'!$P$71*'ENG_COST'!$I$42</f>
        <v/>
      </c>
    </row>
    <row r="226">
      <c r="A226" s="15" t="inlineStr">
        <is>
          <t>FPC-11 ← ایستگاه 1</t>
        </is>
      </c>
      <c r="B226" s="16" t="inlineStr"/>
      <c r="C226" s="17" t="inlineStr">
        <is>
          <t>میلیون ریال</t>
        </is>
      </c>
      <c r="D226" s="33">
        <f>INDEX('ENG_ALLOC'!$D$29:$P$58,(IFERROR(VALUE(MID('IN_COST'!$F$58,FIND(":",'IN_COST'!$F$58)+1,2)),1)-1)*6+1,1)</f>
        <v/>
      </c>
      <c r="E226" s="33">
        <f>INDEX('ENG_ALLOC'!$D$29:$P$58,(IFERROR(VALUE(MID('IN_COST'!$F$58,FIND(":",'IN_COST'!$F$58)+1,2)),1)-1)*6+1,2)</f>
        <v/>
      </c>
      <c r="F226" s="33">
        <f>INDEX('ENG_ALLOC'!$D$29:$P$58,(IFERROR(VALUE(MID('IN_COST'!$F$58,FIND(":",'IN_COST'!$F$58)+1,2)),1)-1)*6+1,3)</f>
        <v/>
      </c>
      <c r="G226" s="33">
        <f>INDEX('ENG_ALLOC'!$D$29:$P$58,(IFERROR(VALUE(MID('IN_COST'!$F$58,FIND(":",'IN_COST'!$F$58)+1,2)),1)-1)*6+1,4)</f>
        <v/>
      </c>
      <c r="H226" s="33">
        <f>INDEX('ENG_ALLOC'!$D$29:$P$58,(IFERROR(VALUE(MID('IN_COST'!$F$58,FIND(":",'IN_COST'!$F$58)+1,2)),1)-1)*6+1,5)</f>
        <v/>
      </c>
      <c r="I226" s="33">
        <f>INDEX('ENG_ALLOC'!$D$29:$P$58,(IFERROR(VALUE(MID('IN_COST'!$F$58,FIND(":",'IN_COST'!$F$58)+1,2)),1)-1)*6+1,6)</f>
        <v/>
      </c>
      <c r="J226" s="33">
        <f>INDEX('ENG_ALLOC'!$D$29:$P$58,(IFERROR(VALUE(MID('IN_COST'!$F$58,FIND(":",'IN_COST'!$F$58)+1,2)),1)-1)*6+1,7)</f>
        <v/>
      </c>
      <c r="K226" s="33">
        <f>INDEX('ENG_ALLOC'!$D$29:$P$58,(IFERROR(VALUE(MID('IN_COST'!$F$58,FIND(":",'IN_COST'!$F$58)+1,2)),1)-1)*6+1,8)</f>
        <v/>
      </c>
      <c r="L226" s="33">
        <f>INDEX('ENG_ALLOC'!$D$29:$P$58,(IFERROR(VALUE(MID('IN_COST'!$F$58,FIND(":",'IN_COST'!$F$58)+1,2)),1)-1)*6+1,9)</f>
        <v/>
      </c>
      <c r="M226" s="33">
        <f>INDEX('ENG_ALLOC'!$D$29:$P$58,(IFERROR(VALUE(MID('IN_COST'!$F$58,FIND(":",'IN_COST'!$F$58)+1,2)),1)-1)*6+1,10)</f>
        <v/>
      </c>
      <c r="N226" s="33">
        <f>INDEX('ENG_ALLOC'!$D$29:$P$58,(IFERROR(VALUE(MID('IN_COST'!$F$58,FIND(":",'IN_COST'!$F$58)+1,2)),1)-1)*6+1,11)</f>
        <v/>
      </c>
      <c r="O226" s="33">
        <f>INDEX('ENG_ALLOC'!$D$29:$P$58,(IFERROR(VALUE(MID('IN_COST'!$F$58,FIND(":",'IN_COST'!$F$58)+1,2)),1)-1)*6+1,12)</f>
        <v/>
      </c>
      <c r="P226" s="33">
        <f>INDEX('ENG_ALLOC'!$D$29:$P$58,(IFERROR(VALUE(MID('IN_COST'!$F$58,FIND(":",'IN_COST'!$F$58)+1,2)),1)-1)*6+1,13)</f>
        <v/>
      </c>
    </row>
    <row r="227">
      <c r="A227" s="15" t="inlineStr">
        <is>
          <t>FPC-11 ← ایستگاه 2</t>
        </is>
      </c>
      <c r="B227" s="16" t="inlineStr"/>
      <c r="C227" s="17" t="inlineStr">
        <is>
          <t>میلیون ریال</t>
        </is>
      </c>
      <c r="D227" s="33">
        <f>INDEX('ENG_ALLOC'!$D$29:$P$58,(IFERROR(VALUE(MID('IN_COST'!$F$58,FIND(":",'IN_COST'!$F$58)+1,2)),1)-1)*6+2,1)</f>
        <v/>
      </c>
      <c r="E227" s="33">
        <f>INDEX('ENG_ALLOC'!$D$29:$P$58,(IFERROR(VALUE(MID('IN_COST'!$F$58,FIND(":",'IN_COST'!$F$58)+1,2)),1)-1)*6+2,2)</f>
        <v/>
      </c>
      <c r="F227" s="33">
        <f>INDEX('ENG_ALLOC'!$D$29:$P$58,(IFERROR(VALUE(MID('IN_COST'!$F$58,FIND(":",'IN_COST'!$F$58)+1,2)),1)-1)*6+2,3)</f>
        <v/>
      </c>
      <c r="G227" s="33">
        <f>INDEX('ENG_ALLOC'!$D$29:$P$58,(IFERROR(VALUE(MID('IN_COST'!$F$58,FIND(":",'IN_COST'!$F$58)+1,2)),1)-1)*6+2,4)</f>
        <v/>
      </c>
      <c r="H227" s="33">
        <f>INDEX('ENG_ALLOC'!$D$29:$P$58,(IFERROR(VALUE(MID('IN_COST'!$F$58,FIND(":",'IN_COST'!$F$58)+1,2)),1)-1)*6+2,5)</f>
        <v/>
      </c>
      <c r="I227" s="33">
        <f>INDEX('ENG_ALLOC'!$D$29:$P$58,(IFERROR(VALUE(MID('IN_COST'!$F$58,FIND(":",'IN_COST'!$F$58)+1,2)),1)-1)*6+2,6)</f>
        <v/>
      </c>
      <c r="J227" s="33">
        <f>INDEX('ENG_ALLOC'!$D$29:$P$58,(IFERROR(VALUE(MID('IN_COST'!$F$58,FIND(":",'IN_COST'!$F$58)+1,2)),1)-1)*6+2,7)</f>
        <v/>
      </c>
      <c r="K227" s="33">
        <f>INDEX('ENG_ALLOC'!$D$29:$P$58,(IFERROR(VALUE(MID('IN_COST'!$F$58,FIND(":",'IN_COST'!$F$58)+1,2)),1)-1)*6+2,8)</f>
        <v/>
      </c>
      <c r="L227" s="33">
        <f>INDEX('ENG_ALLOC'!$D$29:$P$58,(IFERROR(VALUE(MID('IN_COST'!$F$58,FIND(":",'IN_COST'!$F$58)+1,2)),1)-1)*6+2,9)</f>
        <v/>
      </c>
      <c r="M227" s="33">
        <f>INDEX('ENG_ALLOC'!$D$29:$P$58,(IFERROR(VALUE(MID('IN_COST'!$F$58,FIND(":",'IN_COST'!$F$58)+1,2)),1)-1)*6+2,10)</f>
        <v/>
      </c>
      <c r="N227" s="33">
        <f>INDEX('ENG_ALLOC'!$D$29:$P$58,(IFERROR(VALUE(MID('IN_COST'!$F$58,FIND(":",'IN_COST'!$F$58)+1,2)),1)-1)*6+2,11)</f>
        <v/>
      </c>
      <c r="O227" s="33">
        <f>INDEX('ENG_ALLOC'!$D$29:$P$58,(IFERROR(VALUE(MID('IN_COST'!$F$58,FIND(":",'IN_COST'!$F$58)+1,2)),1)-1)*6+2,12)</f>
        <v/>
      </c>
      <c r="P227" s="33">
        <f>INDEX('ENG_ALLOC'!$D$29:$P$58,(IFERROR(VALUE(MID('IN_COST'!$F$58,FIND(":",'IN_COST'!$F$58)+1,2)),1)-1)*6+2,13)</f>
        <v/>
      </c>
    </row>
    <row r="228">
      <c r="A228" s="15" t="inlineStr">
        <is>
          <t>FPC-11 ← ایستگاه 3</t>
        </is>
      </c>
      <c r="B228" s="16" t="inlineStr"/>
      <c r="C228" s="17" t="inlineStr">
        <is>
          <t>میلیون ریال</t>
        </is>
      </c>
      <c r="D228" s="33">
        <f>INDEX('ENG_ALLOC'!$D$29:$P$58,(IFERROR(VALUE(MID('IN_COST'!$F$58,FIND(":",'IN_COST'!$F$58)+1,2)),1)-1)*6+3,1)</f>
        <v/>
      </c>
      <c r="E228" s="33">
        <f>INDEX('ENG_ALLOC'!$D$29:$P$58,(IFERROR(VALUE(MID('IN_COST'!$F$58,FIND(":",'IN_COST'!$F$58)+1,2)),1)-1)*6+3,2)</f>
        <v/>
      </c>
      <c r="F228" s="33">
        <f>INDEX('ENG_ALLOC'!$D$29:$P$58,(IFERROR(VALUE(MID('IN_COST'!$F$58,FIND(":",'IN_COST'!$F$58)+1,2)),1)-1)*6+3,3)</f>
        <v/>
      </c>
      <c r="G228" s="33">
        <f>INDEX('ENG_ALLOC'!$D$29:$P$58,(IFERROR(VALUE(MID('IN_COST'!$F$58,FIND(":",'IN_COST'!$F$58)+1,2)),1)-1)*6+3,4)</f>
        <v/>
      </c>
      <c r="H228" s="33">
        <f>INDEX('ENG_ALLOC'!$D$29:$P$58,(IFERROR(VALUE(MID('IN_COST'!$F$58,FIND(":",'IN_COST'!$F$58)+1,2)),1)-1)*6+3,5)</f>
        <v/>
      </c>
      <c r="I228" s="33">
        <f>INDEX('ENG_ALLOC'!$D$29:$P$58,(IFERROR(VALUE(MID('IN_COST'!$F$58,FIND(":",'IN_COST'!$F$58)+1,2)),1)-1)*6+3,6)</f>
        <v/>
      </c>
      <c r="J228" s="33">
        <f>INDEX('ENG_ALLOC'!$D$29:$P$58,(IFERROR(VALUE(MID('IN_COST'!$F$58,FIND(":",'IN_COST'!$F$58)+1,2)),1)-1)*6+3,7)</f>
        <v/>
      </c>
      <c r="K228" s="33">
        <f>INDEX('ENG_ALLOC'!$D$29:$P$58,(IFERROR(VALUE(MID('IN_COST'!$F$58,FIND(":",'IN_COST'!$F$58)+1,2)),1)-1)*6+3,8)</f>
        <v/>
      </c>
      <c r="L228" s="33">
        <f>INDEX('ENG_ALLOC'!$D$29:$P$58,(IFERROR(VALUE(MID('IN_COST'!$F$58,FIND(":",'IN_COST'!$F$58)+1,2)),1)-1)*6+3,9)</f>
        <v/>
      </c>
      <c r="M228" s="33">
        <f>INDEX('ENG_ALLOC'!$D$29:$P$58,(IFERROR(VALUE(MID('IN_COST'!$F$58,FIND(":",'IN_COST'!$F$58)+1,2)),1)-1)*6+3,10)</f>
        <v/>
      </c>
      <c r="N228" s="33">
        <f>INDEX('ENG_ALLOC'!$D$29:$P$58,(IFERROR(VALUE(MID('IN_COST'!$F$58,FIND(":",'IN_COST'!$F$58)+1,2)),1)-1)*6+3,11)</f>
        <v/>
      </c>
      <c r="O228" s="33">
        <f>INDEX('ENG_ALLOC'!$D$29:$P$58,(IFERROR(VALUE(MID('IN_COST'!$F$58,FIND(":",'IN_COST'!$F$58)+1,2)),1)-1)*6+3,12)</f>
        <v/>
      </c>
      <c r="P228" s="33">
        <f>INDEX('ENG_ALLOC'!$D$29:$P$58,(IFERROR(VALUE(MID('IN_COST'!$F$58,FIND(":",'IN_COST'!$F$58)+1,2)),1)-1)*6+3,13)</f>
        <v/>
      </c>
    </row>
    <row r="229">
      <c r="A229" s="15" t="inlineStr">
        <is>
          <t>FPC-11 ← ایستگاه 4</t>
        </is>
      </c>
      <c r="B229" s="16" t="inlineStr"/>
      <c r="C229" s="17" t="inlineStr">
        <is>
          <t>میلیون ریال</t>
        </is>
      </c>
      <c r="D229" s="33">
        <f>INDEX('ENG_ALLOC'!$D$29:$P$58,(IFERROR(VALUE(MID('IN_COST'!$F$58,FIND(":",'IN_COST'!$F$58)+1,2)),1)-1)*6+4,1)</f>
        <v/>
      </c>
      <c r="E229" s="33">
        <f>INDEX('ENG_ALLOC'!$D$29:$P$58,(IFERROR(VALUE(MID('IN_COST'!$F$58,FIND(":",'IN_COST'!$F$58)+1,2)),1)-1)*6+4,2)</f>
        <v/>
      </c>
      <c r="F229" s="33">
        <f>INDEX('ENG_ALLOC'!$D$29:$P$58,(IFERROR(VALUE(MID('IN_COST'!$F$58,FIND(":",'IN_COST'!$F$58)+1,2)),1)-1)*6+4,3)</f>
        <v/>
      </c>
      <c r="G229" s="33">
        <f>INDEX('ENG_ALLOC'!$D$29:$P$58,(IFERROR(VALUE(MID('IN_COST'!$F$58,FIND(":",'IN_COST'!$F$58)+1,2)),1)-1)*6+4,4)</f>
        <v/>
      </c>
      <c r="H229" s="33">
        <f>INDEX('ENG_ALLOC'!$D$29:$P$58,(IFERROR(VALUE(MID('IN_COST'!$F$58,FIND(":",'IN_COST'!$F$58)+1,2)),1)-1)*6+4,5)</f>
        <v/>
      </c>
      <c r="I229" s="33">
        <f>INDEX('ENG_ALLOC'!$D$29:$P$58,(IFERROR(VALUE(MID('IN_COST'!$F$58,FIND(":",'IN_COST'!$F$58)+1,2)),1)-1)*6+4,6)</f>
        <v/>
      </c>
      <c r="J229" s="33">
        <f>INDEX('ENG_ALLOC'!$D$29:$P$58,(IFERROR(VALUE(MID('IN_COST'!$F$58,FIND(":",'IN_COST'!$F$58)+1,2)),1)-1)*6+4,7)</f>
        <v/>
      </c>
      <c r="K229" s="33">
        <f>INDEX('ENG_ALLOC'!$D$29:$P$58,(IFERROR(VALUE(MID('IN_COST'!$F$58,FIND(":",'IN_COST'!$F$58)+1,2)),1)-1)*6+4,8)</f>
        <v/>
      </c>
      <c r="L229" s="33">
        <f>INDEX('ENG_ALLOC'!$D$29:$P$58,(IFERROR(VALUE(MID('IN_COST'!$F$58,FIND(":",'IN_COST'!$F$58)+1,2)),1)-1)*6+4,9)</f>
        <v/>
      </c>
      <c r="M229" s="33">
        <f>INDEX('ENG_ALLOC'!$D$29:$P$58,(IFERROR(VALUE(MID('IN_COST'!$F$58,FIND(":",'IN_COST'!$F$58)+1,2)),1)-1)*6+4,10)</f>
        <v/>
      </c>
      <c r="N229" s="33">
        <f>INDEX('ENG_ALLOC'!$D$29:$P$58,(IFERROR(VALUE(MID('IN_COST'!$F$58,FIND(":",'IN_COST'!$F$58)+1,2)),1)-1)*6+4,11)</f>
        <v/>
      </c>
      <c r="O229" s="33">
        <f>INDEX('ENG_ALLOC'!$D$29:$P$58,(IFERROR(VALUE(MID('IN_COST'!$F$58,FIND(":",'IN_COST'!$F$58)+1,2)),1)-1)*6+4,12)</f>
        <v/>
      </c>
      <c r="P229" s="33">
        <f>INDEX('ENG_ALLOC'!$D$29:$P$58,(IFERROR(VALUE(MID('IN_COST'!$F$58,FIND(":",'IN_COST'!$F$58)+1,2)),1)-1)*6+4,13)</f>
        <v/>
      </c>
    </row>
    <row r="230">
      <c r="A230" s="15" t="inlineStr">
        <is>
          <t>FPC-11 ← ایستگاه 5</t>
        </is>
      </c>
      <c r="B230" s="16" t="inlineStr"/>
      <c r="C230" s="17" t="inlineStr">
        <is>
          <t>میلیون ریال</t>
        </is>
      </c>
      <c r="D230" s="33">
        <f>INDEX('ENG_ALLOC'!$D$29:$P$58,(IFERROR(VALUE(MID('IN_COST'!$F$58,FIND(":",'IN_COST'!$F$58)+1,2)),1)-1)*6+5,1)</f>
        <v/>
      </c>
      <c r="E230" s="33">
        <f>INDEX('ENG_ALLOC'!$D$29:$P$58,(IFERROR(VALUE(MID('IN_COST'!$F$58,FIND(":",'IN_COST'!$F$58)+1,2)),1)-1)*6+5,2)</f>
        <v/>
      </c>
      <c r="F230" s="33">
        <f>INDEX('ENG_ALLOC'!$D$29:$P$58,(IFERROR(VALUE(MID('IN_COST'!$F$58,FIND(":",'IN_COST'!$F$58)+1,2)),1)-1)*6+5,3)</f>
        <v/>
      </c>
      <c r="G230" s="33">
        <f>INDEX('ENG_ALLOC'!$D$29:$P$58,(IFERROR(VALUE(MID('IN_COST'!$F$58,FIND(":",'IN_COST'!$F$58)+1,2)),1)-1)*6+5,4)</f>
        <v/>
      </c>
      <c r="H230" s="33">
        <f>INDEX('ENG_ALLOC'!$D$29:$P$58,(IFERROR(VALUE(MID('IN_COST'!$F$58,FIND(":",'IN_COST'!$F$58)+1,2)),1)-1)*6+5,5)</f>
        <v/>
      </c>
      <c r="I230" s="33">
        <f>INDEX('ENG_ALLOC'!$D$29:$P$58,(IFERROR(VALUE(MID('IN_COST'!$F$58,FIND(":",'IN_COST'!$F$58)+1,2)),1)-1)*6+5,6)</f>
        <v/>
      </c>
      <c r="J230" s="33">
        <f>INDEX('ENG_ALLOC'!$D$29:$P$58,(IFERROR(VALUE(MID('IN_COST'!$F$58,FIND(":",'IN_COST'!$F$58)+1,2)),1)-1)*6+5,7)</f>
        <v/>
      </c>
      <c r="K230" s="33">
        <f>INDEX('ENG_ALLOC'!$D$29:$P$58,(IFERROR(VALUE(MID('IN_COST'!$F$58,FIND(":",'IN_COST'!$F$58)+1,2)),1)-1)*6+5,8)</f>
        <v/>
      </c>
      <c r="L230" s="33">
        <f>INDEX('ENG_ALLOC'!$D$29:$P$58,(IFERROR(VALUE(MID('IN_COST'!$F$58,FIND(":",'IN_COST'!$F$58)+1,2)),1)-1)*6+5,9)</f>
        <v/>
      </c>
      <c r="M230" s="33">
        <f>INDEX('ENG_ALLOC'!$D$29:$P$58,(IFERROR(VALUE(MID('IN_COST'!$F$58,FIND(":",'IN_COST'!$F$58)+1,2)),1)-1)*6+5,10)</f>
        <v/>
      </c>
      <c r="N230" s="33">
        <f>INDEX('ENG_ALLOC'!$D$29:$P$58,(IFERROR(VALUE(MID('IN_COST'!$F$58,FIND(":",'IN_COST'!$F$58)+1,2)),1)-1)*6+5,11)</f>
        <v/>
      </c>
      <c r="O230" s="33">
        <f>INDEX('ENG_ALLOC'!$D$29:$P$58,(IFERROR(VALUE(MID('IN_COST'!$F$58,FIND(":",'IN_COST'!$F$58)+1,2)),1)-1)*6+5,12)</f>
        <v/>
      </c>
      <c r="P230" s="33">
        <f>INDEX('ENG_ALLOC'!$D$29:$P$58,(IFERROR(VALUE(MID('IN_COST'!$F$58,FIND(":",'IN_COST'!$F$58)+1,2)),1)-1)*6+5,13)</f>
        <v/>
      </c>
    </row>
    <row r="231">
      <c r="A231" s="15" t="inlineStr">
        <is>
          <t>FPC-11 ← ایستگاه 6</t>
        </is>
      </c>
      <c r="B231" s="16" t="inlineStr"/>
      <c r="C231" s="17" t="inlineStr">
        <is>
          <t>میلیون ریال</t>
        </is>
      </c>
      <c r="D231" s="33">
        <f>INDEX('ENG_ALLOC'!$D$29:$P$58,(IFERROR(VALUE(MID('IN_COST'!$F$58,FIND(":",'IN_COST'!$F$58)+1,2)),1)-1)*6+6,1)</f>
        <v/>
      </c>
      <c r="E231" s="33">
        <f>INDEX('ENG_ALLOC'!$D$29:$P$58,(IFERROR(VALUE(MID('IN_COST'!$F$58,FIND(":",'IN_COST'!$F$58)+1,2)),1)-1)*6+6,2)</f>
        <v/>
      </c>
      <c r="F231" s="33">
        <f>INDEX('ENG_ALLOC'!$D$29:$P$58,(IFERROR(VALUE(MID('IN_COST'!$F$58,FIND(":",'IN_COST'!$F$58)+1,2)),1)-1)*6+6,3)</f>
        <v/>
      </c>
      <c r="G231" s="33">
        <f>INDEX('ENG_ALLOC'!$D$29:$P$58,(IFERROR(VALUE(MID('IN_COST'!$F$58,FIND(":",'IN_COST'!$F$58)+1,2)),1)-1)*6+6,4)</f>
        <v/>
      </c>
      <c r="H231" s="33">
        <f>INDEX('ENG_ALLOC'!$D$29:$P$58,(IFERROR(VALUE(MID('IN_COST'!$F$58,FIND(":",'IN_COST'!$F$58)+1,2)),1)-1)*6+6,5)</f>
        <v/>
      </c>
      <c r="I231" s="33">
        <f>INDEX('ENG_ALLOC'!$D$29:$P$58,(IFERROR(VALUE(MID('IN_COST'!$F$58,FIND(":",'IN_COST'!$F$58)+1,2)),1)-1)*6+6,6)</f>
        <v/>
      </c>
      <c r="J231" s="33">
        <f>INDEX('ENG_ALLOC'!$D$29:$P$58,(IFERROR(VALUE(MID('IN_COST'!$F$58,FIND(":",'IN_COST'!$F$58)+1,2)),1)-1)*6+6,7)</f>
        <v/>
      </c>
      <c r="K231" s="33">
        <f>INDEX('ENG_ALLOC'!$D$29:$P$58,(IFERROR(VALUE(MID('IN_COST'!$F$58,FIND(":",'IN_COST'!$F$58)+1,2)),1)-1)*6+6,8)</f>
        <v/>
      </c>
      <c r="L231" s="33">
        <f>INDEX('ENG_ALLOC'!$D$29:$P$58,(IFERROR(VALUE(MID('IN_COST'!$F$58,FIND(":",'IN_COST'!$F$58)+1,2)),1)-1)*6+6,9)</f>
        <v/>
      </c>
      <c r="M231" s="33">
        <f>INDEX('ENG_ALLOC'!$D$29:$P$58,(IFERROR(VALUE(MID('IN_COST'!$F$58,FIND(":",'IN_COST'!$F$58)+1,2)),1)-1)*6+6,10)</f>
        <v/>
      </c>
      <c r="N231" s="33">
        <f>INDEX('ENG_ALLOC'!$D$29:$P$58,(IFERROR(VALUE(MID('IN_COST'!$F$58,FIND(":",'IN_COST'!$F$58)+1,2)),1)-1)*6+6,11)</f>
        <v/>
      </c>
      <c r="O231" s="33">
        <f>INDEX('ENG_ALLOC'!$D$29:$P$58,(IFERROR(VALUE(MID('IN_COST'!$F$58,FIND(":",'IN_COST'!$F$58)+1,2)),1)-1)*6+6,12)</f>
        <v/>
      </c>
      <c r="P231" s="33">
        <f>INDEX('ENG_ALLOC'!$D$29:$P$58,(IFERROR(VALUE(MID('IN_COST'!$F$58,FIND(":",'IN_COST'!$F$58)+1,2)),1)-1)*6+6,13)</f>
        <v/>
      </c>
    </row>
    <row r="232">
      <c r="A232" s="15" t="inlineStr">
        <is>
          <t>FPC-12 ← ایستگاه 1</t>
        </is>
      </c>
      <c r="B232" s="16" t="inlineStr"/>
      <c r="C232" s="17" t="inlineStr">
        <is>
          <t>میلیون ریال</t>
        </is>
      </c>
      <c r="D232" s="33">
        <f>'ENG_COST'!$D$73*'ENG_COST'!$D$44</f>
        <v/>
      </c>
      <c r="E232" s="33">
        <f>'ENG_COST'!$E$73*'ENG_COST'!$D$44</f>
        <v/>
      </c>
      <c r="F232" s="33">
        <f>'ENG_COST'!$F$73*'ENG_COST'!$D$44</f>
        <v/>
      </c>
      <c r="G232" s="33">
        <f>'ENG_COST'!$G$73*'ENG_COST'!$D$44</f>
        <v/>
      </c>
      <c r="H232" s="33">
        <f>'ENG_COST'!$H$73*'ENG_COST'!$D$44</f>
        <v/>
      </c>
      <c r="I232" s="33">
        <f>'ENG_COST'!$I$73*'ENG_COST'!$D$44</f>
        <v/>
      </c>
      <c r="J232" s="33">
        <f>'ENG_COST'!$J$73*'ENG_COST'!$D$44</f>
        <v/>
      </c>
      <c r="K232" s="33">
        <f>'ENG_COST'!$K$73*'ENG_COST'!$D$44</f>
        <v/>
      </c>
      <c r="L232" s="33">
        <f>'ENG_COST'!$L$73*'ENG_COST'!$D$44</f>
        <v/>
      </c>
      <c r="M232" s="33">
        <f>'ENG_COST'!$M$73*'ENG_COST'!$D$44</f>
        <v/>
      </c>
      <c r="N232" s="33">
        <f>'ENG_COST'!$N$73*'ENG_COST'!$D$44</f>
        <v/>
      </c>
      <c r="O232" s="33">
        <f>'ENG_COST'!$O$73*'ENG_COST'!$D$44</f>
        <v/>
      </c>
      <c r="P232" s="33">
        <f>'ENG_COST'!$P$73*'ENG_COST'!$D$44</f>
        <v/>
      </c>
    </row>
    <row r="233">
      <c r="A233" s="15" t="inlineStr">
        <is>
          <t>FPC-12 ← ایستگاه 2</t>
        </is>
      </c>
      <c r="B233" s="16" t="inlineStr"/>
      <c r="C233" s="17" t="inlineStr">
        <is>
          <t>میلیون ریال</t>
        </is>
      </c>
      <c r="D233" s="33">
        <f>'ENG_COST'!$D$73*'ENG_COST'!$E$44</f>
        <v/>
      </c>
      <c r="E233" s="33">
        <f>'ENG_COST'!$E$73*'ENG_COST'!$E$44</f>
        <v/>
      </c>
      <c r="F233" s="33">
        <f>'ENG_COST'!$F$73*'ENG_COST'!$E$44</f>
        <v/>
      </c>
      <c r="G233" s="33">
        <f>'ENG_COST'!$G$73*'ENG_COST'!$E$44</f>
        <v/>
      </c>
      <c r="H233" s="33">
        <f>'ENG_COST'!$H$73*'ENG_COST'!$E$44</f>
        <v/>
      </c>
      <c r="I233" s="33">
        <f>'ENG_COST'!$I$73*'ENG_COST'!$E$44</f>
        <v/>
      </c>
      <c r="J233" s="33">
        <f>'ENG_COST'!$J$73*'ENG_COST'!$E$44</f>
        <v/>
      </c>
      <c r="K233" s="33">
        <f>'ENG_COST'!$K$73*'ENG_COST'!$E$44</f>
        <v/>
      </c>
      <c r="L233" s="33">
        <f>'ENG_COST'!$L$73*'ENG_COST'!$E$44</f>
        <v/>
      </c>
      <c r="M233" s="33">
        <f>'ENG_COST'!$M$73*'ENG_COST'!$E$44</f>
        <v/>
      </c>
      <c r="N233" s="33">
        <f>'ENG_COST'!$N$73*'ENG_COST'!$E$44</f>
        <v/>
      </c>
      <c r="O233" s="33">
        <f>'ENG_COST'!$O$73*'ENG_COST'!$E$44</f>
        <v/>
      </c>
      <c r="P233" s="33">
        <f>'ENG_COST'!$P$73*'ENG_COST'!$E$44</f>
        <v/>
      </c>
    </row>
    <row r="234">
      <c r="A234" s="15" t="inlineStr">
        <is>
          <t>FPC-12 ← ایستگاه 3</t>
        </is>
      </c>
      <c r="B234" s="16" t="inlineStr"/>
      <c r="C234" s="17" t="inlineStr">
        <is>
          <t>میلیون ریال</t>
        </is>
      </c>
      <c r="D234" s="33">
        <f>'ENG_COST'!$D$73*'ENG_COST'!$F$44</f>
        <v/>
      </c>
      <c r="E234" s="33">
        <f>'ENG_COST'!$E$73*'ENG_COST'!$F$44</f>
        <v/>
      </c>
      <c r="F234" s="33">
        <f>'ENG_COST'!$F$73*'ENG_COST'!$F$44</f>
        <v/>
      </c>
      <c r="G234" s="33">
        <f>'ENG_COST'!$G$73*'ENG_COST'!$F$44</f>
        <v/>
      </c>
      <c r="H234" s="33">
        <f>'ENG_COST'!$H$73*'ENG_COST'!$F$44</f>
        <v/>
      </c>
      <c r="I234" s="33">
        <f>'ENG_COST'!$I$73*'ENG_COST'!$F$44</f>
        <v/>
      </c>
      <c r="J234" s="33">
        <f>'ENG_COST'!$J$73*'ENG_COST'!$F$44</f>
        <v/>
      </c>
      <c r="K234" s="33">
        <f>'ENG_COST'!$K$73*'ENG_COST'!$F$44</f>
        <v/>
      </c>
      <c r="L234" s="33">
        <f>'ENG_COST'!$L$73*'ENG_COST'!$F$44</f>
        <v/>
      </c>
      <c r="M234" s="33">
        <f>'ENG_COST'!$M$73*'ENG_COST'!$F$44</f>
        <v/>
      </c>
      <c r="N234" s="33">
        <f>'ENG_COST'!$N$73*'ENG_COST'!$F$44</f>
        <v/>
      </c>
      <c r="O234" s="33">
        <f>'ENG_COST'!$O$73*'ENG_COST'!$F$44</f>
        <v/>
      </c>
      <c r="P234" s="33">
        <f>'ENG_COST'!$P$73*'ENG_COST'!$F$44</f>
        <v/>
      </c>
    </row>
    <row r="235">
      <c r="A235" s="15" t="inlineStr">
        <is>
          <t>FPC-12 ← ایستگاه 4</t>
        </is>
      </c>
      <c r="B235" s="16" t="inlineStr"/>
      <c r="C235" s="17" t="inlineStr">
        <is>
          <t>میلیون ریال</t>
        </is>
      </c>
      <c r="D235" s="33">
        <f>'ENG_COST'!$D$73*'ENG_COST'!$G$44</f>
        <v/>
      </c>
      <c r="E235" s="33">
        <f>'ENG_COST'!$E$73*'ENG_COST'!$G$44</f>
        <v/>
      </c>
      <c r="F235" s="33">
        <f>'ENG_COST'!$F$73*'ENG_COST'!$G$44</f>
        <v/>
      </c>
      <c r="G235" s="33">
        <f>'ENG_COST'!$G$73*'ENG_COST'!$G$44</f>
        <v/>
      </c>
      <c r="H235" s="33">
        <f>'ENG_COST'!$H$73*'ENG_COST'!$G$44</f>
        <v/>
      </c>
      <c r="I235" s="33">
        <f>'ENG_COST'!$I$73*'ENG_COST'!$G$44</f>
        <v/>
      </c>
      <c r="J235" s="33">
        <f>'ENG_COST'!$J$73*'ENG_COST'!$G$44</f>
        <v/>
      </c>
      <c r="K235" s="33">
        <f>'ENG_COST'!$K$73*'ENG_COST'!$G$44</f>
        <v/>
      </c>
      <c r="L235" s="33">
        <f>'ENG_COST'!$L$73*'ENG_COST'!$G$44</f>
        <v/>
      </c>
      <c r="M235" s="33">
        <f>'ENG_COST'!$M$73*'ENG_COST'!$G$44</f>
        <v/>
      </c>
      <c r="N235" s="33">
        <f>'ENG_COST'!$N$73*'ENG_COST'!$G$44</f>
        <v/>
      </c>
      <c r="O235" s="33">
        <f>'ENG_COST'!$O$73*'ENG_COST'!$G$44</f>
        <v/>
      </c>
      <c r="P235" s="33">
        <f>'ENG_COST'!$P$73*'ENG_COST'!$G$44</f>
        <v/>
      </c>
    </row>
    <row r="236">
      <c r="A236" s="15" t="inlineStr">
        <is>
          <t>FPC-12 ← ایستگاه 5</t>
        </is>
      </c>
      <c r="B236" s="16" t="inlineStr"/>
      <c r="C236" s="17" t="inlineStr">
        <is>
          <t>میلیون ریال</t>
        </is>
      </c>
      <c r="D236" s="33">
        <f>'ENG_COST'!$D$73*'ENG_COST'!$H$44</f>
        <v/>
      </c>
      <c r="E236" s="33">
        <f>'ENG_COST'!$E$73*'ENG_COST'!$H$44</f>
        <v/>
      </c>
      <c r="F236" s="33">
        <f>'ENG_COST'!$F$73*'ENG_COST'!$H$44</f>
        <v/>
      </c>
      <c r="G236" s="33">
        <f>'ENG_COST'!$G$73*'ENG_COST'!$H$44</f>
        <v/>
      </c>
      <c r="H236" s="33">
        <f>'ENG_COST'!$H$73*'ENG_COST'!$H$44</f>
        <v/>
      </c>
      <c r="I236" s="33">
        <f>'ENG_COST'!$I$73*'ENG_COST'!$H$44</f>
        <v/>
      </c>
      <c r="J236" s="33">
        <f>'ENG_COST'!$J$73*'ENG_COST'!$H$44</f>
        <v/>
      </c>
      <c r="K236" s="33">
        <f>'ENG_COST'!$K$73*'ENG_COST'!$H$44</f>
        <v/>
      </c>
      <c r="L236" s="33">
        <f>'ENG_COST'!$L$73*'ENG_COST'!$H$44</f>
        <v/>
      </c>
      <c r="M236" s="33">
        <f>'ENG_COST'!$M$73*'ENG_COST'!$H$44</f>
        <v/>
      </c>
      <c r="N236" s="33">
        <f>'ENG_COST'!$N$73*'ENG_COST'!$H$44</f>
        <v/>
      </c>
      <c r="O236" s="33">
        <f>'ENG_COST'!$O$73*'ENG_COST'!$H$44</f>
        <v/>
      </c>
      <c r="P236" s="33">
        <f>'ENG_COST'!$P$73*'ENG_COST'!$H$44</f>
        <v/>
      </c>
    </row>
    <row r="237">
      <c r="A237" s="15" t="inlineStr">
        <is>
          <t>FPC-12 ← ایستگاه 6</t>
        </is>
      </c>
      <c r="B237" s="16" t="inlineStr"/>
      <c r="C237" s="17" t="inlineStr">
        <is>
          <t>میلیون ریال</t>
        </is>
      </c>
      <c r="D237" s="33">
        <f>'ENG_COST'!$D$73*'ENG_COST'!$I$44</f>
        <v/>
      </c>
      <c r="E237" s="33">
        <f>'ENG_COST'!$E$73*'ENG_COST'!$I$44</f>
        <v/>
      </c>
      <c r="F237" s="33">
        <f>'ENG_COST'!$F$73*'ENG_COST'!$I$44</f>
        <v/>
      </c>
      <c r="G237" s="33">
        <f>'ENG_COST'!$G$73*'ENG_COST'!$I$44</f>
        <v/>
      </c>
      <c r="H237" s="33">
        <f>'ENG_COST'!$H$73*'ENG_COST'!$I$44</f>
        <v/>
      </c>
      <c r="I237" s="33">
        <f>'ENG_COST'!$I$73*'ENG_COST'!$I$44</f>
        <v/>
      </c>
      <c r="J237" s="33">
        <f>'ENG_COST'!$J$73*'ENG_COST'!$I$44</f>
        <v/>
      </c>
      <c r="K237" s="33">
        <f>'ENG_COST'!$K$73*'ENG_COST'!$I$44</f>
        <v/>
      </c>
      <c r="L237" s="33">
        <f>'ENG_COST'!$L$73*'ENG_COST'!$I$44</f>
        <v/>
      </c>
      <c r="M237" s="33">
        <f>'ENG_COST'!$M$73*'ENG_COST'!$I$44</f>
        <v/>
      </c>
      <c r="N237" s="33">
        <f>'ENG_COST'!$N$73*'ENG_COST'!$I$44</f>
        <v/>
      </c>
      <c r="O237" s="33">
        <f>'ENG_COST'!$O$73*'ENG_COST'!$I$44</f>
        <v/>
      </c>
      <c r="P237" s="33">
        <f>'ENG_COST'!$P$73*'ENG_COST'!$I$44</f>
        <v/>
      </c>
    </row>
    <row r="238"/>
    <row r="239">
      <c r="A239" s="4" t="inlineStr">
        <is>
          <t>ه‍) جمع هزینه‌ها به تفکیک طبقه و ایستگاه</t>
        </is>
      </c>
      <c r="B239" s="5" t="n"/>
      <c r="C239" s="5" t="n"/>
      <c r="D239" s="5" t="n"/>
      <c r="E239" s="5" t="n"/>
      <c r="F239" s="5" t="n"/>
      <c r="G239" s="5" t="n"/>
      <c r="H239" s="5" t="n"/>
      <c r="I239" s="5" t="n"/>
      <c r="J239" s="5" t="n"/>
      <c r="K239" s="5" t="n"/>
      <c r="L239" s="5" t="n"/>
      <c r="M239" s="5" t="n"/>
      <c r="N239" s="5" t="n"/>
      <c r="O239" s="5" t="n"/>
      <c r="P239" s="5" t="n"/>
      <c r="Q239" s="5" t="n"/>
    </row>
    <row r="240">
      <c r="A240" s="15" t="inlineStr">
        <is>
          <t>DPC - ایستگاه 1</t>
        </is>
      </c>
      <c r="B240" s="16" t="inlineStr">
        <is>
          <t>EC.DPC.st0</t>
        </is>
      </c>
      <c r="C240" s="17" t="inlineStr">
        <is>
          <t>میلیون ریال</t>
        </is>
      </c>
      <c r="D240" s="33">
        <f>D76+D82+D88+D94+D100+D106</f>
        <v/>
      </c>
      <c r="E240" s="33">
        <f>E76+E82+E88+E94+E100+E106</f>
        <v/>
      </c>
      <c r="F240" s="33">
        <f>F76+F82+F88+F94+F100+F106</f>
        <v/>
      </c>
      <c r="G240" s="33">
        <f>G76+G82+G88+G94+G100+G106</f>
        <v/>
      </c>
      <c r="H240" s="33">
        <f>H76+H82+H88+H94+H100+H106</f>
        <v/>
      </c>
      <c r="I240" s="33">
        <f>I76+I82+I88+I94+I100+I106</f>
        <v/>
      </c>
      <c r="J240" s="33">
        <f>J76+J82+J88+J94+J100+J106</f>
        <v/>
      </c>
      <c r="K240" s="33">
        <f>K76+K82+K88+K94+K100+K106</f>
        <v/>
      </c>
      <c r="L240" s="33">
        <f>L76+L82+L88+L94+L100+L106</f>
        <v/>
      </c>
      <c r="M240" s="33">
        <f>M76+M82+M88+M94+M100+M106</f>
        <v/>
      </c>
      <c r="N240" s="33">
        <f>N76+N82+N88+N94+N100+N106</f>
        <v/>
      </c>
      <c r="O240" s="33">
        <f>O76+O82+O88+O94+O100+O106</f>
        <v/>
      </c>
      <c r="P240" s="33">
        <f>P76+P82+P88+P94+P100+P106</f>
        <v/>
      </c>
    </row>
    <row r="241">
      <c r="A241" s="15" t="inlineStr">
        <is>
          <t>DPC - ایستگاه 2</t>
        </is>
      </c>
      <c r="B241" s="16" t="inlineStr">
        <is>
          <t>EC.DPC.st1</t>
        </is>
      </c>
      <c r="C241" s="17" t="inlineStr">
        <is>
          <t>میلیون ریال</t>
        </is>
      </c>
      <c r="D241" s="33">
        <f>D77+D83+D89+D95+D101+D107</f>
        <v/>
      </c>
      <c r="E241" s="33">
        <f>E77+E83+E89+E95+E101+E107</f>
        <v/>
      </c>
      <c r="F241" s="33">
        <f>F77+F83+F89+F95+F101+F107</f>
        <v/>
      </c>
      <c r="G241" s="33">
        <f>G77+G83+G89+G95+G101+G107</f>
        <v/>
      </c>
      <c r="H241" s="33">
        <f>H77+H83+H89+H95+H101+H107</f>
        <v/>
      </c>
      <c r="I241" s="33">
        <f>I77+I83+I89+I95+I101+I107</f>
        <v/>
      </c>
      <c r="J241" s="33">
        <f>J77+J83+J89+J95+J101+J107</f>
        <v/>
      </c>
      <c r="K241" s="33">
        <f>K77+K83+K89+K95+K101+K107</f>
        <v/>
      </c>
      <c r="L241" s="33">
        <f>L77+L83+L89+L95+L101+L107</f>
        <v/>
      </c>
      <c r="M241" s="33">
        <f>M77+M83+M89+M95+M101+M107</f>
        <v/>
      </c>
      <c r="N241" s="33">
        <f>N77+N83+N89+N95+N101+N107</f>
        <v/>
      </c>
      <c r="O241" s="33">
        <f>O77+O83+O89+O95+O101+O107</f>
        <v/>
      </c>
      <c r="P241" s="33">
        <f>P77+P83+P89+P95+P101+P107</f>
        <v/>
      </c>
    </row>
    <row r="242">
      <c r="A242" s="15" t="inlineStr">
        <is>
          <t>DPC - ایستگاه 3</t>
        </is>
      </c>
      <c r="B242" s="16" t="inlineStr">
        <is>
          <t>EC.DPC.st2</t>
        </is>
      </c>
      <c r="C242" s="17" t="inlineStr">
        <is>
          <t>میلیون ریال</t>
        </is>
      </c>
      <c r="D242" s="33">
        <f>D78+D84+D90+D96+D102+D108</f>
        <v/>
      </c>
      <c r="E242" s="33">
        <f>E78+E84+E90+E96+E102+E108</f>
        <v/>
      </c>
      <c r="F242" s="33">
        <f>F78+F84+F90+F96+F102+F108</f>
        <v/>
      </c>
      <c r="G242" s="33">
        <f>G78+G84+G90+G96+G102+G108</f>
        <v/>
      </c>
      <c r="H242" s="33">
        <f>H78+H84+H90+H96+H102+H108</f>
        <v/>
      </c>
      <c r="I242" s="33">
        <f>I78+I84+I90+I96+I102+I108</f>
        <v/>
      </c>
      <c r="J242" s="33">
        <f>J78+J84+J90+J96+J102+J108</f>
        <v/>
      </c>
      <c r="K242" s="33">
        <f>K78+K84+K90+K96+K102+K108</f>
        <v/>
      </c>
      <c r="L242" s="33">
        <f>L78+L84+L90+L96+L102+L108</f>
        <v/>
      </c>
      <c r="M242" s="33">
        <f>M78+M84+M90+M96+M102+M108</f>
        <v/>
      </c>
      <c r="N242" s="33">
        <f>N78+N84+N90+N96+N102+N108</f>
        <v/>
      </c>
      <c r="O242" s="33">
        <f>O78+O84+O90+O96+O102+O108</f>
        <v/>
      </c>
      <c r="P242" s="33">
        <f>P78+P84+P90+P96+P102+P108</f>
        <v/>
      </c>
    </row>
    <row r="243">
      <c r="A243" s="15" t="inlineStr">
        <is>
          <t>DPC - ایستگاه 4</t>
        </is>
      </c>
      <c r="B243" s="16" t="inlineStr">
        <is>
          <t>EC.DPC.st3</t>
        </is>
      </c>
      <c r="C243" s="17" t="inlineStr">
        <is>
          <t>میلیون ریال</t>
        </is>
      </c>
      <c r="D243" s="33">
        <f>D79+D85+D91+D97+D103+D109</f>
        <v/>
      </c>
      <c r="E243" s="33">
        <f>E79+E85+E91+E97+E103+E109</f>
        <v/>
      </c>
      <c r="F243" s="33">
        <f>F79+F85+F91+F97+F103+F109</f>
        <v/>
      </c>
      <c r="G243" s="33">
        <f>G79+G85+G91+G97+G103+G109</f>
        <v/>
      </c>
      <c r="H243" s="33">
        <f>H79+H85+H91+H97+H103+H109</f>
        <v/>
      </c>
      <c r="I243" s="33">
        <f>I79+I85+I91+I97+I103+I109</f>
        <v/>
      </c>
      <c r="J243" s="33">
        <f>J79+J85+J91+J97+J103+J109</f>
        <v/>
      </c>
      <c r="K243" s="33">
        <f>K79+K85+K91+K97+K103+K109</f>
        <v/>
      </c>
      <c r="L243" s="33">
        <f>L79+L85+L91+L97+L103+L109</f>
        <v/>
      </c>
      <c r="M243" s="33">
        <f>M79+M85+M91+M97+M103+M109</f>
        <v/>
      </c>
      <c r="N243" s="33">
        <f>N79+N85+N91+N97+N103+N109</f>
        <v/>
      </c>
      <c r="O243" s="33">
        <f>O79+O85+O91+O97+O103+O109</f>
        <v/>
      </c>
      <c r="P243" s="33">
        <f>P79+P85+P91+P97+P103+P109</f>
        <v/>
      </c>
    </row>
    <row r="244">
      <c r="A244" s="15" t="inlineStr">
        <is>
          <t>DPC - ایستگاه 5</t>
        </is>
      </c>
      <c r="B244" s="16" t="inlineStr">
        <is>
          <t>EC.DPC.st4</t>
        </is>
      </c>
      <c r="C244" s="17" t="inlineStr">
        <is>
          <t>میلیون ریال</t>
        </is>
      </c>
      <c r="D244" s="33">
        <f>D80+D86+D92+D98+D104+D110</f>
        <v/>
      </c>
      <c r="E244" s="33">
        <f>E80+E86+E92+E98+E104+E110</f>
        <v/>
      </c>
      <c r="F244" s="33">
        <f>F80+F86+F92+F98+F104+F110</f>
        <v/>
      </c>
      <c r="G244" s="33">
        <f>G80+G86+G92+G98+G104+G110</f>
        <v/>
      </c>
      <c r="H244" s="33">
        <f>H80+H86+H92+H98+H104+H110</f>
        <v/>
      </c>
      <c r="I244" s="33">
        <f>I80+I86+I92+I98+I104+I110</f>
        <v/>
      </c>
      <c r="J244" s="33">
        <f>J80+J86+J92+J98+J104+J110</f>
        <v/>
      </c>
      <c r="K244" s="33">
        <f>K80+K86+K92+K98+K104+K110</f>
        <v/>
      </c>
      <c r="L244" s="33">
        <f>L80+L86+L92+L98+L104+L110</f>
        <v/>
      </c>
      <c r="M244" s="33">
        <f>M80+M86+M92+M98+M104+M110</f>
        <v/>
      </c>
      <c r="N244" s="33">
        <f>N80+N86+N92+N98+N104+N110</f>
        <v/>
      </c>
      <c r="O244" s="33">
        <f>O80+O86+O92+O98+O104+O110</f>
        <v/>
      </c>
      <c r="P244" s="33">
        <f>P80+P86+P92+P98+P104+P110</f>
        <v/>
      </c>
    </row>
    <row r="245">
      <c r="A245" s="15" t="inlineStr">
        <is>
          <t>DPC - ایستگاه 6</t>
        </is>
      </c>
      <c r="B245" s="16" t="inlineStr">
        <is>
          <t>EC.DPC.st5</t>
        </is>
      </c>
      <c r="C245" s="17" t="inlineStr">
        <is>
          <t>میلیون ریال</t>
        </is>
      </c>
      <c r="D245" s="33">
        <f>D81+D87+D93+D99+D105+D111</f>
        <v/>
      </c>
      <c r="E245" s="33">
        <f>E81+E87+E93+E99+E105+E111</f>
        <v/>
      </c>
      <c r="F245" s="33">
        <f>F81+F87+F93+F99+F105+F111</f>
        <v/>
      </c>
      <c r="G245" s="33">
        <f>G81+G87+G93+G99+G105+G111</f>
        <v/>
      </c>
      <c r="H245" s="33">
        <f>H81+H87+H93+H99+H105+H111</f>
        <v/>
      </c>
      <c r="I245" s="33">
        <f>I81+I87+I93+I99+I105+I111</f>
        <v/>
      </c>
      <c r="J245" s="33">
        <f>J81+J87+J93+J99+J105+J111</f>
        <v/>
      </c>
      <c r="K245" s="33">
        <f>K81+K87+K93+K99+K105+K111</f>
        <v/>
      </c>
      <c r="L245" s="33">
        <f>L81+L87+L93+L99+L105+L111</f>
        <v/>
      </c>
      <c r="M245" s="33">
        <f>M81+M87+M93+M99+M105+M111</f>
        <v/>
      </c>
      <c r="N245" s="33">
        <f>N81+N87+N93+N99+N105+N111</f>
        <v/>
      </c>
      <c r="O245" s="33">
        <f>O81+O87+O93+O99+O105+O111</f>
        <v/>
      </c>
      <c r="P245" s="33">
        <f>P81+P87+P93+P99+P105+P111</f>
        <v/>
      </c>
    </row>
    <row r="246">
      <c r="A246" s="15" t="inlineStr">
        <is>
          <t>OPC - ایستگاه 1</t>
        </is>
      </c>
      <c r="B246" s="16" t="inlineStr">
        <is>
          <t>EC.OPC.st0</t>
        </is>
      </c>
      <c r="C246" s="17" t="inlineStr">
        <is>
          <t>میلیون ریال</t>
        </is>
      </c>
      <c r="D246" s="33">
        <f>D112+D118+D124+D130+D136+D142+D148+D154+D160</f>
        <v/>
      </c>
      <c r="E246" s="33">
        <f>E112+E118+E124+E130+E136+E142+E148+E154+E160</f>
        <v/>
      </c>
      <c r="F246" s="33">
        <f>F112+F118+F124+F130+F136+F142+F148+F154+F160</f>
        <v/>
      </c>
      <c r="G246" s="33">
        <f>G112+G118+G124+G130+G136+G142+G148+G154+G160</f>
        <v/>
      </c>
      <c r="H246" s="33">
        <f>H112+H118+H124+H130+H136+H142+H148+H154+H160</f>
        <v/>
      </c>
      <c r="I246" s="33">
        <f>I112+I118+I124+I130+I136+I142+I148+I154+I160</f>
        <v/>
      </c>
      <c r="J246" s="33">
        <f>J112+J118+J124+J130+J136+J142+J148+J154+J160</f>
        <v/>
      </c>
      <c r="K246" s="33">
        <f>K112+K118+K124+K130+K136+K142+K148+K154+K160</f>
        <v/>
      </c>
      <c r="L246" s="33">
        <f>L112+L118+L124+L130+L136+L142+L148+L154+L160</f>
        <v/>
      </c>
      <c r="M246" s="33">
        <f>M112+M118+M124+M130+M136+M142+M148+M154+M160</f>
        <v/>
      </c>
      <c r="N246" s="33">
        <f>N112+N118+N124+N130+N136+N142+N148+N154+N160</f>
        <v/>
      </c>
      <c r="O246" s="33">
        <f>O112+O118+O124+O130+O136+O142+O148+O154+O160</f>
        <v/>
      </c>
      <c r="P246" s="33">
        <f>P112+P118+P124+P130+P136+P142+P148+P154+P160</f>
        <v/>
      </c>
    </row>
    <row r="247">
      <c r="A247" s="15" t="inlineStr">
        <is>
          <t>OPC - ایستگاه 2</t>
        </is>
      </c>
      <c r="B247" s="16" t="inlineStr">
        <is>
          <t>EC.OPC.st1</t>
        </is>
      </c>
      <c r="C247" s="17" t="inlineStr">
        <is>
          <t>میلیون ریال</t>
        </is>
      </c>
      <c r="D247" s="33">
        <f>D113+D119+D125+D131+D137+D143+D149+D155+D161</f>
        <v/>
      </c>
      <c r="E247" s="33">
        <f>E113+E119+E125+E131+E137+E143+E149+E155+E161</f>
        <v/>
      </c>
      <c r="F247" s="33">
        <f>F113+F119+F125+F131+F137+F143+F149+F155+F161</f>
        <v/>
      </c>
      <c r="G247" s="33">
        <f>G113+G119+G125+G131+G137+G143+G149+G155+G161</f>
        <v/>
      </c>
      <c r="H247" s="33">
        <f>H113+H119+H125+H131+H137+H143+H149+H155+H161</f>
        <v/>
      </c>
      <c r="I247" s="33">
        <f>I113+I119+I125+I131+I137+I143+I149+I155+I161</f>
        <v/>
      </c>
      <c r="J247" s="33">
        <f>J113+J119+J125+J131+J137+J143+J149+J155+J161</f>
        <v/>
      </c>
      <c r="K247" s="33">
        <f>K113+K119+K125+K131+K137+K143+K149+K155+K161</f>
        <v/>
      </c>
      <c r="L247" s="33">
        <f>L113+L119+L125+L131+L137+L143+L149+L155+L161</f>
        <v/>
      </c>
      <c r="M247" s="33">
        <f>M113+M119+M125+M131+M137+M143+M149+M155+M161</f>
        <v/>
      </c>
      <c r="N247" s="33">
        <f>N113+N119+N125+N131+N137+N143+N149+N155+N161</f>
        <v/>
      </c>
      <c r="O247" s="33">
        <f>O113+O119+O125+O131+O137+O143+O149+O155+O161</f>
        <v/>
      </c>
      <c r="P247" s="33">
        <f>P113+P119+P125+P131+P137+P143+P149+P155+P161</f>
        <v/>
      </c>
    </row>
    <row r="248">
      <c r="A248" s="15" t="inlineStr">
        <is>
          <t>OPC - ایستگاه 3</t>
        </is>
      </c>
      <c r="B248" s="16" t="inlineStr">
        <is>
          <t>EC.OPC.st2</t>
        </is>
      </c>
      <c r="C248" s="17" t="inlineStr">
        <is>
          <t>میلیون ریال</t>
        </is>
      </c>
      <c r="D248" s="33">
        <f>D114+D120+D126+D132+D138+D144+D150+D156+D162</f>
        <v/>
      </c>
      <c r="E248" s="33">
        <f>E114+E120+E126+E132+E138+E144+E150+E156+E162</f>
        <v/>
      </c>
      <c r="F248" s="33">
        <f>F114+F120+F126+F132+F138+F144+F150+F156+F162</f>
        <v/>
      </c>
      <c r="G248" s="33">
        <f>G114+G120+G126+G132+G138+G144+G150+G156+G162</f>
        <v/>
      </c>
      <c r="H248" s="33">
        <f>H114+H120+H126+H132+H138+H144+H150+H156+H162</f>
        <v/>
      </c>
      <c r="I248" s="33">
        <f>I114+I120+I126+I132+I138+I144+I150+I156+I162</f>
        <v/>
      </c>
      <c r="J248" s="33">
        <f>J114+J120+J126+J132+J138+J144+J150+J156+J162</f>
        <v/>
      </c>
      <c r="K248" s="33">
        <f>K114+K120+K126+K132+K138+K144+K150+K156+K162</f>
        <v/>
      </c>
      <c r="L248" s="33">
        <f>L114+L120+L126+L132+L138+L144+L150+L156+L162</f>
        <v/>
      </c>
      <c r="M248" s="33">
        <f>M114+M120+M126+M132+M138+M144+M150+M156+M162</f>
        <v/>
      </c>
      <c r="N248" s="33">
        <f>N114+N120+N126+N132+N138+N144+N150+N156+N162</f>
        <v/>
      </c>
      <c r="O248" s="33">
        <f>O114+O120+O126+O132+O138+O144+O150+O156+O162</f>
        <v/>
      </c>
      <c r="P248" s="33">
        <f>P114+P120+P126+P132+P138+P144+P150+P156+P162</f>
        <v/>
      </c>
    </row>
    <row r="249">
      <c r="A249" s="15" t="inlineStr">
        <is>
          <t>OPC - ایستگاه 4</t>
        </is>
      </c>
      <c r="B249" s="16" t="inlineStr">
        <is>
          <t>EC.OPC.st3</t>
        </is>
      </c>
      <c r="C249" s="17" t="inlineStr">
        <is>
          <t>میلیون ریال</t>
        </is>
      </c>
      <c r="D249" s="33">
        <f>D115+D121+D127+D133+D139+D145+D151+D157+D163</f>
        <v/>
      </c>
      <c r="E249" s="33">
        <f>E115+E121+E127+E133+E139+E145+E151+E157+E163</f>
        <v/>
      </c>
      <c r="F249" s="33">
        <f>F115+F121+F127+F133+F139+F145+F151+F157+F163</f>
        <v/>
      </c>
      <c r="G249" s="33">
        <f>G115+G121+G127+G133+G139+G145+G151+G157+G163</f>
        <v/>
      </c>
      <c r="H249" s="33">
        <f>H115+H121+H127+H133+H139+H145+H151+H157+H163</f>
        <v/>
      </c>
      <c r="I249" s="33">
        <f>I115+I121+I127+I133+I139+I145+I151+I157+I163</f>
        <v/>
      </c>
      <c r="J249" s="33">
        <f>J115+J121+J127+J133+J139+J145+J151+J157+J163</f>
        <v/>
      </c>
      <c r="K249" s="33">
        <f>K115+K121+K127+K133+K139+K145+K151+K157+K163</f>
        <v/>
      </c>
      <c r="L249" s="33">
        <f>L115+L121+L127+L133+L139+L145+L151+L157+L163</f>
        <v/>
      </c>
      <c r="M249" s="33">
        <f>M115+M121+M127+M133+M139+M145+M151+M157+M163</f>
        <v/>
      </c>
      <c r="N249" s="33">
        <f>N115+N121+N127+N133+N139+N145+N151+N157+N163</f>
        <v/>
      </c>
      <c r="O249" s="33">
        <f>O115+O121+O127+O133+O139+O145+O151+O157+O163</f>
        <v/>
      </c>
      <c r="P249" s="33">
        <f>P115+P121+P127+P133+P139+P145+P151+P157+P163</f>
        <v/>
      </c>
    </row>
    <row r="250">
      <c r="A250" s="15" t="inlineStr">
        <is>
          <t>OPC - ایستگاه 5</t>
        </is>
      </c>
      <c r="B250" s="16" t="inlineStr">
        <is>
          <t>EC.OPC.st4</t>
        </is>
      </c>
      <c r="C250" s="17" t="inlineStr">
        <is>
          <t>میلیون ریال</t>
        </is>
      </c>
      <c r="D250" s="33">
        <f>D116+D122+D128+D134+D140+D146+D152+D158+D164</f>
        <v/>
      </c>
      <c r="E250" s="33">
        <f>E116+E122+E128+E134+E140+E146+E152+E158+E164</f>
        <v/>
      </c>
      <c r="F250" s="33">
        <f>F116+F122+F128+F134+F140+F146+F152+F158+F164</f>
        <v/>
      </c>
      <c r="G250" s="33">
        <f>G116+G122+G128+G134+G140+G146+G152+G158+G164</f>
        <v/>
      </c>
      <c r="H250" s="33">
        <f>H116+H122+H128+H134+H140+H146+H152+H158+H164</f>
        <v/>
      </c>
      <c r="I250" s="33">
        <f>I116+I122+I128+I134+I140+I146+I152+I158+I164</f>
        <v/>
      </c>
      <c r="J250" s="33">
        <f>J116+J122+J128+J134+J140+J146+J152+J158+J164</f>
        <v/>
      </c>
      <c r="K250" s="33">
        <f>K116+K122+K128+K134+K140+K146+K152+K158+K164</f>
        <v/>
      </c>
      <c r="L250" s="33">
        <f>L116+L122+L128+L134+L140+L146+L152+L158+L164</f>
        <v/>
      </c>
      <c r="M250" s="33">
        <f>M116+M122+M128+M134+M140+M146+M152+M158+M164</f>
        <v/>
      </c>
      <c r="N250" s="33">
        <f>N116+N122+N128+N134+N140+N146+N152+N158+N164</f>
        <v/>
      </c>
      <c r="O250" s="33">
        <f>O116+O122+O128+O134+O140+O146+O152+O158+O164</f>
        <v/>
      </c>
      <c r="P250" s="33">
        <f>P116+P122+P128+P134+P140+P146+P152+P158+P164</f>
        <v/>
      </c>
    </row>
    <row r="251">
      <c r="A251" s="15" t="inlineStr">
        <is>
          <t>OPC - ایستگاه 6</t>
        </is>
      </c>
      <c r="B251" s="16" t="inlineStr">
        <is>
          <t>EC.OPC.st5</t>
        </is>
      </c>
      <c r="C251" s="17" t="inlineStr">
        <is>
          <t>میلیون ریال</t>
        </is>
      </c>
      <c r="D251" s="33">
        <f>D117+D123+D129+D135+D141+D147+D153+D159+D165</f>
        <v/>
      </c>
      <c r="E251" s="33">
        <f>E117+E123+E129+E135+E141+E147+E153+E159+E165</f>
        <v/>
      </c>
      <c r="F251" s="33">
        <f>F117+F123+F129+F135+F141+F147+F153+F159+F165</f>
        <v/>
      </c>
      <c r="G251" s="33">
        <f>G117+G123+G129+G135+G141+G147+G153+G159+G165</f>
        <v/>
      </c>
      <c r="H251" s="33">
        <f>H117+H123+H129+H135+H141+H147+H153+H159+H165</f>
        <v/>
      </c>
      <c r="I251" s="33">
        <f>I117+I123+I129+I135+I141+I147+I153+I159+I165</f>
        <v/>
      </c>
      <c r="J251" s="33">
        <f>J117+J123+J129+J135+J141+J147+J153+J159+J165</f>
        <v/>
      </c>
      <c r="K251" s="33">
        <f>K117+K123+K129+K135+K141+K147+K153+K159+K165</f>
        <v/>
      </c>
      <c r="L251" s="33">
        <f>L117+L123+L129+L135+L141+L147+L153+L159+L165</f>
        <v/>
      </c>
      <c r="M251" s="33">
        <f>M117+M123+M129+M135+M141+M147+M153+M159+M165</f>
        <v/>
      </c>
      <c r="N251" s="33">
        <f>N117+N123+N129+N135+N141+N147+N153+N159+N165</f>
        <v/>
      </c>
      <c r="O251" s="33">
        <f>O117+O123+O129+O135+O141+O147+O153+O159+O165</f>
        <v/>
      </c>
      <c r="P251" s="33">
        <f>P117+P123+P129+P135+P141+P147+P153+P159+P165</f>
        <v/>
      </c>
    </row>
    <row r="252">
      <c r="A252" s="15" t="inlineStr">
        <is>
          <t>FPC - ایستگاه 1</t>
        </is>
      </c>
      <c r="B252" s="16" t="inlineStr">
        <is>
          <t>EC.FPC.st0</t>
        </is>
      </c>
      <c r="C252" s="17" t="inlineStr">
        <is>
          <t>میلیون ریال</t>
        </is>
      </c>
      <c r="D252" s="33">
        <f>D166+D172+D178+D184+D190+D196+D202+D208+D214+D220+D226+D232</f>
        <v/>
      </c>
      <c r="E252" s="33">
        <f>E166+E172+E178+E184+E190+E196+E202+E208+E214+E220+E226+E232</f>
        <v/>
      </c>
      <c r="F252" s="33">
        <f>F166+F172+F178+F184+F190+F196+F202+F208+F214+F220+F226+F232</f>
        <v/>
      </c>
      <c r="G252" s="33">
        <f>G166+G172+G178+G184+G190+G196+G202+G208+G214+G220+G226+G232</f>
        <v/>
      </c>
      <c r="H252" s="33">
        <f>H166+H172+H178+H184+H190+H196+H202+H208+H214+H220+H226+H232</f>
        <v/>
      </c>
      <c r="I252" s="33">
        <f>I166+I172+I178+I184+I190+I196+I202+I208+I214+I220+I226+I232</f>
        <v/>
      </c>
      <c r="J252" s="33">
        <f>J166+J172+J178+J184+J190+J196+J202+J208+J214+J220+J226+J232</f>
        <v/>
      </c>
      <c r="K252" s="33">
        <f>K166+K172+K178+K184+K190+K196+K202+K208+K214+K220+K226+K232</f>
        <v/>
      </c>
      <c r="L252" s="33">
        <f>L166+L172+L178+L184+L190+L196+L202+L208+L214+L220+L226+L232</f>
        <v/>
      </c>
      <c r="M252" s="33">
        <f>M166+M172+M178+M184+M190+M196+M202+M208+M214+M220+M226+M232</f>
        <v/>
      </c>
      <c r="N252" s="33">
        <f>N166+N172+N178+N184+N190+N196+N202+N208+N214+N220+N226+N232</f>
        <v/>
      </c>
      <c r="O252" s="33">
        <f>O166+O172+O178+O184+O190+O196+O202+O208+O214+O220+O226+O232</f>
        <v/>
      </c>
      <c r="P252" s="33">
        <f>P166+P172+P178+P184+P190+P196+P202+P208+P214+P220+P226+P232</f>
        <v/>
      </c>
    </row>
    <row r="253">
      <c r="A253" s="15" t="inlineStr">
        <is>
          <t>FPC - ایستگاه 2</t>
        </is>
      </c>
      <c r="B253" s="16" t="inlineStr">
        <is>
          <t>EC.FPC.st1</t>
        </is>
      </c>
      <c r="C253" s="17" t="inlineStr">
        <is>
          <t>میلیون ریال</t>
        </is>
      </c>
      <c r="D253" s="33">
        <f>D167+D173+D179+D185+D191+D197+D203+D209+D215+D221+D227+D233</f>
        <v/>
      </c>
      <c r="E253" s="33">
        <f>E167+E173+E179+E185+E191+E197+E203+E209+E215+E221+E227+E233</f>
        <v/>
      </c>
      <c r="F253" s="33">
        <f>F167+F173+F179+F185+F191+F197+F203+F209+F215+F221+F227+F233</f>
        <v/>
      </c>
      <c r="G253" s="33">
        <f>G167+G173+G179+G185+G191+G197+G203+G209+G215+G221+G227+G233</f>
        <v/>
      </c>
      <c r="H253" s="33">
        <f>H167+H173+H179+H185+H191+H197+H203+H209+H215+H221+H227+H233</f>
        <v/>
      </c>
      <c r="I253" s="33">
        <f>I167+I173+I179+I185+I191+I197+I203+I209+I215+I221+I227+I233</f>
        <v/>
      </c>
      <c r="J253" s="33">
        <f>J167+J173+J179+J185+J191+J197+J203+J209+J215+J221+J227+J233</f>
        <v/>
      </c>
      <c r="K253" s="33">
        <f>K167+K173+K179+K185+K191+K197+K203+K209+K215+K221+K227+K233</f>
        <v/>
      </c>
      <c r="L253" s="33">
        <f>L167+L173+L179+L185+L191+L197+L203+L209+L215+L221+L227+L233</f>
        <v/>
      </c>
      <c r="M253" s="33">
        <f>M167+M173+M179+M185+M191+M197+M203+M209+M215+M221+M227+M233</f>
        <v/>
      </c>
      <c r="N253" s="33">
        <f>N167+N173+N179+N185+N191+N197+N203+N209+N215+N221+N227+N233</f>
        <v/>
      </c>
      <c r="O253" s="33">
        <f>O167+O173+O179+O185+O191+O197+O203+O209+O215+O221+O227+O233</f>
        <v/>
      </c>
      <c r="P253" s="33">
        <f>P167+P173+P179+P185+P191+P197+P203+P209+P215+P221+P227+P233</f>
        <v/>
      </c>
    </row>
    <row r="254">
      <c r="A254" s="15" t="inlineStr">
        <is>
          <t>FPC - ایستگاه 3</t>
        </is>
      </c>
      <c r="B254" s="16" t="inlineStr">
        <is>
          <t>EC.FPC.st2</t>
        </is>
      </c>
      <c r="C254" s="17" t="inlineStr">
        <is>
          <t>میلیون ریال</t>
        </is>
      </c>
      <c r="D254" s="33">
        <f>D168+D174+D180+D186+D192+D198+D204+D210+D216+D222+D228+D234</f>
        <v/>
      </c>
      <c r="E254" s="33">
        <f>E168+E174+E180+E186+E192+E198+E204+E210+E216+E222+E228+E234</f>
        <v/>
      </c>
      <c r="F254" s="33">
        <f>F168+F174+F180+F186+F192+F198+F204+F210+F216+F222+F228+F234</f>
        <v/>
      </c>
      <c r="G254" s="33">
        <f>G168+G174+G180+G186+G192+G198+G204+G210+G216+G222+G228+G234</f>
        <v/>
      </c>
      <c r="H254" s="33">
        <f>H168+H174+H180+H186+H192+H198+H204+H210+H216+H222+H228+H234</f>
        <v/>
      </c>
      <c r="I254" s="33">
        <f>I168+I174+I180+I186+I192+I198+I204+I210+I216+I222+I228+I234</f>
        <v/>
      </c>
      <c r="J254" s="33">
        <f>J168+J174+J180+J186+J192+J198+J204+J210+J216+J222+J228+J234</f>
        <v/>
      </c>
      <c r="K254" s="33">
        <f>K168+K174+K180+K186+K192+K198+K204+K210+K216+K222+K228+K234</f>
        <v/>
      </c>
      <c r="L254" s="33">
        <f>L168+L174+L180+L186+L192+L198+L204+L210+L216+L222+L228+L234</f>
        <v/>
      </c>
      <c r="M254" s="33">
        <f>M168+M174+M180+M186+M192+M198+M204+M210+M216+M222+M228+M234</f>
        <v/>
      </c>
      <c r="N254" s="33">
        <f>N168+N174+N180+N186+N192+N198+N204+N210+N216+N222+N228+N234</f>
        <v/>
      </c>
      <c r="O254" s="33">
        <f>O168+O174+O180+O186+O192+O198+O204+O210+O216+O222+O228+O234</f>
        <v/>
      </c>
      <c r="P254" s="33">
        <f>P168+P174+P180+P186+P192+P198+P204+P210+P216+P222+P228+P234</f>
        <v/>
      </c>
    </row>
    <row r="255">
      <c r="A255" s="15" t="inlineStr">
        <is>
          <t>FPC - ایستگاه 4</t>
        </is>
      </c>
      <c r="B255" s="16" t="inlineStr">
        <is>
          <t>EC.FPC.st3</t>
        </is>
      </c>
      <c r="C255" s="17" t="inlineStr">
        <is>
          <t>میلیون ریال</t>
        </is>
      </c>
      <c r="D255" s="33">
        <f>D169+D175+D181+D187+D193+D199+D205+D211+D217+D223+D229+D235</f>
        <v/>
      </c>
      <c r="E255" s="33">
        <f>E169+E175+E181+E187+E193+E199+E205+E211+E217+E223+E229+E235</f>
        <v/>
      </c>
      <c r="F255" s="33">
        <f>F169+F175+F181+F187+F193+F199+F205+F211+F217+F223+F229+F235</f>
        <v/>
      </c>
      <c r="G255" s="33">
        <f>G169+G175+G181+G187+G193+G199+G205+G211+G217+G223+G229+G235</f>
        <v/>
      </c>
      <c r="H255" s="33">
        <f>H169+H175+H181+H187+H193+H199+H205+H211+H217+H223+H229+H235</f>
        <v/>
      </c>
      <c r="I255" s="33">
        <f>I169+I175+I181+I187+I193+I199+I205+I211+I217+I223+I229+I235</f>
        <v/>
      </c>
      <c r="J255" s="33">
        <f>J169+J175+J181+J187+J193+J199+J205+J211+J217+J223+J229+J235</f>
        <v/>
      </c>
      <c r="K255" s="33">
        <f>K169+K175+K181+K187+K193+K199+K205+K211+K217+K223+K229+K235</f>
        <v/>
      </c>
      <c r="L255" s="33">
        <f>L169+L175+L181+L187+L193+L199+L205+L211+L217+L223+L229+L235</f>
        <v/>
      </c>
      <c r="M255" s="33">
        <f>M169+M175+M181+M187+M193+M199+M205+M211+M217+M223+M229+M235</f>
        <v/>
      </c>
      <c r="N255" s="33">
        <f>N169+N175+N181+N187+N193+N199+N205+N211+N217+N223+N229+N235</f>
        <v/>
      </c>
      <c r="O255" s="33">
        <f>O169+O175+O181+O187+O193+O199+O205+O211+O217+O223+O229+O235</f>
        <v/>
      </c>
      <c r="P255" s="33">
        <f>P169+P175+P181+P187+P193+P199+P205+P211+P217+P223+P229+P235</f>
        <v/>
      </c>
    </row>
    <row r="256">
      <c r="A256" s="15" t="inlineStr">
        <is>
          <t>FPC - ایستگاه 5</t>
        </is>
      </c>
      <c r="B256" s="16" t="inlineStr">
        <is>
          <t>EC.FPC.st4</t>
        </is>
      </c>
      <c r="C256" s="17" t="inlineStr">
        <is>
          <t>میلیون ریال</t>
        </is>
      </c>
      <c r="D256" s="33">
        <f>D170+D176+D182+D188+D194+D200+D206+D212+D218+D224+D230+D236</f>
        <v/>
      </c>
      <c r="E256" s="33">
        <f>E170+E176+E182+E188+E194+E200+E206+E212+E218+E224+E230+E236</f>
        <v/>
      </c>
      <c r="F256" s="33">
        <f>F170+F176+F182+F188+F194+F200+F206+F212+F218+F224+F230+F236</f>
        <v/>
      </c>
      <c r="G256" s="33">
        <f>G170+G176+G182+G188+G194+G200+G206+G212+G218+G224+G230+G236</f>
        <v/>
      </c>
      <c r="H256" s="33">
        <f>H170+H176+H182+H188+H194+H200+H206+H212+H218+H224+H230+H236</f>
        <v/>
      </c>
      <c r="I256" s="33">
        <f>I170+I176+I182+I188+I194+I200+I206+I212+I218+I224+I230+I236</f>
        <v/>
      </c>
      <c r="J256" s="33">
        <f>J170+J176+J182+J188+J194+J200+J206+J212+J218+J224+J230+J236</f>
        <v/>
      </c>
      <c r="K256" s="33">
        <f>K170+K176+K182+K188+K194+K200+K206+K212+K218+K224+K230+K236</f>
        <v/>
      </c>
      <c r="L256" s="33">
        <f>L170+L176+L182+L188+L194+L200+L206+L212+L218+L224+L230+L236</f>
        <v/>
      </c>
      <c r="M256" s="33">
        <f>M170+M176+M182+M188+M194+M200+M206+M212+M218+M224+M230+M236</f>
        <v/>
      </c>
      <c r="N256" s="33">
        <f>N170+N176+N182+N188+N194+N200+N206+N212+N218+N224+N230+N236</f>
        <v/>
      </c>
      <c r="O256" s="33">
        <f>O170+O176+O182+O188+O194+O200+O206+O212+O218+O224+O230+O236</f>
        <v/>
      </c>
      <c r="P256" s="33">
        <f>P170+P176+P182+P188+P194+P200+P206+P212+P218+P224+P230+P236</f>
        <v/>
      </c>
    </row>
    <row r="257">
      <c r="A257" s="15" t="inlineStr">
        <is>
          <t>FPC - ایستگاه 6</t>
        </is>
      </c>
      <c r="B257" s="16" t="inlineStr">
        <is>
          <t>EC.FPC.st5</t>
        </is>
      </c>
      <c r="C257" s="17" t="inlineStr">
        <is>
          <t>میلیون ریال</t>
        </is>
      </c>
      <c r="D257" s="33">
        <f>D171+D177+D183+D189+D195+D201+D207+D213+D219+D225+D231+D237</f>
        <v/>
      </c>
      <c r="E257" s="33">
        <f>E171+E177+E183+E189+E195+E201+E207+E213+E219+E225+E231+E237</f>
        <v/>
      </c>
      <c r="F257" s="33">
        <f>F171+F177+F183+F189+F195+F201+F207+F213+F219+F225+F231+F237</f>
        <v/>
      </c>
      <c r="G257" s="33">
        <f>G171+G177+G183+G189+G195+G201+G207+G213+G219+G225+G231+G237</f>
        <v/>
      </c>
      <c r="H257" s="33">
        <f>H171+H177+H183+H189+H195+H201+H207+H213+H219+H225+H231+H237</f>
        <v/>
      </c>
      <c r="I257" s="33">
        <f>I171+I177+I183+I189+I195+I201+I207+I213+I219+I225+I231+I237</f>
        <v/>
      </c>
      <c r="J257" s="33">
        <f>J171+J177+J183+J189+J195+J201+J207+J213+J219+J225+J231+J237</f>
        <v/>
      </c>
      <c r="K257" s="33">
        <f>K171+K177+K183+K189+K195+K201+K207+K213+K219+K225+K231+K237</f>
        <v/>
      </c>
      <c r="L257" s="33">
        <f>L171+L177+L183+L189+L195+L201+L207+L213+L219+L225+L231+L237</f>
        <v/>
      </c>
      <c r="M257" s="33">
        <f>M171+M177+M183+M189+M195+M201+M207+M213+M219+M225+M231+M237</f>
        <v/>
      </c>
      <c r="N257" s="33">
        <f>N171+N177+N183+N189+N195+N201+N207+N213+N219+N225+N231+N237</f>
        <v/>
      </c>
      <c r="O257" s="33">
        <f>O171+O177+O183+O189+O195+O201+O207+O213+O219+O225+O231+O237</f>
        <v/>
      </c>
      <c r="P257" s="33">
        <f>P171+P177+P183+P189+P195+P201+P207+P213+P219+P225+P231+P237</f>
        <v/>
      </c>
    </row>
    <row r="258"/>
    <row r="259">
      <c r="A259" s="4" t="inlineStr">
        <is>
          <t>و) جمع کل، بهای واحد و سود عملیاتی</t>
        </is>
      </c>
      <c r="B259" s="5" t="n"/>
      <c r="C259" s="5" t="n"/>
      <c r="D259" s="5" t="n"/>
      <c r="E259" s="5" t="n"/>
      <c r="F259" s="5" t="n"/>
      <c r="G259" s="5" t="n"/>
      <c r="H259" s="5" t="n"/>
      <c r="I259" s="5" t="n"/>
      <c r="J259" s="5" t="n"/>
      <c r="K259" s="5" t="n"/>
      <c r="L259" s="5" t="n"/>
      <c r="M259" s="5" t="n"/>
      <c r="N259" s="5" t="n"/>
      <c r="O259" s="5" t="n"/>
      <c r="P259" s="5" t="n"/>
      <c r="Q259" s="5" t="n"/>
    </row>
    <row r="260">
      <c r="A260" s="8" t="inlineStr">
        <is>
          <t>جمع DPC</t>
        </is>
      </c>
      <c r="B260" s="16" t="inlineStr">
        <is>
          <t>EC.dpc</t>
        </is>
      </c>
      <c r="C260" s="17" t="inlineStr">
        <is>
          <t>میلیون ریال</t>
        </is>
      </c>
      <c r="D260" s="33">
        <f>D240+D241+D242+D243+D244+D245</f>
        <v/>
      </c>
      <c r="E260" s="33">
        <f>E240+E241+E242+E243+E244+E245</f>
        <v/>
      </c>
      <c r="F260" s="33">
        <f>F240+F241+F242+F243+F244+F245</f>
        <v/>
      </c>
      <c r="G260" s="33">
        <f>G240+G241+G242+G243+G244+G245</f>
        <v/>
      </c>
      <c r="H260" s="33">
        <f>H240+H241+H242+H243+H244+H245</f>
        <v/>
      </c>
      <c r="I260" s="33">
        <f>I240+I241+I242+I243+I244+I245</f>
        <v/>
      </c>
      <c r="J260" s="33">
        <f>J240+J241+J242+J243+J244+J245</f>
        <v/>
      </c>
      <c r="K260" s="33">
        <f>K240+K241+K242+K243+K244+K245</f>
        <v/>
      </c>
      <c r="L260" s="33">
        <f>L240+L241+L242+L243+L244+L245</f>
        <v/>
      </c>
      <c r="M260" s="33">
        <f>M240+M241+M242+M243+M244+M245</f>
        <v/>
      </c>
      <c r="N260" s="33">
        <f>N240+N241+N242+N243+N244+N245</f>
        <v/>
      </c>
      <c r="O260" s="33">
        <f>O240+O241+O242+O243+O244+O245</f>
        <v/>
      </c>
      <c r="P260" s="33">
        <f>P240+P241+P242+P243+P244+P245</f>
        <v/>
      </c>
    </row>
    <row r="261">
      <c r="A261" s="8" t="inlineStr">
        <is>
          <t>جمع OPC</t>
        </is>
      </c>
      <c r="B261" s="16" t="inlineStr">
        <is>
          <t>EC.opc</t>
        </is>
      </c>
      <c r="C261" s="17" t="inlineStr">
        <is>
          <t>میلیون ریال</t>
        </is>
      </c>
      <c r="D261" s="33">
        <f>D246+D247+D248+D249+D250+D251</f>
        <v/>
      </c>
      <c r="E261" s="33">
        <f>E246+E247+E248+E249+E250+E251</f>
        <v/>
      </c>
      <c r="F261" s="33">
        <f>F246+F247+F248+F249+F250+F251</f>
        <v/>
      </c>
      <c r="G261" s="33">
        <f>G246+G247+G248+G249+G250+G251</f>
        <v/>
      </c>
      <c r="H261" s="33">
        <f>H246+H247+H248+H249+H250+H251</f>
        <v/>
      </c>
      <c r="I261" s="33">
        <f>I246+I247+I248+I249+I250+I251</f>
        <v/>
      </c>
      <c r="J261" s="33">
        <f>J246+J247+J248+J249+J250+J251</f>
        <v/>
      </c>
      <c r="K261" s="33">
        <f>K246+K247+K248+K249+K250+K251</f>
        <v/>
      </c>
      <c r="L261" s="33">
        <f>L246+L247+L248+L249+L250+L251</f>
        <v/>
      </c>
      <c r="M261" s="33">
        <f>M246+M247+M248+M249+M250+M251</f>
        <v/>
      </c>
      <c r="N261" s="33">
        <f>N246+N247+N248+N249+N250+N251</f>
        <v/>
      </c>
      <c r="O261" s="33">
        <f>O246+O247+O248+O249+O250+O251</f>
        <v/>
      </c>
      <c r="P261" s="33">
        <f>P246+P247+P248+P249+P250+P251</f>
        <v/>
      </c>
    </row>
    <row r="262">
      <c r="A262" s="8" t="inlineStr">
        <is>
          <t>جمع FPC</t>
        </is>
      </c>
      <c r="B262" s="16" t="inlineStr">
        <is>
          <t>EC.fpc</t>
        </is>
      </c>
      <c r="C262" s="17" t="inlineStr">
        <is>
          <t>میلیون ریال</t>
        </is>
      </c>
      <c r="D262" s="33">
        <f>D252+D253+D254+D255+D256+D257</f>
        <v/>
      </c>
      <c r="E262" s="33">
        <f>E252+E253+E254+E255+E256+E257</f>
        <v/>
      </c>
      <c r="F262" s="33">
        <f>F252+F253+F254+F255+F256+F257</f>
        <v/>
      </c>
      <c r="G262" s="33">
        <f>G252+G253+G254+G255+G256+G257</f>
        <v/>
      </c>
      <c r="H262" s="33">
        <f>H252+H253+H254+H255+H256+H257</f>
        <v/>
      </c>
      <c r="I262" s="33">
        <f>I252+I253+I254+I255+I256+I257</f>
        <v/>
      </c>
      <c r="J262" s="33">
        <f>J252+J253+J254+J255+J256+J257</f>
        <v/>
      </c>
      <c r="K262" s="33">
        <f>K252+K253+K254+K255+K256+K257</f>
        <v/>
      </c>
      <c r="L262" s="33">
        <f>L252+L253+L254+L255+L256+L257</f>
        <v/>
      </c>
      <c r="M262" s="33">
        <f>M252+M253+M254+M255+M256+M257</f>
        <v/>
      </c>
      <c r="N262" s="33">
        <f>N252+N253+N254+N255+N256+N257</f>
        <v/>
      </c>
      <c r="O262" s="33">
        <f>O252+O253+O254+O255+O256+O257</f>
        <v/>
      </c>
      <c r="P262" s="33">
        <f>P252+P253+P254+P255+P256+P257</f>
        <v/>
      </c>
    </row>
    <row r="263">
      <c r="A263" s="8" t="inlineStr">
        <is>
          <t>جمع هزینه‌های تولیدی و عملیاتی</t>
        </is>
      </c>
      <c r="B263" s="16" t="inlineStr">
        <is>
          <t>EC.total</t>
        </is>
      </c>
      <c r="C263" s="17" t="inlineStr">
        <is>
          <t>میلیون ریال</t>
        </is>
      </c>
      <c r="D263" s="33">
        <f>'ENG_COST'!$D$260+'ENG_COST'!$D$261+'ENG_COST'!$D$262</f>
        <v/>
      </c>
      <c r="E263" s="33">
        <f>'ENG_COST'!$E$260+'ENG_COST'!$E$261+'ENG_COST'!$E$262</f>
        <v/>
      </c>
      <c r="F263" s="33">
        <f>'ENG_COST'!$F$260+'ENG_COST'!$F$261+'ENG_COST'!$F$262</f>
        <v/>
      </c>
      <c r="G263" s="33">
        <f>'ENG_COST'!$G$260+'ENG_COST'!$G$261+'ENG_COST'!$G$262</f>
        <v/>
      </c>
      <c r="H263" s="33">
        <f>'ENG_COST'!$H$260+'ENG_COST'!$H$261+'ENG_COST'!$H$262</f>
        <v/>
      </c>
      <c r="I263" s="33">
        <f>'ENG_COST'!$I$260+'ENG_COST'!$I$261+'ENG_COST'!$I$262</f>
        <v/>
      </c>
      <c r="J263" s="33">
        <f>'ENG_COST'!$J$260+'ENG_COST'!$J$261+'ENG_COST'!$J$262</f>
        <v/>
      </c>
      <c r="K263" s="33">
        <f>'ENG_COST'!$K$260+'ENG_COST'!$K$261+'ENG_COST'!$K$262</f>
        <v/>
      </c>
      <c r="L263" s="33">
        <f>'ENG_COST'!$L$260+'ENG_COST'!$L$261+'ENG_COST'!$L$262</f>
        <v/>
      </c>
      <c r="M263" s="33">
        <f>'ENG_COST'!$M$260+'ENG_COST'!$M$261+'ENG_COST'!$M$262</f>
        <v/>
      </c>
      <c r="N263" s="33">
        <f>'ENG_COST'!$N$260+'ENG_COST'!$N$261+'ENG_COST'!$N$262</f>
        <v/>
      </c>
      <c r="O263" s="33">
        <f>'ENG_COST'!$O$260+'ENG_COST'!$O$261+'ENG_COST'!$O$262</f>
        <v/>
      </c>
      <c r="P263" s="33">
        <f>'ENG_COST'!$P$260+'ENG_COST'!$P$261+'ENG_COST'!$P$262</f>
        <v/>
      </c>
    </row>
    <row r="264">
      <c r="A264" s="15" t="inlineStr">
        <is>
          <t>هزینهٔ مواد اولیه (باتری ضایعاتی)</t>
        </is>
      </c>
      <c r="B264" s="16" t="inlineStr">
        <is>
          <t>EC.rm</t>
        </is>
      </c>
      <c r="C264" s="17" t="inlineStr">
        <is>
          <t>میلیون ریال</t>
        </is>
      </c>
      <c r="D264" s="33">
        <f>'ENG_COST'!$D$47</f>
        <v/>
      </c>
      <c r="E264" s="33">
        <f>'ENG_COST'!$E$47</f>
        <v/>
      </c>
      <c r="F264" s="33">
        <f>'ENG_COST'!$F$47</f>
        <v/>
      </c>
      <c r="G264" s="33">
        <f>'ENG_COST'!$G$47</f>
        <v/>
      </c>
      <c r="H264" s="33">
        <f>'ENG_COST'!$H$47</f>
        <v/>
      </c>
      <c r="I264" s="33">
        <f>'ENG_COST'!$I$47</f>
        <v/>
      </c>
      <c r="J264" s="33">
        <f>'ENG_COST'!$J$47</f>
        <v/>
      </c>
      <c r="K264" s="33">
        <f>'ENG_COST'!$K$47</f>
        <v/>
      </c>
      <c r="L264" s="33">
        <f>'ENG_COST'!$L$47</f>
        <v/>
      </c>
      <c r="M264" s="33">
        <f>'ENG_COST'!$M$47</f>
        <v/>
      </c>
      <c r="N264" s="33">
        <f>'ENG_COST'!$N$47</f>
        <v/>
      </c>
      <c r="O264" s="33">
        <f>'ENG_COST'!$O$47</f>
        <v/>
      </c>
      <c r="P264" s="33">
        <f>'ENG_COST'!$P$47</f>
        <v/>
      </c>
    </row>
    <row r="265">
      <c r="A265" s="15" t="inlineStr">
        <is>
          <t>جمع هزینه‌های متغیر (بدون مواد اولیه)</t>
        </is>
      </c>
      <c r="B265" s="16" t="inlineStr">
        <is>
          <t>EC.var_ex_rm</t>
        </is>
      </c>
      <c r="C265" s="17" t="inlineStr">
        <is>
          <t>میلیون ریال</t>
        </is>
      </c>
      <c r="D265" s="33">
        <f>D48+D49+D50+D51+D52+D53+D54+D55+D56+D59+D60+D61</f>
        <v/>
      </c>
      <c r="E265" s="33">
        <f>E48+E49+E50+E51+E52+E53+E54+E55+E56+E59+E60+E61</f>
        <v/>
      </c>
      <c r="F265" s="33">
        <f>F48+F49+F50+F51+F52+F53+F54+F55+F56+F59+F60+F61</f>
        <v/>
      </c>
      <c r="G265" s="33">
        <f>G48+G49+G50+G51+G52+G53+G54+G55+G56+G59+G60+G61</f>
        <v/>
      </c>
      <c r="H265" s="33">
        <f>H48+H49+H50+H51+H52+H53+H54+H55+H56+H59+H60+H61</f>
        <v/>
      </c>
      <c r="I265" s="33">
        <f>I48+I49+I50+I51+I52+I53+I54+I55+I56+I59+I60+I61</f>
        <v/>
      </c>
      <c r="J265" s="33">
        <f>J48+J49+J50+J51+J52+J53+J54+J55+J56+J59+J60+J61</f>
        <v/>
      </c>
      <c r="K265" s="33">
        <f>K48+K49+K50+K51+K52+K53+K54+K55+K56+K59+K60+K61</f>
        <v/>
      </c>
      <c r="L265" s="33">
        <f>L48+L49+L50+L51+L52+L53+L54+L55+L56+L59+L60+L61</f>
        <v/>
      </c>
      <c r="M265" s="33">
        <f>M48+M49+M50+M51+M52+M53+M54+M55+M56+M59+M60+M61</f>
        <v/>
      </c>
      <c r="N265" s="33">
        <f>N48+N49+N50+N51+N52+N53+N54+N55+N56+N59+N60+N61</f>
        <v/>
      </c>
      <c r="O265" s="33">
        <f>O48+O49+O50+O51+O52+O53+O54+O55+O56+O59+O60+O61</f>
        <v/>
      </c>
      <c r="P265" s="33">
        <f>P48+P49+P50+P51+P52+P53+P54+P55+P56+P59+P60+P61</f>
        <v/>
      </c>
    </row>
    <row r="266">
      <c r="A266" s="15" t="inlineStr">
        <is>
          <t>جمع هزینه‌های متغیر</t>
        </is>
      </c>
      <c r="B266" s="16" t="inlineStr">
        <is>
          <t>EC.var_total</t>
        </is>
      </c>
      <c r="C266" s="17" t="inlineStr">
        <is>
          <t>میلیون ریال</t>
        </is>
      </c>
      <c r="D266" s="33">
        <f>D47+D48+D49+D50+D51+D52+D53+D54+D55+D56+D59+D60+D61</f>
        <v/>
      </c>
      <c r="E266" s="33">
        <f>E47+E48+E49+E50+E51+E52+E53+E54+E55+E56+E59+E60+E61</f>
        <v/>
      </c>
      <c r="F266" s="33">
        <f>F47+F48+F49+F50+F51+F52+F53+F54+F55+F56+F59+F60+F61</f>
        <v/>
      </c>
      <c r="G266" s="33">
        <f>G47+G48+G49+G50+G51+G52+G53+G54+G55+G56+G59+G60+G61</f>
        <v/>
      </c>
      <c r="H266" s="33">
        <f>H47+H48+H49+H50+H51+H52+H53+H54+H55+H56+H59+H60+H61</f>
        <v/>
      </c>
      <c r="I266" s="33">
        <f>I47+I48+I49+I50+I51+I52+I53+I54+I55+I56+I59+I60+I61</f>
        <v/>
      </c>
      <c r="J266" s="33">
        <f>J47+J48+J49+J50+J51+J52+J53+J54+J55+J56+J59+J60+J61</f>
        <v/>
      </c>
      <c r="K266" s="33">
        <f>K47+K48+K49+K50+K51+K52+K53+K54+K55+K56+K59+K60+K61</f>
        <v/>
      </c>
      <c r="L266" s="33">
        <f>L47+L48+L49+L50+L51+L52+L53+L54+L55+L56+L59+L60+L61</f>
        <v/>
      </c>
      <c r="M266" s="33">
        <f>M47+M48+M49+M50+M51+M52+M53+M54+M55+M56+M59+M60+M61</f>
        <v/>
      </c>
      <c r="N266" s="33">
        <f>N47+N48+N49+N50+N51+N52+N53+N54+N55+N56+N59+N60+N61</f>
        <v/>
      </c>
      <c r="O266" s="33">
        <f>O47+O48+O49+O50+O51+O52+O53+O54+O55+O56+O59+O60+O61</f>
        <v/>
      </c>
      <c r="P266" s="33">
        <f>P47+P48+P49+P50+P51+P52+P53+P54+P55+P56+P59+P60+P61</f>
        <v/>
      </c>
    </row>
    <row r="267">
      <c r="A267" s="15" t="inlineStr">
        <is>
          <t>جمع هزینه‌های ثابت</t>
        </is>
      </c>
      <c r="B267" s="16" t="inlineStr">
        <is>
          <t>EC.fixed_total</t>
        </is>
      </c>
      <c r="C267" s="17" t="inlineStr">
        <is>
          <t>میلیون ریال</t>
        </is>
      </c>
      <c r="D267" s="33">
        <f>D57+D58+D62+D63+D64+D65+D66+D67+D68+D69+D70+D71+D72+D73</f>
        <v/>
      </c>
      <c r="E267" s="33">
        <f>E57+E58+E62+E63+E64+E65+E66+E67+E68+E69+E70+E71+E72+E73</f>
        <v/>
      </c>
      <c r="F267" s="33">
        <f>F57+F58+F62+F63+F64+F65+F66+F67+F68+F69+F70+F71+F72+F73</f>
        <v/>
      </c>
      <c r="G267" s="33">
        <f>G57+G58+G62+G63+G64+G65+G66+G67+G68+G69+G70+G71+G72+G73</f>
        <v/>
      </c>
      <c r="H267" s="33">
        <f>H57+H58+H62+H63+H64+H65+H66+H67+H68+H69+H70+H71+H72+H73</f>
        <v/>
      </c>
      <c r="I267" s="33">
        <f>I57+I58+I62+I63+I64+I65+I66+I67+I68+I69+I70+I71+I72+I73</f>
        <v/>
      </c>
      <c r="J267" s="33">
        <f>J57+J58+J62+J63+J64+J65+J66+J67+J68+J69+J70+J71+J72+J73</f>
        <v/>
      </c>
      <c r="K267" s="33">
        <f>K57+K58+K62+K63+K64+K65+K66+K67+K68+K69+K70+K71+K72+K73</f>
        <v/>
      </c>
      <c r="L267" s="33">
        <f>L57+L58+L62+L63+L64+L65+L66+L67+L68+L69+L70+L71+L72+L73</f>
        <v/>
      </c>
      <c r="M267" s="33">
        <f>M57+M58+M62+M63+M64+M65+M66+M67+M68+M69+M70+M71+M72+M73</f>
        <v/>
      </c>
      <c r="N267" s="33">
        <f>N57+N58+N62+N63+N64+N65+N66+N67+N68+N69+N70+N71+N72+N73</f>
        <v/>
      </c>
      <c r="O267" s="33">
        <f>O57+O58+O62+O63+O64+O65+O66+O67+O68+O69+O70+O71+O72+O73</f>
        <v/>
      </c>
      <c r="P267" s="33">
        <f>P57+P58+P62+P63+P64+P65+P66+P67+P68+P69+P70+P71+P72+P73</f>
        <v/>
      </c>
    </row>
    <row r="268">
      <c r="A268" s="15" t="inlineStr">
        <is>
          <t>هزینهٔ ثابت نقدی (بدون استهلاک)</t>
        </is>
      </c>
      <c r="B268" s="16" t="inlineStr">
        <is>
          <t>EC.fixed_cash</t>
        </is>
      </c>
      <c r="C268" s="17" t="inlineStr">
        <is>
          <t>میلیون ریال</t>
        </is>
      </c>
      <c r="D268" s="33">
        <f>'ENG_COST'!$D$267-'ENG_CAPEX'!$D$81</f>
        <v/>
      </c>
      <c r="E268" s="33">
        <f>'ENG_COST'!$E$267-'ENG_CAPEX'!$E$81</f>
        <v/>
      </c>
      <c r="F268" s="33">
        <f>'ENG_COST'!$F$267-'ENG_CAPEX'!$F$81</f>
        <v/>
      </c>
      <c r="G268" s="33">
        <f>'ENG_COST'!$G$267-'ENG_CAPEX'!$G$81</f>
        <v/>
      </c>
      <c r="H268" s="33">
        <f>'ENG_COST'!$H$267-'ENG_CAPEX'!$H$81</f>
        <v/>
      </c>
      <c r="I268" s="33">
        <f>'ENG_COST'!$I$267-'ENG_CAPEX'!$I$81</f>
        <v/>
      </c>
      <c r="J268" s="33">
        <f>'ENG_COST'!$J$267-'ENG_CAPEX'!$J$81</f>
        <v/>
      </c>
      <c r="K268" s="33">
        <f>'ENG_COST'!$K$267-'ENG_CAPEX'!$K$81</f>
        <v/>
      </c>
      <c r="L268" s="33">
        <f>'ENG_COST'!$L$267-'ENG_CAPEX'!$L$81</f>
        <v/>
      </c>
      <c r="M268" s="33">
        <f>'ENG_COST'!$M$267-'ENG_CAPEX'!$M$81</f>
        <v/>
      </c>
      <c r="N268" s="33">
        <f>'ENG_COST'!$N$267-'ENG_CAPEX'!$N$81</f>
        <v/>
      </c>
      <c r="O268" s="33">
        <f>'ENG_COST'!$O$267-'ENG_CAPEX'!$O$81</f>
        <v/>
      </c>
      <c r="P268" s="33">
        <f>'ENG_COST'!$P$267-'ENG_CAPEX'!$P$81</f>
        <v/>
      </c>
    </row>
    <row r="269">
      <c r="A269" s="15" t="inlineStr">
        <is>
          <t>بهای تمام‌شدهٔ هر تن محصول</t>
        </is>
      </c>
      <c r="B269" s="16" t="inlineStr">
        <is>
          <t>EC.cost_per_ton</t>
        </is>
      </c>
      <c r="C269" s="17" t="inlineStr">
        <is>
          <t>میلیون ریال/تن</t>
        </is>
      </c>
      <c r="D269" s="34">
        <f>IFERROR('ENG_COST'!$D$263/'ENG_OPS'!$D$82,0)</f>
        <v/>
      </c>
      <c r="E269" s="34">
        <f>IFERROR('ENG_COST'!$E$263/'ENG_OPS'!$E$82,0)</f>
        <v/>
      </c>
      <c r="F269" s="34">
        <f>IFERROR('ENG_COST'!$F$263/'ENG_OPS'!$F$82,0)</f>
        <v/>
      </c>
      <c r="G269" s="34">
        <f>IFERROR('ENG_COST'!$G$263/'ENG_OPS'!$G$82,0)</f>
        <v/>
      </c>
      <c r="H269" s="34">
        <f>IFERROR('ENG_COST'!$H$263/'ENG_OPS'!$H$82,0)</f>
        <v/>
      </c>
      <c r="I269" s="34">
        <f>IFERROR('ENG_COST'!$I$263/'ENG_OPS'!$I$82,0)</f>
        <v/>
      </c>
      <c r="J269" s="34">
        <f>IFERROR('ENG_COST'!$J$263/'ENG_OPS'!$J$82,0)</f>
        <v/>
      </c>
      <c r="K269" s="34">
        <f>IFERROR('ENG_COST'!$K$263/'ENG_OPS'!$K$82,0)</f>
        <v/>
      </c>
      <c r="L269" s="34">
        <f>IFERROR('ENG_COST'!$L$263/'ENG_OPS'!$L$82,0)</f>
        <v/>
      </c>
      <c r="M269" s="34">
        <f>IFERROR('ENG_COST'!$M$263/'ENG_OPS'!$M$82,0)</f>
        <v/>
      </c>
      <c r="N269" s="34">
        <f>IFERROR('ENG_COST'!$N$263/'ENG_OPS'!$N$82,0)</f>
        <v/>
      </c>
      <c r="O269" s="34">
        <f>IFERROR('ENG_COST'!$O$263/'ENG_OPS'!$O$82,0)</f>
        <v/>
      </c>
      <c r="P269" s="34">
        <f>IFERROR('ENG_COST'!$P$263/'ENG_OPS'!$P$82,0)</f>
        <v/>
      </c>
    </row>
    <row r="270">
      <c r="A270" s="15" t="inlineStr">
        <is>
          <t>هزینهٔ DPC هر تن</t>
        </is>
      </c>
      <c r="B270" s="16" t="inlineStr">
        <is>
          <t>EC.dpc_per_ton</t>
        </is>
      </c>
      <c r="C270" s="17" t="inlineStr">
        <is>
          <t>میلیون ریال/تن</t>
        </is>
      </c>
      <c r="D270" s="34">
        <f>IFERROR('ENG_COST'!$D$260/'ENG_OPS'!$D$82,0)</f>
        <v/>
      </c>
      <c r="E270" s="34">
        <f>IFERROR('ENG_COST'!$E$260/'ENG_OPS'!$E$82,0)</f>
        <v/>
      </c>
      <c r="F270" s="34">
        <f>IFERROR('ENG_COST'!$F$260/'ENG_OPS'!$F$82,0)</f>
        <v/>
      </c>
      <c r="G270" s="34">
        <f>IFERROR('ENG_COST'!$G$260/'ENG_OPS'!$G$82,0)</f>
        <v/>
      </c>
      <c r="H270" s="34">
        <f>IFERROR('ENG_COST'!$H$260/'ENG_OPS'!$H$82,0)</f>
        <v/>
      </c>
      <c r="I270" s="34">
        <f>IFERROR('ENG_COST'!$I$260/'ENG_OPS'!$I$82,0)</f>
        <v/>
      </c>
      <c r="J270" s="34">
        <f>IFERROR('ENG_COST'!$J$260/'ENG_OPS'!$J$82,0)</f>
        <v/>
      </c>
      <c r="K270" s="34">
        <f>IFERROR('ENG_COST'!$K$260/'ENG_OPS'!$K$82,0)</f>
        <v/>
      </c>
      <c r="L270" s="34">
        <f>IFERROR('ENG_COST'!$L$260/'ENG_OPS'!$L$82,0)</f>
        <v/>
      </c>
      <c r="M270" s="34">
        <f>IFERROR('ENG_COST'!$M$260/'ENG_OPS'!$M$82,0)</f>
        <v/>
      </c>
      <c r="N270" s="34">
        <f>IFERROR('ENG_COST'!$N$260/'ENG_OPS'!$N$82,0)</f>
        <v/>
      </c>
      <c r="O270" s="34">
        <f>IFERROR('ENG_COST'!$O$260/'ENG_OPS'!$O$82,0)</f>
        <v/>
      </c>
      <c r="P270" s="34">
        <f>IFERROR('ENG_COST'!$P$260/'ENG_OPS'!$P$82,0)</f>
        <v/>
      </c>
    </row>
    <row r="271">
      <c r="A271" s="15" t="inlineStr">
        <is>
          <t>هزینهٔ OPC هر تن</t>
        </is>
      </c>
      <c r="B271" s="16" t="inlineStr">
        <is>
          <t>EC.opc_per_ton</t>
        </is>
      </c>
      <c r="C271" s="17" t="inlineStr">
        <is>
          <t>میلیون ریال/تن</t>
        </is>
      </c>
      <c r="D271" s="34">
        <f>IFERROR('ENG_COST'!$D$261/'ENG_OPS'!$D$82,0)</f>
        <v/>
      </c>
      <c r="E271" s="34">
        <f>IFERROR('ENG_COST'!$E$261/'ENG_OPS'!$E$82,0)</f>
        <v/>
      </c>
      <c r="F271" s="34">
        <f>IFERROR('ENG_COST'!$F$261/'ENG_OPS'!$F$82,0)</f>
        <v/>
      </c>
      <c r="G271" s="34">
        <f>IFERROR('ENG_COST'!$G$261/'ENG_OPS'!$G$82,0)</f>
        <v/>
      </c>
      <c r="H271" s="34">
        <f>IFERROR('ENG_COST'!$H$261/'ENG_OPS'!$H$82,0)</f>
        <v/>
      </c>
      <c r="I271" s="34">
        <f>IFERROR('ENG_COST'!$I$261/'ENG_OPS'!$I$82,0)</f>
        <v/>
      </c>
      <c r="J271" s="34">
        <f>IFERROR('ENG_COST'!$J$261/'ENG_OPS'!$J$82,0)</f>
        <v/>
      </c>
      <c r="K271" s="34">
        <f>IFERROR('ENG_COST'!$K$261/'ENG_OPS'!$K$82,0)</f>
        <v/>
      </c>
      <c r="L271" s="34">
        <f>IFERROR('ENG_COST'!$L$261/'ENG_OPS'!$L$82,0)</f>
        <v/>
      </c>
      <c r="M271" s="34">
        <f>IFERROR('ENG_COST'!$M$261/'ENG_OPS'!$M$82,0)</f>
        <v/>
      </c>
      <c r="N271" s="34">
        <f>IFERROR('ENG_COST'!$N$261/'ENG_OPS'!$N$82,0)</f>
        <v/>
      </c>
      <c r="O271" s="34">
        <f>IFERROR('ENG_COST'!$O$261/'ENG_OPS'!$O$82,0)</f>
        <v/>
      </c>
      <c r="P271" s="34">
        <f>IFERROR('ENG_COST'!$P$261/'ENG_OPS'!$P$82,0)</f>
        <v/>
      </c>
    </row>
    <row r="272">
      <c r="A272" s="15" t="inlineStr">
        <is>
          <t>هزینهٔ FPC هر تن</t>
        </is>
      </c>
      <c r="B272" s="16" t="inlineStr">
        <is>
          <t>EC.fpc_per_ton</t>
        </is>
      </c>
      <c r="C272" s="17" t="inlineStr">
        <is>
          <t>میلیون ریال/تن</t>
        </is>
      </c>
      <c r="D272" s="34">
        <f>IFERROR('ENG_COST'!$D$262/'ENG_OPS'!$D$82,0)</f>
        <v/>
      </c>
      <c r="E272" s="34">
        <f>IFERROR('ENG_COST'!$E$262/'ENG_OPS'!$E$82,0)</f>
        <v/>
      </c>
      <c r="F272" s="34">
        <f>IFERROR('ENG_COST'!$F$262/'ENG_OPS'!$F$82,0)</f>
        <v/>
      </c>
      <c r="G272" s="34">
        <f>IFERROR('ENG_COST'!$G$262/'ENG_OPS'!$G$82,0)</f>
        <v/>
      </c>
      <c r="H272" s="34">
        <f>IFERROR('ENG_COST'!$H$262/'ENG_OPS'!$H$82,0)</f>
        <v/>
      </c>
      <c r="I272" s="34">
        <f>IFERROR('ENG_COST'!$I$262/'ENG_OPS'!$I$82,0)</f>
        <v/>
      </c>
      <c r="J272" s="34">
        <f>IFERROR('ENG_COST'!$J$262/'ENG_OPS'!$J$82,0)</f>
        <v/>
      </c>
      <c r="K272" s="34">
        <f>IFERROR('ENG_COST'!$K$262/'ENG_OPS'!$K$82,0)</f>
        <v/>
      </c>
      <c r="L272" s="34">
        <f>IFERROR('ENG_COST'!$L$262/'ENG_OPS'!$L$82,0)</f>
        <v/>
      </c>
      <c r="M272" s="34">
        <f>IFERROR('ENG_COST'!$M$262/'ENG_OPS'!$M$82,0)</f>
        <v/>
      </c>
      <c r="N272" s="34">
        <f>IFERROR('ENG_COST'!$N$262/'ENG_OPS'!$N$82,0)</f>
        <v/>
      </c>
      <c r="O272" s="34">
        <f>IFERROR('ENG_COST'!$O$262/'ENG_OPS'!$O$82,0)</f>
        <v/>
      </c>
      <c r="P272" s="34">
        <f>IFERROR('ENG_COST'!$P$262/'ENG_OPS'!$P$82,0)</f>
        <v/>
      </c>
    </row>
    <row r="273"/>
    <row r="274">
      <c r="A274" s="4" t="inlineStr">
        <is>
          <t>ز) سود عملیاتی و مالیات عملیاتی (مبنای NOPAT و مالیات قابل پرداخت)</t>
        </is>
      </c>
      <c r="B274" s="5" t="n"/>
      <c r="C274" s="5" t="n"/>
      <c r="D274" s="5" t="n"/>
      <c r="E274" s="5" t="n"/>
      <c r="F274" s="5" t="n"/>
      <c r="G274" s="5" t="n"/>
      <c r="H274" s="5" t="n"/>
      <c r="I274" s="5" t="n"/>
      <c r="J274" s="5" t="n"/>
      <c r="K274" s="5" t="n"/>
      <c r="L274" s="5" t="n"/>
      <c r="M274" s="5" t="n"/>
      <c r="N274" s="5" t="n"/>
      <c r="O274" s="5" t="n"/>
      <c r="P274" s="5" t="n"/>
      <c r="Q274" s="5" t="n"/>
    </row>
    <row r="275">
      <c r="A275" s="8" t="inlineStr">
        <is>
          <t>سود قبل بهره، مالیات و استهلاک (EBITDA)</t>
        </is>
      </c>
      <c r="B275" s="16" t="inlineStr">
        <is>
          <t>EC.ebitda</t>
        </is>
      </c>
      <c r="C275" s="17" t="inlineStr">
        <is>
          <t>میلیون ریال</t>
        </is>
      </c>
      <c r="D275" s="33">
        <f>'ENG_OPS'!$D$81-'ENG_COST'!$D$266-'ENG_COST'!$D$268</f>
        <v/>
      </c>
      <c r="E275" s="33">
        <f>'ENG_OPS'!$E$81-'ENG_COST'!$E$266-'ENG_COST'!$E$268</f>
        <v/>
      </c>
      <c r="F275" s="33">
        <f>'ENG_OPS'!$F$81-'ENG_COST'!$F$266-'ENG_COST'!$F$268</f>
        <v/>
      </c>
      <c r="G275" s="33">
        <f>'ENG_OPS'!$G$81-'ENG_COST'!$G$266-'ENG_COST'!$G$268</f>
        <v/>
      </c>
      <c r="H275" s="33">
        <f>'ENG_OPS'!$H$81-'ENG_COST'!$H$266-'ENG_COST'!$H$268</f>
        <v/>
      </c>
      <c r="I275" s="33">
        <f>'ENG_OPS'!$I$81-'ENG_COST'!$I$266-'ENG_COST'!$I$268</f>
        <v/>
      </c>
      <c r="J275" s="33">
        <f>'ENG_OPS'!$J$81-'ENG_COST'!$J$266-'ENG_COST'!$J$268</f>
        <v/>
      </c>
      <c r="K275" s="33">
        <f>'ENG_OPS'!$K$81-'ENG_COST'!$K$266-'ENG_COST'!$K$268</f>
        <v/>
      </c>
      <c r="L275" s="33">
        <f>'ENG_OPS'!$L$81-'ENG_COST'!$L$266-'ENG_COST'!$L$268</f>
        <v/>
      </c>
      <c r="M275" s="33">
        <f>'ENG_OPS'!$M$81-'ENG_COST'!$M$266-'ENG_COST'!$M$268</f>
        <v/>
      </c>
      <c r="N275" s="33">
        <f>'ENG_OPS'!$N$81-'ENG_COST'!$N$266-'ENG_COST'!$N$268</f>
        <v/>
      </c>
      <c r="O275" s="33">
        <f>'ENG_OPS'!$O$81-'ENG_COST'!$O$266-'ENG_COST'!$O$268</f>
        <v/>
      </c>
      <c r="P275" s="33">
        <f>'ENG_OPS'!$P$81-'ENG_COST'!$P$266-'ENG_COST'!$P$268</f>
        <v/>
      </c>
    </row>
    <row r="276">
      <c r="A276" s="8" t="inlineStr">
        <is>
          <t>سود عملیاتی (EBIT)</t>
        </is>
      </c>
      <c r="B276" s="16" t="inlineStr">
        <is>
          <t>EC.ebit</t>
        </is>
      </c>
      <c r="C276" s="17" t="inlineStr">
        <is>
          <t>میلیون ریال</t>
        </is>
      </c>
      <c r="D276" s="33">
        <f>'ENG_COST'!$D$275-'ENG_CAPEX'!$D$81</f>
        <v/>
      </c>
      <c r="E276" s="33">
        <f>'ENG_COST'!$E$275-'ENG_CAPEX'!$E$81</f>
        <v/>
      </c>
      <c r="F276" s="33">
        <f>'ENG_COST'!$F$275-'ENG_CAPEX'!$F$81</f>
        <v/>
      </c>
      <c r="G276" s="33">
        <f>'ENG_COST'!$G$275-'ENG_CAPEX'!$G$81</f>
        <v/>
      </c>
      <c r="H276" s="33">
        <f>'ENG_COST'!$H$275-'ENG_CAPEX'!$H$81</f>
        <v/>
      </c>
      <c r="I276" s="33">
        <f>'ENG_COST'!$I$275-'ENG_CAPEX'!$I$81</f>
        <v/>
      </c>
      <c r="J276" s="33">
        <f>'ENG_COST'!$J$275-'ENG_CAPEX'!$J$81</f>
        <v/>
      </c>
      <c r="K276" s="33">
        <f>'ENG_COST'!$K$275-'ENG_CAPEX'!$K$81</f>
        <v/>
      </c>
      <c r="L276" s="33">
        <f>'ENG_COST'!$L$275-'ENG_CAPEX'!$L$81</f>
        <v/>
      </c>
      <c r="M276" s="33">
        <f>'ENG_COST'!$M$275-'ENG_CAPEX'!$M$81</f>
        <v/>
      </c>
      <c r="N276" s="33">
        <f>'ENG_COST'!$N$275-'ENG_CAPEX'!$N$81</f>
        <v/>
      </c>
      <c r="O276" s="33">
        <f>'ENG_COST'!$O$275-'ENG_CAPEX'!$O$81</f>
        <v/>
      </c>
      <c r="P276" s="33">
        <f>'ENG_COST'!$P$275-'ENG_CAPEX'!$P$81</f>
        <v/>
      </c>
    </row>
    <row r="277">
      <c r="A277" s="15" t="inlineStr">
        <is>
          <t>مالیات عملیاتی (بر مبنای EBIT)</t>
        </is>
      </c>
      <c r="B277" s="16" t="inlineStr">
        <is>
          <t>EC.tax_op</t>
        </is>
      </c>
      <c r="C277" s="17" t="inlineStr">
        <is>
          <t>میلیون ریال</t>
        </is>
      </c>
      <c r="D277" s="33">
        <f>MAX(0,'ENG_COST'!$D$276)*'IN_MACRO'!$D$14</f>
        <v/>
      </c>
      <c r="E277" s="33">
        <f>MAX(0,'ENG_COST'!$E$276)*'IN_MACRO'!$D$14</f>
        <v/>
      </c>
      <c r="F277" s="33">
        <f>MAX(0,'ENG_COST'!$F$276)*'IN_MACRO'!$D$14</f>
        <v/>
      </c>
      <c r="G277" s="33">
        <f>MAX(0,'ENG_COST'!$G$276)*'IN_MACRO'!$D$14</f>
        <v/>
      </c>
      <c r="H277" s="33">
        <f>MAX(0,'ENG_COST'!$H$276)*'IN_MACRO'!$D$14</f>
        <v/>
      </c>
      <c r="I277" s="33">
        <f>MAX(0,'ENG_COST'!$I$276)*'IN_MACRO'!$D$14</f>
        <v/>
      </c>
      <c r="J277" s="33">
        <f>MAX(0,'ENG_COST'!$J$276)*'IN_MACRO'!$D$14</f>
        <v/>
      </c>
      <c r="K277" s="33">
        <f>MAX(0,'ENG_COST'!$K$276)*'IN_MACRO'!$D$14</f>
        <v/>
      </c>
      <c r="L277" s="33">
        <f>MAX(0,'ENG_COST'!$L$276)*'IN_MACRO'!$D$14</f>
        <v/>
      </c>
      <c r="M277" s="33">
        <f>MAX(0,'ENG_COST'!$M$276)*'IN_MACRO'!$D$14</f>
        <v/>
      </c>
      <c r="N277" s="33">
        <f>MAX(0,'ENG_COST'!$N$276)*'IN_MACRO'!$D$14</f>
        <v/>
      </c>
      <c r="O277" s="33">
        <f>MAX(0,'ENG_COST'!$O$276)*'IN_MACRO'!$D$14</f>
        <v/>
      </c>
      <c r="P277" s="33">
        <f>MAX(0,'ENG_COST'!$P$276)*'IN_MACRO'!$D$14</f>
        <v/>
      </c>
    </row>
    <row r="278">
      <c r="A278" s="8" t="inlineStr">
        <is>
          <t>NOPAT (سود عملیاتی پس از مالیات)</t>
        </is>
      </c>
      <c r="B278" s="16" t="inlineStr">
        <is>
          <t>EC.nopat</t>
        </is>
      </c>
      <c r="C278" s="17" t="inlineStr">
        <is>
          <t>میلیون ریال</t>
        </is>
      </c>
      <c r="D278" s="33">
        <f>'ENG_COST'!$D$276-'ENG_COST'!$D$277</f>
        <v/>
      </c>
      <c r="E278" s="33">
        <f>'ENG_COST'!$E$276-'ENG_COST'!$E$277</f>
        <v/>
      </c>
      <c r="F278" s="33">
        <f>'ENG_COST'!$F$276-'ENG_COST'!$F$277</f>
        <v/>
      </c>
      <c r="G278" s="33">
        <f>'ENG_COST'!$G$276-'ENG_COST'!$G$277</f>
        <v/>
      </c>
      <c r="H278" s="33">
        <f>'ENG_COST'!$H$276-'ENG_COST'!$H$277</f>
        <v/>
      </c>
      <c r="I278" s="33">
        <f>'ENG_COST'!$I$276-'ENG_COST'!$I$277</f>
        <v/>
      </c>
      <c r="J278" s="33">
        <f>'ENG_COST'!$J$276-'ENG_COST'!$J$277</f>
        <v/>
      </c>
      <c r="K278" s="33">
        <f>'ENG_COST'!$K$276-'ENG_COST'!$K$277</f>
        <v/>
      </c>
      <c r="L278" s="33">
        <f>'ENG_COST'!$L$276-'ENG_COST'!$L$277</f>
        <v/>
      </c>
      <c r="M278" s="33">
        <f>'ENG_COST'!$M$276-'ENG_COST'!$M$277</f>
        <v/>
      </c>
      <c r="N278" s="33">
        <f>'ENG_COST'!$N$276-'ENG_COST'!$N$277</f>
        <v/>
      </c>
      <c r="O278" s="33">
        <f>'ENG_COST'!$O$276-'ENG_COST'!$O$277</f>
        <v/>
      </c>
      <c r="P278" s="33">
        <f>'ENG_COST'!$P$276-'ENG_COST'!$P$277</f>
        <v/>
      </c>
    </row>
  </sheetData>
  <pageMargins left="0.75" right="0.75" top="1" bottom="1" header="0.5" footer="0.5"/>
</worksheet>
</file>

<file path=xl/worksheets/sheet14.xml><?xml version="1.0" encoding="utf-8"?>
<worksheet xmlns="http://schemas.openxmlformats.org/spreadsheetml/2006/main">
  <sheetPr>
    <tabColor rgb="00A6A6A6"/>
    <outlinePr summaryBelow="1" summaryRight="1"/>
    <pageSetUpPr/>
  </sheetPr>
  <dimension ref="A1:Q29"/>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سرمایه در گردش و چرخه تبدیل نقد</t>
        </is>
      </c>
      <c r="B1" s="2" t="inlineStr">
        <is>
          <t>موتور محاسبات</t>
        </is>
      </c>
    </row>
    <row r="2">
      <c r="A2" s="3" t="inlineStr">
        <is>
          <t>مانده موجودی‌ها، دریافتنی‌ها و پرداختنی‌ها و استنتاج چرخه تبدیل نقد (CCC).</t>
        </is>
      </c>
    </row>
    <row r="3"/>
    <row r="4"/>
    <row r="5"/>
    <row r="6"/>
    <row r="7">
      <c r="A7" s="11" t="inlineStr">
        <is>
          <t>دوره (t)</t>
        </is>
      </c>
      <c r="D7" s="12" t="n">
        <v>0</v>
      </c>
      <c r="E7" s="12" t="n">
        <v>1</v>
      </c>
      <c r="F7" s="12" t="n">
        <v>2</v>
      </c>
      <c r="G7" s="12" t="n">
        <v>3</v>
      </c>
      <c r="H7" s="12" t="n">
        <v>4</v>
      </c>
      <c r="I7" s="12" t="n">
        <v>5</v>
      </c>
      <c r="J7" s="12" t="n">
        <v>6</v>
      </c>
      <c r="K7" s="12" t="n">
        <v>7</v>
      </c>
      <c r="L7" s="12" t="n">
        <v>8</v>
      </c>
      <c r="M7" s="12" t="n">
        <v>9</v>
      </c>
      <c r="N7" s="12" t="n">
        <v>10</v>
      </c>
      <c r="O7" s="12" t="n">
        <v>11</v>
      </c>
      <c r="P7" s="12" t="n">
        <v>12</v>
      </c>
    </row>
    <row r="8">
      <c r="A8" s="13" t="inlineStr">
        <is>
          <t>سال تقویمی</t>
        </is>
      </c>
      <c r="D8" s="14" t="n">
        <v>2026</v>
      </c>
      <c r="E8" s="14" t="n">
        <v>2027</v>
      </c>
      <c r="F8" s="14" t="n">
        <v>2028</v>
      </c>
      <c r="G8" s="14" t="n">
        <v>2029</v>
      </c>
      <c r="H8" s="14" t="n">
        <v>2030</v>
      </c>
      <c r="I8" s="14" t="n">
        <v>2031</v>
      </c>
      <c r="J8" s="14" t="n">
        <v>2032</v>
      </c>
      <c r="K8" s="14" t="n">
        <v>2033</v>
      </c>
      <c r="L8" s="14" t="n">
        <v>2034</v>
      </c>
      <c r="M8" s="14" t="n">
        <v>2035</v>
      </c>
      <c r="N8" s="14" t="n">
        <v>2036</v>
      </c>
      <c r="O8" s="14" t="n">
        <v>2037</v>
      </c>
      <c r="P8" s="14" t="n">
        <v>2038</v>
      </c>
    </row>
    <row r="9">
      <c r="A9" s="4" t="inlineStr">
        <is>
          <t>الف) اجزای سرمایه در گردش</t>
        </is>
      </c>
      <c r="B9" s="5" t="n"/>
      <c r="C9" s="5" t="n"/>
      <c r="D9" s="5" t="n"/>
      <c r="E9" s="5" t="n"/>
      <c r="F9" s="5" t="n"/>
      <c r="G9" s="5" t="n"/>
      <c r="H9" s="5" t="n"/>
      <c r="I9" s="5" t="n"/>
      <c r="J9" s="5" t="n"/>
      <c r="K9" s="5" t="n"/>
      <c r="L9" s="5" t="n"/>
      <c r="M9" s="5" t="n"/>
      <c r="N9" s="5" t="n"/>
      <c r="O9" s="5" t="n"/>
      <c r="P9" s="5" t="n"/>
      <c r="Q9" s="5" t="n"/>
    </row>
    <row r="10">
      <c r="A10" s="15" t="inlineStr">
        <is>
          <t>موجودی مواد اولیه</t>
        </is>
      </c>
      <c r="B10" s="16" t="inlineStr">
        <is>
          <t>WC.inv_rm</t>
        </is>
      </c>
      <c r="C10" s="17" t="inlineStr">
        <is>
          <t>میلیون ریال</t>
        </is>
      </c>
      <c r="D10" s="33">
        <f>'ENG_COST'!$D$264/365*'IN_WC'!$D$8</f>
        <v/>
      </c>
      <c r="E10" s="33">
        <f>'ENG_COST'!$E$264/365*'IN_WC'!$D$8</f>
        <v/>
      </c>
      <c r="F10" s="33">
        <f>'ENG_COST'!$F$264/365*'IN_WC'!$D$8</f>
        <v/>
      </c>
      <c r="G10" s="33">
        <f>'ENG_COST'!$G$264/365*'IN_WC'!$D$8</f>
        <v/>
      </c>
      <c r="H10" s="33">
        <f>'ENG_COST'!$H$264/365*'IN_WC'!$D$8</f>
        <v/>
      </c>
      <c r="I10" s="33">
        <f>'ENG_COST'!$I$264/365*'IN_WC'!$D$8</f>
        <v/>
      </c>
      <c r="J10" s="33">
        <f>'ENG_COST'!$J$264/365*'IN_WC'!$D$8</f>
        <v/>
      </c>
      <c r="K10" s="33">
        <f>'ENG_COST'!$K$264/365*'IN_WC'!$D$8</f>
        <v/>
      </c>
      <c r="L10" s="33">
        <f>'ENG_COST'!$L$264/365*'IN_WC'!$D$8</f>
        <v/>
      </c>
      <c r="M10" s="33">
        <f>'ENG_COST'!$M$264/365*'IN_WC'!$D$8</f>
        <v/>
      </c>
      <c r="N10" s="33">
        <f>'ENG_COST'!$N$264/365*'IN_WC'!$D$8</f>
        <v/>
      </c>
      <c r="O10" s="33">
        <f>'ENG_COST'!$O$264/365*'IN_WC'!$D$8</f>
        <v/>
      </c>
      <c r="P10" s="33">
        <f>'ENG_COST'!$P$264/365*'IN_WC'!$D$8</f>
        <v/>
      </c>
    </row>
    <row r="11">
      <c r="A11" s="15" t="inlineStr">
        <is>
          <t>موجودی کالای در جریان ساخت</t>
        </is>
      </c>
      <c r="B11" s="16" t="inlineStr">
        <is>
          <t>WC.inv_wip</t>
        </is>
      </c>
      <c r="C11" s="17" t="inlineStr">
        <is>
          <t>میلیون ریال</t>
        </is>
      </c>
      <c r="D11" s="33">
        <f>('ENG_COST'!$D$260+'ENG_COST'!$D$261)/365*'IN_WC'!$D$9</f>
        <v/>
      </c>
      <c r="E11" s="33">
        <f>('ENG_COST'!$E$260+'ENG_COST'!$E$261)/365*'IN_WC'!$D$9</f>
        <v/>
      </c>
      <c r="F11" s="33">
        <f>('ENG_COST'!$F$260+'ENG_COST'!$F$261)/365*'IN_WC'!$D$9</f>
        <v/>
      </c>
      <c r="G11" s="33">
        <f>('ENG_COST'!$G$260+'ENG_COST'!$G$261)/365*'IN_WC'!$D$9</f>
        <v/>
      </c>
      <c r="H11" s="33">
        <f>('ENG_COST'!$H$260+'ENG_COST'!$H$261)/365*'IN_WC'!$D$9</f>
        <v/>
      </c>
      <c r="I11" s="33">
        <f>('ENG_COST'!$I$260+'ENG_COST'!$I$261)/365*'IN_WC'!$D$9</f>
        <v/>
      </c>
      <c r="J11" s="33">
        <f>('ENG_COST'!$J$260+'ENG_COST'!$J$261)/365*'IN_WC'!$D$9</f>
        <v/>
      </c>
      <c r="K11" s="33">
        <f>('ENG_COST'!$K$260+'ENG_COST'!$K$261)/365*'IN_WC'!$D$9</f>
        <v/>
      </c>
      <c r="L11" s="33">
        <f>('ENG_COST'!$L$260+'ENG_COST'!$L$261)/365*'IN_WC'!$D$9</f>
        <v/>
      </c>
      <c r="M11" s="33">
        <f>('ENG_COST'!$M$260+'ENG_COST'!$M$261)/365*'IN_WC'!$D$9</f>
        <v/>
      </c>
      <c r="N11" s="33">
        <f>('ENG_COST'!$N$260+'ENG_COST'!$N$261)/365*'IN_WC'!$D$9</f>
        <v/>
      </c>
      <c r="O11" s="33">
        <f>('ENG_COST'!$O$260+'ENG_COST'!$O$261)/365*'IN_WC'!$D$9</f>
        <v/>
      </c>
      <c r="P11" s="33">
        <f>('ENG_COST'!$P$260+'ENG_COST'!$P$261)/365*'IN_WC'!$D$9</f>
        <v/>
      </c>
    </row>
    <row r="12">
      <c r="A12" s="15" t="inlineStr">
        <is>
          <t>موجودی محصول نهایی</t>
        </is>
      </c>
      <c r="B12" s="16" t="inlineStr">
        <is>
          <t>WC.inv_fg</t>
        </is>
      </c>
      <c r="C12" s="17" t="inlineStr">
        <is>
          <t>میلیون ریال</t>
        </is>
      </c>
      <c r="D12" s="33">
        <f>('ENG_COST'!$D$260+'ENG_COST'!$D$261)/365*'IN_WC'!$D$10</f>
        <v/>
      </c>
      <c r="E12" s="33">
        <f>('ENG_COST'!$E$260+'ENG_COST'!$E$261)/365*'IN_WC'!$D$10</f>
        <v/>
      </c>
      <c r="F12" s="33">
        <f>('ENG_COST'!$F$260+'ENG_COST'!$F$261)/365*'IN_WC'!$D$10</f>
        <v/>
      </c>
      <c r="G12" s="33">
        <f>('ENG_COST'!$G$260+'ENG_COST'!$G$261)/365*'IN_WC'!$D$10</f>
        <v/>
      </c>
      <c r="H12" s="33">
        <f>('ENG_COST'!$H$260+'ENG_COST'!$H$261)/365*'IN_WC'!$D$10</f>
        <v/>
      </c>
      <c r="I12" s="33">
        <f>('ENG_COST'!$I$260+'ENG_COST'!$I$261)/365*'IN_WC'!$D$10</f>
        <v/>
      </c>
      <c r="J12" s="33">
        <f>('ENG_COST'!$J$260+'ENG_COST'!$J$261)/365*'IN_WC'!$D$10</f>
        <v/>
      </c>
      <c r="K12" s="33">
        <f>('ENG_COST'!$K$260+'ENG_COST'!$K$261)/365*'IN_WC'!$D$10</f>
        <v/>
      </c>
      <c r="L12" s="33">
        <f>('ENG_COST'!$L$260+'ENG_COST'!$L$261)/365*'IN_WC'!$D$10</f>
        <v/>
      </c>
      <c r="M12" s="33">
        <f>('ENG_COST'!$M$260+'ENG_COST'!$M$261)/365*'IN_WC'!$D$10</f>
        <v/>
      </c>
      <c r="N12" s="33">
        <f>('ENG_COST'!$N$260+'ENG_COST'!$N$261)/365*'IN_WC'!$D$10</f>
        <v/>
      </c>
      <c r="O12" s="33">
        <f>('ENG_COST'!$O$260+'ENG_COST'!$O$261)/365*'IN_WC'!$D$10</f>
        <v/>
      </c>
      <c r="P12" s="33">
        <f>('ENG_COST'!$P$260+'ENG_COST'!$P$261)/365*'IN_WC'!$D$10</f>
        <v/>
      </c>
    </row>
    <row r="13">
      <c r="A13" s="15" t="inlineStr">
        <is>
          <t>موجودی مواد مصرفی و قطعات یدکی</t>
        </is>
      </c>
      <c r="B13" s="16" t="inlineStr">
        <is>
          <t>WC.inv_cons</t>
        </is>
      </c>
      <c r="C13" s="17" t="inlineStr">
        <is>
          <t>میلیون ریال</t>
        </is>
      </c>
      <c r="D13" s="33">
        <f>('ENG_COST'!$D$48+'ENG_COST'!$D$56)/365*'IN_WC'!$D$11</f>
        <v/>
      </c>
      <c r="E13" s="33">
        <f>('ENG_COST'!$E$48+'ENG_COST'!$E$56)/365*'IN_WC'!$D$11</f>
        <v/>
      </c>
      <c r="F13" s="33">
        <f>('ENG_COST'!$F$48+'ENG_COST'!$F$56)/365*'IN_WC'!$D$11</f>
        <v/>
      </c>
      <c r="G13" s="33">
        <f>('ENG_COST'!$G$48+'ENG_COST'!$G$56)/365*'IN_WC'!$D$11</f>
        <v/>
      </c>
      <c r="H13" s="33">
        <f>('ENG_COST'!$H$48+'ENG_COST'!$H$56)/365*'IN_WC'!$D$11</f>
        <v/>
      </c>
      <c r="I13" s="33">
        <f>('ENG_COST'!$I$48+'ENG_COST'!$I$56)/365*'IN_WC'!$D$11</f>
        <v/>
      </c>
      <c r="J13" s="33">
        <f>('ENG_COST'!$J$48+'ENG_COST'!$J$56)/365*'IN_WC'!$D$11</f>
        <v/>
      </c>
      <c r="K13" s="33">
        <f>('ENG_COST'!$K$48+'ENG_COST'!$K$56)/365*'IN_WC'!$D$11</f>
        <v/>
      </c>
      <c r="L13" s="33">
        <f>('ENG_COST'!$L$48+'ENG_COST'!$L$56)/365*'IN_WC'!$D$11</f>
        <v/>
      </c>
      <c r="M13" s="33">
        <f>('ENG_COST'!$M$48+'ENG_COST'!$M$56)/365*'IN_WC'!$D$11</f>
        <v/>
      </c>
      <c r="N13" s="33">
        <f>('ENG_COST'!$N$48+'ENG_COST'!$N$56)/365*'IN_WC'!$D$11</f>
        <v/>
      </c>
      <c r="O13" s="33">
        <f>('ENG_COST'!$O$48+'ENG_COST'!$O$56)/365*'IN_WC'!$D$11</f>
        <v/>
      </c>
      <c r="P13" s="33">
        <f>('ENG_COST'!$P$48+'ENG_COST'!$P$56)/365*'IN_WC'!$D$11</f>
        <v/>
      </c>
    </row>
    <row r="14">
      <c r="A14" s="8" t="inlineStr">
        <is>
          <t>جمع موجودی‌ها</t>
        </is>
      </c>
      <c r="B14" s="16" t="inlineStr">
        <is>
          <t>WC.inv</t>
        </is>
      </c>
      <c r="C14" s="17" t="inlineStr">
        <is>
          <t>میلیون ریال</t>
        </is>
      </c>
      <c r="D14" s="33">
        <f>'ENG_WC'!$D$10+'ENG_WC'!$D$11+'ENG_WC'!$D$12+'ENG_WC'!$D$13</f>
        <v/>
      </c>
      <c r="E14" s="33">
        <f>'ENG_WC'!$E$10+'ENG_WC'!$E$11+'ENG_WC'!$E$12+'ENG_WC'!$E$13</f>
        <v/>
      </c>
      <c r="F14" s="33">
        <f>'ENG_WC'!$F$10+'ENG_WC'!$F$11+'ENG_WC'!$F$12+'ENG_WC'!$F$13</f>
        <v/>
      </c>
      <c r="G14" s="33">
        <f>'ENG_WC'!$G$10+'ENG_WC'!$G$11+'ENG_WC'!$G$12+'ENG_WC'!$G$13</f>
        <v/>
      </c>
      <c r="H14" s="33">
        <f>'ENG_WC'!$H$10+'ENG_WC'!$H$11+'ENG_WC'!$H$12+'ENG_WC'!$H$13</f>
        <v/>
      </c>
      <c r="I14" s="33">
        <f>'ENG_WC'!$I$10+'ENG_WC'!$I$11+'ENG_WC'!$I$12+'ENG_WC'!$I$13</f>
        <v/>
      </c>
      <c r="J14" s="33">
        <f>'ENG_WC'!$J$10+'ENG_WC'!$J$11+'ENG_WC'!$J$12+'ENG_WC'!$J$13</f>
        <v/>
      </c>
      <c r="K14" s="33">
        <f>'ENG_WC'!$K$10+'ENG_WC'!$K$11+'ENG_WC'!$K$12+'ENG_WC'!$K$13</f>
        <v/>
      </c>
      <c r="L14" s="33">
        <f>'ENG_WC'!$L$10+'ENG_WC'!$L$11+'ENG_WC'!$L$12+'ENG_WC'!$L$13</f>
        <v/>
      </c>
      <c r="M14" s="33">
        <f>'ENG_WC'!$M$10+'ENG_WC'!$M$11+'ENG_WC'!$M$12+'ENG_WC'!$M$13</f>
        <v/>
      </c>
      <c r="N14" s="33">
        <f>'ENG_WC'!$N$10+'ENG_WC'!$N$11+'ENG_WC'!$N$12+'ENG_WC'!$N$13</f>
        <v/>
      </c>
      <c r="O14" s="33">
        <f>'ENG_WC'!$O$10+'ENG_WC'!$O$11+'ENG_WC'!$O$12+'ENG_WC'!$O$13</f>
        <v/>
      </c>
      <c r="P14" s="33">
        <f>'ENG_WC'!$P$10+'ENG_WC'!$P$11+'ENG_WC'!$P$12+'ENG_WC'!$P$13</f>
        <v/>
      </c>
    </row>
    <row r="15">
      <c r="A15" s="15" t="inlineStr">
        <is>
          <t>حساب‌های دریافتنی</t>
        </is>
      </c>
      <c r="B15" s="16" t="inlineStr">
        <is>
          <t>WC.ar</t>
        </is>
      </c>
      <c r="C15" s="17" t="inlineStr">
        <is>
          <t>میلیون ریال</t>
        </is>
      </c>
      <c r="D15" s="33">
        <f>'ENG_OPS'!$D$81/365*'IN_WC'!$D$12</f>
        <v/>
      </c>
      <c r="E15" s="33">
        <f>'ENG_OPS'!$E$81/365*'IN_WC'!$D$12</f>
        <v/>
      </c>
      <c r="F15" s="33">
        <f>'ENG_OPS'!$F$81/365*'IN_WC'!$D$12</f>
        <v/>
      </c>
      <c r="G15" s="33">
        <f>'ENG_OPS'!$G$81/365*'IN_WC'!$D$12</f>
        <v/>
      </c>
      <c r="H15" s="33">
        <f>'ENG_OPS'!$H$81/365*'IN_WC'!$D$12</f>
        <v/>
      </c>
      <c r="I15" s="33">
        <f>'ENG_OPS'!$I$81/365*'IN_WC'!$D$12</f>
        <v/>
      </c>
      <c r="J15" s="33">
        <f>'ENG_OPS'!$J$81/365*'IN_WC'!$D$12</f>
        <v/>
      </c>
      <c r="K15" s="33">
        <f>'ENG_OPS'!$K$81/365*'IN_WC'!$D$12</f>
        <v/>
      </c>
      <c r="L15" s="33">
        <f>'ENG_OPS'!$L$81/365*'IN_WC'!$D$12</f>
        <v/>
      </c>
      <c r="M15" s="33">
        <f>'ENG_OPS'!$M$81/365*'IN_WC'!$D$12</f>
        <v/>
      </c>
      <c r="N15" s="33">
        <f>'ENG_OPS'!$N$81/365*'IN_WC'!$D$12</f>
        <v/>
      </c>
      <c r="O15" s="33">
        <f>'ENG_OPS'!$O$81/365*'IN_WC'!$D$12</f>
        <v/>
      </c>
      <c r="P15" s="33">
        <f>'ENG_OPS'!$P$81/365*'IN_WC'!$D$12</f>
        <v/>
      </c>
    </row>
    <row r="16">
      <c r="A16" s="15" t="inlineStr">
        <is>
          <t>حساب‌های پرداختنی</t>
        </is>
      </c>
      <c r="B16" s="16" t="inlineStr">
        <is>
          <t>WC.ap</t>
        </is>
      </c>
      <c r="C16" s="17" t="inlineStr">
        <is>
          <t>میلیون ریال</t>
        </is>
      </c>
      <c r="D16" s="33">
        <f>('ENG_COST'!$D$260+'ENG_COST'!$D$261)/365*'IN_WC'!$D$13</f>
        <v/>
      </c>
      <c r="E16" s="33">
        <f>('ENG_COST'!$E$260+'ENG_COST'!$E$261)/365*'IN_WC'!$D$13</f>
        <v/>
      </c>
      <c r="F16" s="33">
        <f>('ENG_COST'!$F$260+'ENG_COST'!$F$261)/365*'IN_WC'!$D$13</f>
        <v/>
      </c>
      <c r="G16" s="33">
        <f>('ENG_COST'!$G$260+'ENG_COST'!$G$261)/365*'IN_WC'!$D$13</f>
        <v/>
      </c>
      <c r="H16" s="33">
        <f>('ENG_COST'!$H$260+'ENG_COST'!$H$261)/365*'IN_WC'!$D$13</f>
        <v/>
      </c>
      <c r="I16" s="33">
        <f>('ENG_COST'!$I$260+'ENG_COST'!$I$261)/365*'IN_WC'!$D$13</f>
        <v/>
      </c>
      <c r="J16" s="33">
        <f>('ENG_COST'!$J$260+'ENG_COST'!$J$261)/365*'IN_WC'!$D$13</f>
        <v/>
      </c>
      <c r="K16" s="33">
        <f>('ENG_COST'!$K$260+'ENG_COST'!$K$261)/365*'IN_WC'!$D$13</f>
        <v/>
      </c>
      <c r="L16" s="33">
        <f>('ENG_COST'!$L$260+'ENG_COST'!$L$261)/365*'IN_WC'!$D$13</f>
        <v/>
      </c>
      <c r="M16" s="33">
        <f>('ENG_COST'!$M$260+'ENG_COST'!$M$261)/365*'IN_WC'!$D$13</f>
        <v/>
      </c>
      <c r="N16" s="33">
        <f>('ENG_COST'!$N$260+'ENG_COST'!$N$261)/365*'IN_WC'!$D$13</f>
        <v/>
      </c>
      <c r="O16" s="33">
        <f>('ENG_COST'!$O$260+'ENG_COST'!$O$261)/365*'IN_WC'!$D$13</f>
        <v/>
      </c>
      <c r="P16" s="33">
        <f>('ENG_COST'!$P$260+'ENG_COST'!$P$261)/365*'IN_WC'!$D$13</f>
        <v/>
      </c>
    </row>
    <row r="17">
      <c r="A17" s="15" t="inlineStr">
        <is>
          <t>مالیات قابل پرداخت</t>
        </is>
      </c>
      <c r="B17" s="16" t="inlineStr">
        <is>
          <t>WC.tax_pay</t>
        </is>
      </c>
      <c r="C17" s="17" t="inlineStr">
        <is>
          <t>میلیون ریال</t>
        </is>
      </c>
      <c r="D17" s="33">
        <f>'ENG_COST'!$D$277/365*'IN_WC'!$D$14</f>
        <v/>
      </c>
      <c r="E17" s="33">
        <f>'ENG_COST'!$E$277/365*'IN_WC'!$D$14</f>
        <v/>
      </c>
      <c r="F17" s="33">
        <f>'ENG_COST'!$F$277/365*'IN_WC'!$D$14</f>
        <v/>
      </c>
      <c r="G17" s="33">
        <f>'ENG_COST'!$G$277/365*'IN_WC'!$D$14</f>
        <v/>
      </c>
      <c r="H17" s="33">
        <f>'ENG_COST'!$H$277/365*'IN_WC'!$D$14</f>
        <v/>
      </c>
      <c r="I17" s="33">
        <f>'ENG_COST'!$I$277/365*'IN_WC'!$D$14</f>
        <v/>
      </c>
      <c r="J17" s="33">
        <f>'ENG_COST'!$J$277/365*'IN_WC'!$D$14</f>
        <v/>
      </c>
      <c r="K17" s="33">
        <f>'ENG_COST'!$K$277/365*'IN_WC'!$D$14</f>
        <v/>
      </c>
      <c r="L17" s="33">
        <f>'ENG_COST'!$L$277/365*'IN_WC'!$D$14</f>
        <v/>
      </c>
      <c r="M17" s="33">
        <f>'ENG_COST'!$M$277/365*'IN_WC'!$D$14</f>
        <v/>
      </c>
      <c r="N17" s="33">
        <f>'ENG_COST'!$N$277/365*'IN_WC'!$D$14</f>
        <v/>
      </c>
      <c r="O17" s="33">
        <f>'ENG_COST'!$O$277/365*'IN_WC'!$D$14</f>
        <v/>
      </c>
      <c r="P17" s="33">
        <f>'ENG_COST'!$P$277/365*'IN_WC'!$D$14</f>
        <v/>
      </c>
    </row>
    <row r="18">
      <c r="A18" s="8" t="inlineStr">
        <is>
          <t>خالص سرمایه در گردش (NWC)</t>
        </is>
      </c>
      <c r="B18" s="16" t="inlineStr">
        <is>
          <t>WC.nwc</t>
        </is>
      </c>
      <c r="C18" s="17" t="inlineStr">
        <is>
          <t>میلیون ریال</t>
        </is>
      </c>
      <c r="D18" s="33">
        <f>'ENG_WC'!$D$14+'ENG_WC'!$D$15-'ENG_WC'!$D$16-'ENG_WC'!$D$17</f>
        <v/>
      </c>
      <c r="E18" s="33">
        <f>'ENG_WC'!$E$14+'ENG_WC'!$E$15-'ENG_WC'!$E$16-'ENG_WC'!$E$17</f>
        <v/>
      </c>
      <c r="F18" s="33">
        <f>'ENG_WC'!$F$14+'ENG_WC'!$F$15-'ENG_WC'!$F$16-'ENG_WC'!$F$17</f>
        <v/>
      </c>
      <c r="G18" s="33">
        <f>'ENG_WC'!$G$14+'ENG_WC'!$G$15-'ENG_WC'!$G$16-'ENG_WC'!$G$17</f>
        <v/>
      </c>
      <c r="H18" s="33">
        <f>'ENG_WC'!$H$14+'ENG_WC'!$H$15-'ENG_WC'!$H$16-'ENG_WC'!$H$17</f>
        <v/>
      </c>
      <c r="I18" s="33">
        <f>'ENG_WC'!$I$14+'ENG_WC'!$I$15-'ENG_WC'!$I$16-'ENG_WC'!$I$17</f>
        <v/>
      </c>
      <c r="J18" s="33">
        <f>'ENG_WC'!$J$14+'ENG_WC'!$J$15-'ENG_WC'!$J$16-'ENG_WC'!$J$17</f>
        <v/>
      </c>
      <c r="K18" s="33">
        <f>'ENG_WC'!$K$14+'ENG_WC'!$K$15-'ENG_WC'!$K$16-'ENG_WC'!$K$17</f>
        <v/>
      </c>
      <c r="L18" s="33">
        <f>'ENG_WC'!$L$14+'ENG_WC'!$L$15-'ENG_WC'!$L$16-'ENG_WC'!$L$17</f>
        <v/>
      </c>
      <c r="M18" s="33">
        <f>'ENG_WC'!$M$14+'ENG_WC'!$M$15-'ENG_WC'!$M$16-'ENG_WC'!$M$17</f>
        <v/>
      </c>
      <c r="N18" s="33">
        <f>'ENG_WC'!$N$14+'ENG_WC'!$N$15-'ENG_WC'!$N$16-'ENG_WC'!$N$17</f>
        <v/>
      </c>
      <c r="O18" s="33">
        <f>'ENG_WC'!$O$14+'ENG_WC'!$O$15-'ENG_WC'!$O$16-'ENG_WC'!$O$17</f>
        <v/>
      </c>
      <c r="P18" s="33">
        <f>'ENG_WC'!$P$14+'ENG_WC'!$P$15-'ENG_WC'!$P$16-'ENG_WC'!$P$17</f>
        <v/>
      </c>
    </row>
    <row r="19">
      <c r="A19" s="8" t="inlineStr">
        <is>
          <t>تغییرات سرمایه در گردش (ΔWC)</t>
        </is>
      </c>
      <c r="B19" s="16" t="inlineStr">
        <is>
          <t>WC.dwc</t>
        </is>
      </c>
      <c r="C19" s="17" t="inlineStr">
        <is>
          <t>میلیون ریال</t>
        </is>
      </c>
      <c r="D19" s="33">
        <f>'ENG_WC'!$D$18</f>
        <v/>
      </c>
      <c r="E19" s="33">
        <f>'ENG_WC'!$E$18-'ENG_WC'!$D$18</f>
        <v/>
      </c>
      <c r="F19" s="33">
        <f>'ENG_WC'!$F$18-'ENG_WC'!$E$18</f>
        <v/>
      </c>
      <c r="G19" s="33">
        <f>'ENG_WC'!$G$18-'ENG_WC'!$F$18</f>
        <v/>
      </c>
      <c r="H19" s="33">
        <f>'ENG_WC'!$H$18-'ENG_WC'!$G$18</f>
        <v/>
      </c>
      <c r="I19" s="33">
        <f>'ENG_WC'!$I$18-'ENG_WC'!$H$18</f>
        <v/>
      </c>
      <c r="J19" s="33">
        <f>'ENG_WC'!$J$18-'ENG_WC'!$I$18</f>
        <v/>
      </c>
      <c r="K19" s="33">
        <f>'ENG_WC'!$K$18-'ENG_WC'!$J$18</f>
        <v/>
      </c>
      <c r="L19" s="33">
        <f>'ENG_WC'!$L$18-'ENG_WC'!$K$18</f>
        <v/>
      </c>
      <c r="M19" s="33">
        <f>'ENG_WC'!$M$18-'ENG_WC'!$L$18</f>
        <v/>
      </c>
      <c r="N19" s="33">
        <f>'ENG_WC'!$N$18-'ENG_WC'!$M$18</f>
        <v/>
      </c>
      <c r="O19" s="33">
        <f>'ENG_WC'!$O$18-'ENG_WC'!$N$18</f>
        <v/>
      </c>
      <c r="P19" s="33">
        <f>'ENG_WC'!$P$18-'ENG_WC'!$O$18</f>
        <v/>
      </c>
    </row>
    <row r="20">
      <c r="A20" s="15" t="inlineStr">
        <is>
          <t>تسهیلات کوتاه‌مدت (مانده)</t>
        </is>
      </c>
      <c r="B20" s="16" t="inlineStr">
        <is>
          <t>WC.stloan</t>
        </is>
      </c>
      <c r="C20" s="17" t="inlineStr">
        <is>
          <t>میلیون ریال</t>
        </is>
      </c>
      <c r="D20" s="33">
        <f>MAX(0,'ENG_WC'!$D$18*'IN_WC'!$D$18)</f>
        <v/>
      </c>
      <c r="E20" s="33">
        <f>MAX(0,'ENG_WC'!$E$18*'IN_WC'!$D$18)</f>
        <v/>
      </c>
      <c r="F20" s="33">
        <f>MAX(0,'ENG_WC'!$F$18*'IN_WC'!$D$18)</f>
        <v/>
      </c>
      <c r="G20" s="33">
        <f>MAX(0,'ENG_WC'!$G$18*'IN_WC'!$D$18)</f>
        <v/>
      </c>
      <c r="H20" s="33">
        <f>MAX(0,'ENG_WC'!$H$18*'IN_WC'!$D$18)</f>
        <v/>
      </c>
      <c r="I20" s="33">
        <f>MAX(0,'ENG_WC'!$I$18*'IN_WC'!$D$18)</f>
        <v/>
      </c>
      <c r="J20" s="33">
        <f>MAX(0,'ENG_WC'!$J$18*'IN_WC'!$D$18)</f>
        <v/>
      </c>
      <c r="K20" s="33">
        <f>MAX(0,'ENG_WC'!$K$18*'IN_WC'!$D$18)</f>
        <v/>
      </c>
      <c r="L20" s="33">
        <f>MAX(0,'ENG_WC'!$L$18*'IN_WC'!$D$18)</f>
        <v/>
      </c>
      <c r="M20" s="33">
        <f>MAX(0,'ENG_WC'!$M$18*'IN_WC'!$D$18)</f>
        <v/>
      </c>
      <c r="N20" s="33">
        <f>MAX(0,'ENG_WC'!$N$18*'IN_WC'!$D$18)</f>
        <v/>
      </c>
      <c r="O20" s="33">
        <f>MAX(0,'ENG_WC'!$O$18*'IN_WC'!$D$18)</f>
        <v/>
      </c>
      <c r="P20" s="33">
        <f>MAX(0,'ENG_WC'!$P$18*'IN_WC'!$D$18)</f>
        <v/>
      </c>
    </row>
    <row r="21">
      <c r="A21" s="15" t="inlineStr">
        <is>
          <t>تغییرات تسهیلات کوتاه‌مدت</t>
        </is>
      </c>
      <c r="B21" s="16" t="inlineStr">
        <is>
          <t>WC.dstloan</t>
        </is>
      </c>
      <c r="C21" s="17" t="inlineStr">
        <is>
          <t>میلیون ریال</t>
        </is>
      </c>
      <c r="D21" s="33">
        <f>'ENG_WC'!$D$20</f>
        <v/>
      </c>
      <c r="E21" s="33">
        <f>'ENG_WC'!$E$20-'ENG_WC'!$D$20</f>
        <v/>
      </c>
      <c r="F21" s="33">
        <f>'ENG_WC'!$F$20-'ENG_WC'!$E$20</f>
        <v/>
      </c>
      <c r="G21" s="33">
        <f>'ENG_WC'!$G$20-'ENG_WC'!$F$20</f>
        <v/>
      </c>
      <c r="H21" s="33">
        <f>'ENG_WC'!$H$20-'ENG_WC'!$G$20</f>
        <v/>
      </c>
      <c r="I21" s="33">
        <f>'ENG_WC'!$I$20-'ENG_WC'!$H$20</f>
        <v/>
      </c>
      <c r="J21" s="33">
        <f>'ENG_WC'!$J$20-'ENG_WC'!$I$20</f>
        <v/>
      </c>
      <c r="K21" s="33">
        <f>'ENG_WC'!$K$20-'ENG_WC'!$J$20</f>
        <v/>
      </c>
      <c r="L21" s="33">
        <f>'ENG_WC'!$L$20-'ENG_WC'!$K$20</f>
        <v/>
      </c>
      <c r="M21" s="33">
        <f>'ENG_WC'!$M$20-'ENG_WC'!$L$20</f>
        <v/>
      </c>
      <c r="N21" s="33">
        <f>'ENG_WC'!$N$20-'ENG_WC'!$M$20</f>
        <v/>
      </c>
      <c r="O21" s="33">
        <f>'ENG_WC'!$O$20-'ENG_WC'!$N$20</f>
        <v/>
      </c>
      <c r="P21" s="33">
        <f>'ENG_WC'!$P$20-'ENG_WC'!$O$20</f>
        <v/>
      </c>
    </row>
    <row r="22"/>
    <row r="23">
      <c r="A23" s="4" t="inlineStr">
        <is>
          <t>ب) چرخه تبدیل نقد (CCC)</t>
        </is>
      </c>
      <c r="B23" s="5" t="n"/>
      <c r="C23" s="5" t="n"/>
      <c r="D23" s="5" t="n"/>
      <c r="E23" s="5" t="n"/>
      <c r="F23" s="5" t="n"/>
      <c r="G23" s="5" t="n"/>
      <c r="H23" s="5" t="n"/>
      <c r="I23" s="5" t="n"/>
      <c r="J23" s="5" t="n"/>
      <c r="K23" s="5" t="n"/>
      <c r="L23" s="5" t="n"/>
      <c r="M23" s="5" t="n"/>
      <c r="N23" s="5" t="n"/>
      <c r="O23" s="5" t="n"/>
      <c r="P23" s="5" t="n"/>
      <c r="Q23" s="5" t="n"/>
    </row>
    <row r="24">
      <c r="A24" s="15" t="inlineStr">
        <is>
          <t>دوره گردش موجودی (DIO)</t>
        </is>
      </c>
      <c r="B24" s="16" t="inlineStr">
        <is>
          <t>WC.dio</t>
        </is>
      </c>
      <c r="C24" s="17" t="inlineStr">
        <is>
          <t>روز</t>
        </is>
      </c>
      <c r="D24" s="34">
        <f>IFERROR('ENG_WC'!$D$14/(('ENG_COST'!$D$260+'ENG_COST'!$D$261)/365),0)</f>
        <v/>
      </c>
      <c r="E24" s="34">
        <f>IFERROR('ENG_WC'!$E$14/(('ENG_COST'!$E$260+'ENG_COST'!$E$261)/365),0)</f>
        <v/>
      </c>
      <c r="F24" s="34">
        <f>IFERROR('ENG_WC'!$F$14/(('ENG_COST'!$F$260+'ENG_COST'!$F$261)/365),0)</f>
        <v/>
      </c>
      <c r="G24" s="34">
        <f>IFERROR('ENG_WC'!$G$14/(('ENG_COST'!$G$260+'ENG_COST'!$G$261)/365),0)</f>
        <v/>
      </c>
      <c r="H24" s="34">
        <f>IFERROR('ENG_WC'!$H$14/(('ENG_COST'!$H$260+'ENG_COST'!$H$261)/365),0)</f>
        <v/>
      </c>
      <c r="I24" s="34">
        <f>IFERROR('ENG_WC'!$I$14/(('ENG_COST'!$I$260+'ENG_COST'!$I$261)/365),0)</f>
        <v/>
      </c>
      <c r="J24" s="34">
        <f>IFERROR('ENG_WC'!$J$14/(('ENG_COST'!$J$260+'ENG_COST'!$J$261)/365),0)</f>
        <v/>
      </c>
      <c r="K24" s="34">
        <f>IFERROR('ENG_WC'!$K$14/(('ENG_COST'!$K$260+'ENG_COST'!$K$261)/365),0)</f>
        <v/>
      </c>
      <c r="L24" s="34">
        <f>IFERROR('ENG_WC'!$L$14/(('ENG_COST'!$L$260+'ENG_COST'!$L$261)/365),0)</f>
        <v/>
      </c>
      <c r="M24" s="34">
        <f>IFERROR('ENG_WC'!$M$14/(('ENG_COST'!$M$260+'ENG_COST'!$M$261)/365),0)</f>
        <v/>
      </c>
      <c r="N24" s="34">
        <f>IFERROR('ENG_WC'!$N$14/(('ENG_COST'!$N$260+'ENG_COST'!$N$261)/365),0)</f>
        <v/>
      </c>
      <c r="O24" s="34">
        <f>IFERROR('ENG_WC'!$O$14/(('ENG_COST'!$O$260+'ENG_COST'!$O$261)/365),0)</f>
        <v/>
      </c>
      <c r="P24" s="34">
        <f>IFERROR('ENG_WC'!$P$14/(('ENG_COST'!$P$260+'ENG_COST'!$P$261)/365),0)</f>
        <v/>
      </c>
    </row>
    <row r="25">
      <c r="A25" s="15" t="inlineStr">
        <is>
          <t>دوره وصول مطالبات (DSO)</t>
        </is>
      </c>
      <c r="B25" s="16" t="inlineStr">
        <is>
          <t>WC.dso_calc</t>
        </is>
      </c>
      <c r="C25" s="17" t="inlineStr">
        <is>
          <t>روز</t>
        </is>
      </c>
      <c r="D25" s="34">
        <f>IFERROR('ENG_WC'!$D$15/('ENG_OPS'!$D$81/365),0)</f>
        <v/>
      </c>
      <c r="E25" s="34">
        <f>IFERROR('ENG_WC'!$E$15/('ENG_OPS'!$E$81/365),0)</f>
        <v/>
      </c>
      <c r="F25" s="34">
        <f>IFERROR('ENG_WC'!$F$15/('ENG_OPS'!$F$81/365),0)</f>
        <v/>
      </c>
      <c r="G25" s="34">
        <f>IFERROR('ENG_WC'!$G$15/('ENG_OPS'!$G$81/365),0)</f>
        <v/>
      </c>
      <c r="H25" s="34">
        <f>IFERROR('ENG_WC'!$H$15/('ENG_OPS'!$H$81/365),0)</f>
        <v/>
      </c>
      <c r="I25" s="34">
        <f>IFERROR('ENG_WC'!$I$15/('ENG_OPS'!$I$81/365),0)</f>
        <v/>
      </c>
      <c r="J25" s="34">
        <f>IFERROR('ENG_WC'!$J$15/('ENG_OPS'!$J$81/365),0)</f>
        <v/>
      </c>
      <c r="K25" s="34">
        <f>IFERROR('ENG_WC'!$K$15/('ENG_OPS'!$K$81/365),0)</f>
        <v/>
      </c>
      <c r="L25" s="34">
        <f>IFERROR('ENG_WC'!$L$15/('ENG_OPS'!$L$81/365),0)</f>
        <v/>
      </c>
      <c r="M25" s="34">
        <f>IFERROR('ENG_WC'!$M$15/('ENG_OPS'!$M$81/365),0)</f>
        <v/>
      </c>
      <c r="N25" s="34">
        <f>IFERROR('ENG_WC'!$N$15/('ENG_OPS'!$N$81/365),0)</f>
        <v/>
      </c>
      <c r="O25" s="34">
        <f>IFERROR('ENG_WC'!$O$15/('ENG_OPS'!$O$81/365),0)</f>
        <v/>
      </c>
      <c r="P25" s="34">
        <f>IFERROR('ENG_WC'!$P$15/('ENG_OPS'!$P$81/365),0)</f>
        <v/>
      </c>
    </row>
    <row r="26">
      <c r="A26" s="15" t="inlineStr">
        <is>
          <t>دوره پرداخت بدهی‌ها (DPO)</t>
        </is>
      </c>
      <c r="B26" s="16" t="inlineStr">
        <is>
          <t>WC.dpo_calc</t>
        </is>
      </c>
      <c r="C26" s="17" t="inlineStr">
        <is>
          <t>روز</t>
        </is>
      </c>
      <c r="D26" s="34">
        <f>IFERROR('ENG_WC'!$D$16/(('ENG_COST'!$D$260+'ENG_COST'!$D$261)/365),0)</f>
        <v/>
      </c>
      <c r="E26" s="34">
        <f>IFERROR('ENG_WC'!$E$16/(('ENG_COST'!$E$260+'ENG_COST'!$E$261)/365),0)</f>
        <v/>
      </c>
      <c r="F26" s="34">
        <f>IFERROR('ENG_WC'!$F$16/(('ENG_COST'!$F$260+'ENG_COST'!$F$261)/365),0)</f>
        <v/>
      </c>
      <c r="G26" s="34">
        <f>IFERROR('ENG_WC'!$G$16/(('ENG_COST'!$G$260+'ENG_COST'!$G$261)/365),0)</f>
        <v/>
      </c>
      <c r="H26" s="34">
        <f>IFERROR('ENG_WC'!$H$16/(('ENG_COST'!$H$260+'ENG_COST'!$H$261)/365),0)</f>
        <v/>
      </c>
      <c r="I26" s="34">
        <f>IFERROR('ENG_WC'!$I$16/(('ENG_COST'!$I$260+'ENG_COST'!$I$261)/365),0)</f>
        <v/>
      </c>
      <c r="J26" s="34">
        <f>IFERROR('ENG_WC'!$J$16/(('ENG_COST'!$J$260+'ENG_COST'!$J$261)/365),0)</f>
        <v/>
      </c>
      <c r="K26" s="34">
        <f>IFERROR('ENG_WC'!$K$16/(('ENG_COST'!$K$260+'ENG_COST'!$K$261)/365),0)</f>
        <v/>
      </c>
      <c r="L26" s="34">
        <f>IFERROR('ENG_WC'!$L$16/(('ENG_COST'!$L$260+'ENG_COST'!$L$261)/365),0)</f>
        <v/>
      </c>
      <c r="M26" s="34">
        <f>IFERROR('ENG_WC'!$M$16/(('ENG_COST'!$M$260+'ENG_COST'!$M$261)/365),0)</f>
        <v/>
      </c>
      <c r="N26" s="34">
        <f>IFERROR('ENG_WC'!$N$16/(('ENG_COST'!$N$260+'ENG_COST'!$N$261)/365),0)</f>
        <v/>
      </c>
      <c r="O26" s="34">
        <f>IFERROR('ENG_WC'!$O$16/(('ENG_COST'!$O$260+'ENG_COST'!$O$261)/365),0)</f>
        <v/>
      </c>
      <c r="P26" s="34">
        <f>IFERROR('ENG_WC'!$P$16/(('ENG_COST'!$P$260+'ENG_COST'!$P$261)/365),0)</f>
        <v/>
      </c>
    </row>
    <row r="27">
      <c r="A27" s="15" t="inlineStr">
        <is>
          <t>چرخه تبدیل نقد (CCC)</t>
        </is>
      </c>
      <c r="B27" s="16" t="inlineStr">
        <is>
          <t>WC.ccc</t>
        </is>
      </c>
      <c r="C27" s="17" t="inlineStr">
        <is>
          <t>روز</t>
        </is>
      </c>
      <c r="D27" s="34">
        <f>'ENG_WC'!$D$24+'ENG_WC'!$D$25-'ENG_WC'!$D$26</f>
        <v/>
      </c>
      <c r="E27" s="34">
        <f>'ENG_WC'!$E$24+'ENG_WC'!$E$25-'ENG_WC'!$E$26</f>
        <v/>
      </c>
      <c r="F27" s="34">
        <f>'ENG_WC'!$F$24+'ENG_WC'!$F$25-'ENG_WC'!$F$26</f>
        <v/>
      </c>
      <c r="G27" s="34">
        <f>'ENG_WC'!$G$24+'ENG_WC'!$G$25-'ENG_WC'!$G$26</f>
        <v/>
      </c>
      <c r="H27" s="34">
        <f>'ENG_WC'!$H$24+'ENG_WC'!$H$25-'ENG_WC'!$H$26</f>
        <v/>
      </c>
      <c r="I27" s="34">
        <f>'ENG_WC'!$I$24+'ENG_WC'!$I$25-'ENG_WC'!$I$26</f>
        <v/>
      </c>
      <c r="J27" s="34">
        <f>'ENG_WC'!$J$24+'ENG_WC'!$J$25-'ENG_WC'!$J$26</f>
        <v/>
      </c>
      <c r="K27" s="34">
        <f>'ENG_WC'!$K$24+'ENG_WC'!$K$25-'ENG_WC'!$K$26</f>
        <v/>
      </c>
      <c r="L27" s="34">
        <f>'ENG_WC'!$L$24+'ENG_WC'!$L$25-'ENG_WC'!$L$26</f>
        <v/>
      </c>
      <c r="M27" s="34">
        <f>'ENG_WC'!$M$24+'ENG_WC'!$M$25-'ENG_WC'!$M$26</f>
        <v/>
      </c>
      <c r="N27" s="34">
        <f>'ENG_WC'!$N$24+'ENG_WC'!$N$25-'ENG_WC'!$N$26</f>
        <v/>
      </c>
      <c r="O27" s="34">
        <f>'ENG_WC'!$O$24+'ENG_WC'!$O$25-'ENG_WC'!$O$26</f>
        <v/>
      </c>
      <c r="P27" s="34">
        <f>'ENG_WC'!$P$24+'ENG_WC'!$P$25-'ENG_WC'!$P$26</f>
        <v/>
      </c>
    </row>
    <row r="28">
      <c r="A28" s="15" t="inlineStr">
        <is>
          <t>هزینه نقدی سالانه (مبنای حداقل نقد)</t>
        </is>
      </c>
      <c r="B28" s="16" t="inlineStr">
        <is>
          <t>WC.cash_opex</t>
        </is>
      </c>
      <c r="C28" s="17" t="inlineStr">
        <is>
          <t>میلیون ریال</t>
        </is>
      </c>
      <c r="D28" s="33">
        <f>'ENG_COST'!$D$266+'ENG_COST'!$D$268</f>
        <v/>
      </c>
      <c r="E28" s="33">
        <f>'ENG_COST'!$E$266+'ENG_COST'!$E$268</f>
        <v/>
      </c>
      <c r="F28" s="33">
        <f>'ENG_COST'!$F$266+'ENG_COST'!$F$268</f>
        <v/>
      </c>
      <c r="G28" s="33">
        <f>'ENG_COST'!$G$266+'ENG_COST'!$G$268</f>
        <v/>
      </c>
      <c r="H28" s="33">
        <f>'ENG_COST'!$H$266+'ENG_COST'!$H$268</f>
        <v/>
      </c>
      <c r="I28" s="33">
        <f>'ENG_COST'!$I$266+'ENG_COST'!$I$268</f>
        <v/>
      </c>
      <c r="J28" s="33">
        <f>'ENG_COST'!$J$266+'ENG_COST'!$J$268</f>
        <v/>
      </c>
      <c r="K28" s="33">
        <f>'ENG_COST'!$K$266+'ENG_COST'!$K$268</f>
        <v/>
      </c>
      <c r="L28" s="33">
        <f>'ENG_COST'!$L$266+'ENG_COST'!$L$268</f>
        <v/>
      </c>
      <c r="M28" s="33">
        <f>'ENG_COST'!$M$266+'ENG_COST'!$M$268</f>
        <v/>
      </c>
      <c r="N28" s="33">
        <f>'ENG_COST'!$N$266+'ENG_COST'!$N$268</f>
        <v/>
      </c>
      <c r="O28" s="33">
        <f>'ENG_COST'!$O$266+'ENG_COST'!$O$268</f>
        <v/>
      </c>
      <c r="P28" s="33">
        <f>'ENG_COST'!$P$266+'ENG_COST'!$P$268</f>
        <v/>
      </c>
    </row>
    <row r="29">
      <c r="A29" s="15" t="inlineStr">
        <is>
          <t>حداقل موجودی نقدی</t>
        </is>
      </c>
      <c r="B29" s="16" t="inlineStr">
        <is>
          <t>WC.min_cash</t>
        </is>
      </c>
      <c r="C29" s="17" t="inlineStr">
        <is>
          <t>میلیون ریال</t>
        </is>
      </c>
      <c r="D29" s="33">
        <f>MAX(0,'ENG_WC'!$D$28)/365*'IN_WC'!$D$15</f>
        <v/>
      </c>
      <c r="E29" s="33">
        <f>MAX(0,'ENG_WC'!$E$28)/365*'IN_WC'!$D$15</f>
        <v/>
      </c>
      <c r="F29" s="33">
        <f>MAX(0,'ENG_WC'!$F$28)/365*'IN_WC'!$D$15</f>
        <v/>
      </c>
      <c r="G29" s="33">
        <f>MAX(0,'ENG_WC'!$G$28)/365*'IN_WC'!$D$15</f>
        <v/>
      </c>
      <c r="H29" s="33">
        <f>MAX(0,'ENG_WC'!$H$28)/365*'IN_WC'!$D$15</f>
        <v/>
      </c>
      <c r="I29" s="33">
        <f>MAX(0,'ENG_WC'!$I$28)/365*'IN_WC'!$D$15</f>
        <v/>
      </c>
      <c r="J29" s="33">
        <f>MAX(0,'ENG_WC'!$J$28)/365*'IN_WC'!$D$15</f>
        <v/>
      </c>
      <c r="K29" s="33">
        <f>MAX(0,'ENG_WC'!$K$28)/365*'IN_WC'!$D$15</f>
        <v/>
      </c>
      <c r="L29" s="33">
        <f>MAX(0,'ENG_WC'!$L$28)/365*'IN_WC'!$D$15</f>
        <v/>
      </c>
      <c r="M29" s="33">
        <f>MAX(0,'ENG_WC'!$M$28)/365*'IN_WC'!$D$15</f>
        <v/>
      </c>
      <c r="N29" s="33">
        <f>MAX(0,'ENG_WC'!$N$28)/365*'IN_WC'!$D$15</f>
        <v/>
      </c>
      <c r="O29" s="33">
        <f>MAX(0,'ENG_WC'!$O$28)/365*'IN_WC'!$D$15</f>
        <v/>
      </c>
      <c r="P29" s="33">
        <f>MAX(0,'ENG_WC'!$P$28)/365*'IN_WC'!$D$15</f>
        <v/>
      </c>
    </row>
  </sheetData>
  <pageMargins left="0.75" right="0.75" top="1" bottom="1" header="0.5" footer="0.5"/>
</worksheet>
</file>

<file path=xl/worksheets/sheet15.xml><?xml version="1.0" encoding="utf-8"?>
<worksheet xmlns="http://schemas.openxmlformats.org/spreadsheetml/2006/main">
  <sheetPr>
    <tabColor rgb="00A6A6A6"/>
    <outlinePr summaryBelow="1" summaryRight="1"/>
    <pageSetUpPr/>
  </sheetPr>
  <dimension ref="A1:Q70"/>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جریان‌های نقدی آزاد (FCF)</t>
        </is>
      </c>
      <c r="B1" s="2" t="inlineStr">
        <is>
          <t>موتور محاسبات</t>
        </is>
      </c>
    </row>
    <row r="2">
      <c r="A2" s="3" t="inlineStr">
        <is>
          <t>تبدیل عملیات به EBITDA/EBIT/سود خالص، جریان نقد آزاد پروژه و سهامداران، جدول بدهی و ترازنامهٔ پروژه.</t>
        </is>
      </c>
    </row>
    <row r="3"/>
    <row r="4"/>
    <row r="5"/>
    <row r="6"/>
    <row r="7">
      <c r="A7" s="11" t="inlineStr">
        <is>
          <t>دوره (t)</t>
        </is>
      </c>
      <c r="D7" s="12" t="n">
        <v>0</v>
      </c>
      <c r="E7" s="12" t="n">
        <v>1</v>
      </c>
      <c r="F7" s="12" t="n">
        <v>2</v>
      </c>
      <c r="G7" s="12" t="n">
        <v>3</v>
      </c>
      <c r="H7" s="12" t="n">
        <v>4</v>
      </c>
      <c r="I7" s="12" t="n">
        <v>5</v>
      </c>
      <c r="J7" s="12" t="n">
        <v>6</v>
      </c>
      <c r="K7" s="12" t="n">
        <v>7</v>
      </c>
      <c r="L7" s="12" t="n">
        <v>8</v>
      </c>
      <c r="M7" s="12" t="n">
        <v>9</v>
      </c>
      <c r="N7" s="12" t="n">
        <v>10</v>
      </c>
      <c r="O7" s="12" t="n">
        <v>11</v>
      </c>
      <c r="P7" s="12" t="n">
        <v>12</v>
      </c>
    </row>
    <row r="8">
      <c r="A8" s="13" t="inlineStr">
        <is>
          <t>سال تقویمی</t>
        </is>
      </c>
      <c r="D8" s="14" t="n">
        <v>2026</v>
      </c>
      <c r="E8" s="14" t="n">
        <v>2027</v>
      </c>
      <c r="F8" s="14" t="n">
        <v>2028</v>
      </c>
      <c r="G8" s="14" t="n">
        <v>2029</v>
      </c>
      <c r="H8" s="14" t="n">
        <v>2030</v>
      </c>
      <c r="I8" s="14" t="n">
        <v>2031</v>
      </c>
      <c r="J8" s="14" t="n">
        <v>2032</v>
      </c>
      <c r="K8" s="14" t="n">
        <v>2033</v>
      </c>
      <c r="L8" s="14" t="n">
        <v>2034</v>
      </c>
      <c r="M8" s="14" t="n">
        <v>2035</v>
      </c>
      <c r="N8" s="14" t="n">
        <v>2036</v>
      </c>
      <c r="O8" s="14" t="n">
        <v>2037</v>
      </c>
      <c r="P8" s="14" t="n">
        <v>2038</v>
      </c>
    </row>
    <row r="9">
      <c r="A9" s="4" t="inlineStr">
        <is>
          <t>الف) صورت سود و زیان</t>
        </is>
      </c>
      <c r="B9" s="5" t="n"/>
      <c r="C9" s="5" t="n"/>
      <c r="D9" s="5" t="n"/>
      <c r="E9" s="5" t="n"/>
      <c r="F9" s="5" t="n"/>
      <c r="G9" s="5" t="n"/>
      <c r="H9" s="5" t="n"/>
      <c r="I9" s="5" t="n"/>
      <c r="J9" s="5" t="n"/>
      <c r="K9" s="5" t="n"/>
      <c r="L9" s="5" t="n"/>
      <c r="M9" s="5" t="n"/>
      <c r="N9" s="5" t="n"/>
      <c r="O9" s="5" t="n"/>
      <c r="P9" s="5" t="n"/>
      <c r="Q9" s="5" t="n"/>
    </row>
    <row r="10">
      <c r="A10" s="8" t="inlineStr">
        <is>
          <t>درآمد خالص</t>
        </is>
      </c>
      <c r="B10" s="16" t="inlineStr">
        <is>
          <t>FCF.rev</t>
        </is>
      </c>
      <c r="C10" s="17" t="inlineStr">
        <is>
          <t>میلیون ریال</t>
        </is>
      </c>
      <c r="D10" s="33">
        <f>'ENG_OPS'!$D$81</f>
        <v/>
      </c>
      <c r="E10" s="33">
        <f>'ENG_OPS'!$E$81</f>
        <v/>
      </c>
      <c r="F10" s="33">
        <f>'ENG_OPS'!$F$81</f>
        <v/>
      </c>
      <c r="G10" s="33">
        <f>'ENG_OPS'!$G$81</f>
        <v/>
      </c>
      <c r="H10" s="33">
        <f>'ENG_OPS'!$H$81</f>
        <v/>
      </c>
      <c r="I10" s="33">
        <f>'ENG_OPS'!$I$81</f>
        <v/>
      </c>
      <c r="J10" s="33">
        <f>'ENG_OPS'!$J$81</f>
        <v/>
      </c>
      <c r="K10" s="33">
        <f>'ENG_OPS'!$K$81</f>
        <v/>
      </c>
      <c r="L10" s="33">
        <f>'ENG_OPS'!$L$81</f>
        <v/>
      </c>
      <c r="M10" s="33">
        <f>'ENG_OPS'!$M$81</f>
        <v/>
      </c>
      <c r="N10" s="33">
        <f>'ENG_OPS'!$N$81</f>
        <v/>
      </c>
      <c r="O10" s="33">
        <f>'ENG_OPS'!$O$81</f>
        <v/>
      </c>
      <c r="P10" s="33">
        <f>'ENG_OPS'!$P$81</f>
        <v/>
      </c>
    </row>
    <row r="11">
      <c r="A11" s="15" t="inlineStr">
        <is>
          <t>هزینه‌های مستقیم تولید (DPC)</t>
        </is>
      </c>
      <c r="B11" s="16" t="inlineStr"/>
      <c r="C11" s="17" t="inlineStr">
        <is>
          <t>میلیون ریال</t>
        </is>
      </c>
      <c r="D11" s="33">
        <f>'ENG_COST'!$D$260</f>
        <v/>
      </c>
      <c r="E11" s="33">
        <f>'ENG_COST'!$E$260</f>
        <v/>
      </c>
      <c r="F11" s="33">
        <f>'ENG_COST'!$F$260</f>
        <v/>
      </c>
      <c r="G11" s="33">
        <f>'ENG_COST'!$G$260</f>
        <v/>
      </c>
      <c r="H11" s="33">
        <f>'ENG_COST'!$H$260</f>
        <v/>
      </c>
      <c r="I11" s="33">
        <f>'ENG_COST'!$I$260</f>
        <v/>
      </c>
      <c r="J11" s="33">
        <f>'ENG_COST'!$J$260</f>
        <v/>
      </c>
      <c r="K11" s="33">
        <f>'ENG_COST'!$K$260</f>
        <v/>
      </c>
      <c r="L11" s="33">
        <f>'ENG_COST'!$L$260</f>
        <v/>
      </c>
      <c r="M11" s="33">
        <f>'ENG_COST'!$M$260</f>
        <v/>
      </c>
      <c r="N11" s="33">
        <f>'ENG_COST'!$N$260</f>
        <v/>
      </c>
      <c r="O11" s="33">
        <f>'ENG_COST'!$O$260</f>
        <v/>
      </c>
      <c r="P11" s="33">
        <f>'ENG_COST'!$P$260</f>
        <v/>
      </c>
    </row>
    <row r="12">
      <c r="A12" s="15" t="inlineStr">
        <is>
          <t>هزینه‌های عملیاتی تولید (OPC)</t>
        </is>
      </c>
      <c r="B12" s="16" t="inlineStr"/>
      <c r="C12" s="17" t="inlineStr">
        <is>
          <t>میلیون ریال</t>
        </is>
      </c>
      <c r="D12" s="33">
        <f>'ENG_COST'!$D$261</f>
        <v/>
      </c>
      <c r="E12" s="33">
        <f>'ENG_COST'!$E$261</f>
        <v/>
      </c>
      <c r="F12" s="33">
        <f>'ENG_COST'!$F$261</f>
        <v/>
      </c>
      <c r="G12" s="33">
        <f>'ENG_COST'!$G$261</f>
        <v/>
      </c>
      <c r="H12" s="33">
        <f>'ENG_COST'!$H$261</f>
        <v/>
      </c>
      <c r="I12" s="33">
        <f>'ENG_COST'!$I$261</f>
        <v/>
      </c>
      <c r="J12" s="33">
        <f>'ENG_COST'!$J$261</f>
        <v/>
      </c>
      <c r="K12" s="33">
        <f>'ENG_COST'!$K$261</f>
        <v/>
      </c>
      <c r="L12" s="33">
        <f>'ENG_COST'!$L$261</f>
        <v/>
      </c>
      <c r="M12" s="33">
        <f>'ENG_COST'!$M$261</f>
        <v/>
      </c>
      <c r="N12" s="33">
        <f>'ENG_COST'!$N$261</f>
        <v/>
      </c>
      <c r="O12" s="33">
        <f>'ENG_COST'!$O$261</f>
        <v/>
      </c>
      <c r="P12" s="33">
        <f>'ENG_COST'!$P$261</f>
        <v/>
      </c>
    </row>
    <row r="13">
      <c r="A13" s="15" t="inlineStr">
        <is>
          <t>هزینه‌های ثابت تولید (FPC)</t>
        </is>
      </c>
      <c r="B13" s="16" t="inlineStr"/>
      <c r="C13" s="17" t="inlineStr">
        <is>
          <t>میلیون ریال</t>
        </is>
      </c>
      <c r="D13" s="33">
        <f>'ENG_COST'!$D$262</f>
        <v/>
      </c>
      <c r="E13" s="33">
        <f>'ENG_COST'!$E$262</f>
        <v/>
      </c>
      <c r="F13" s="33">
        <f>'ENG_COST'!$F$262</f>
        <v/>
      </c>
      <c r="G13" s="33">
        <f>'ENG_COST'!$G$262</f>
        <v/>
      </c>
      <c r="H13" s="33">
        <f>'ENG_COST'!$H$262</f>
        <v/>
      </c>
      <c r="I13" s="33">
        <f>'ENG_COST'!$I$262</f>
        <v/>
      </c>
      <c r="J13" s="33">
        <f>'ENG_COST'!$J$262</f>
        <v/>
      </c>
      <c r="K13" s="33">
        <f>'ENG_COST'!$K$262</f>
        <v/>
      </c>
      <c r="L13" s="33">
        <f>'ENG_COST'!$L$262</f>
        <v/>
      </c>
      <c r="M13" s="33">
        <f>'ENG_COST'!$M$262</f>
        <v/>
      </c>
      <c r="N13" s="33">
        <f>'ENG_COST'!$N$262</f>
        <v/>
      </c>
      <c r="O13" s="33">
        <f>'ENG_COST'!$O$262</f>
        <v/>
      </c>
      <c r="P13" s="33">
        <f>'ENG_COST'!$P$262</f>
        <v/>
      </c>
    </row>
    <row r="14">
      <c r="A14" s="15" t="inlineStr">
        <is>
          <t>جمع هزینه‌ها</t>
        </is>
      </c>
      <c r="B14" s="16" t="inlineStr">
        <is>
          <t>FCF.cost</t>
        </is>
      </c>
      <c r="C14" s="17" t="inlineStr">
        <is>
          <t>میلیون ریال</t>
        </is>
      </c>
      <c r="D14" s="33">
        <f>'ENG_COST'!$D$260+'ENG_COST'!$D$261+'ENG_COST'!$D$262</f>
        <v/>
      </c>
      <c r="E14" s="33">
        <f>'ENG_COST'!$E$260+'ENG_COST'!$E$261+'ENG_COST'!$E$262</f>
        <v/>
      </c>
      <c r="F14" s="33">
        <f>'ENG_COST'!$F$260+'ENG_COST'!$F$261+'ENG_COST'!$F$262</f>
        <v/>
      </c>
      <c r="G14" s="33">
        <f>'ENG_COST'!$G$260+'ENG_COST'!$G$261+'ENG_COST'!$G$262</f>
        <v/>
      </c>
      <c r="H14" s="33">
        <f>'ENG_COST'!$H$260+'ENG_COST'!$H$261+'ENG_COST'!$H$262</f>
        <v/>
      </c>
      <c r="I14" s="33">
        <f>'ENG_COST'!$I$260+'ENG_COST'!$I$261+'ENG_COST'!$I$262</f>
        <v/>
      </c>
      <c r="J14" s="33">
        <f>'ENG_COST'!$J$260+'ENG_COST'!$J$261+'ENG_COST'!$J$262</f>
        <v/>
      </c>
      <c r="K14" s="33">
        <f>'ENG_COST'!$K$260+'ENG_COST'!$K$261+'ENG_COST'!$K$262</f>
        <v/>
      </c>
      <c r="L14" s="33">
        <f>'ENG_COST'!$L$260+'ENG_COST'!$L$261+'ENG_COST'!$L$262</f>
        <v/>
      </c>
      <c r="M14" s="33">
        <f>'ENG_COST'!$M$260+'ENG_COST'!$M$261+'ENG_COST'!$M$262</f>
        <v/>
      </c>
      <c r="N14" s="33">
        <f>'ENG_COST'!$N$260+'ENG_COST'!$N$261+'ENG_COST'!$N$262</f>
        <v/>
      </c>
      <c r="O14" s="33">
        <f>'ENG_COST'!$O$260+'ENG_COST'!$O$261+'ENG_COST'!$O$262</f>
        <v/>
      </c>
      <c r="P14" s="33">
        <f>'ENG_COST'!$P$260+'ENG_COST'!$P$261+'ENG_COST'!$P$262</f>
        <v/>
      </c>
    </row>
    <row r="15">
      <c r="A15" s="8" t="inlineStr">
        <is>
          <t>سود قبل بهره، مالیات و استهلاک (EBITDA)</t>
        </is>
      </c>
      <c r="B15" s="16" t="inlineStr">
        <is>
          <t>FCF.ebitda</t>
        </is>
      </c>
      <c r="C15" s="17" t="inlineStr">
        <is>
          <t>میلیون ریال</t>
        </is>
      </c>
      <c r="D15" s="33">
        <f>'ENG_COST'!$D$275</f>
        <v/>
      </c>
      <c r="E15" s="33">
        <f>'ENG_COST'!$E$275</f>
        <v/>
      </c>
      <c r="F15" s="33">
        <f>'ENG_COST'!$F$275</f>
        <v/>
      </c>
      <c r="G15" s="33">
        <f>'ENG_COST'!$G$275</f>
        <v/>
      </c>
      <c r="H15" s="33">
        <f>'ENG_COST'!$H$275</f>
        <v/>
      </c>
      <c r="I15" s="33">
        <f>'ENG_COST'!$I$275</f>
        <v/>
      </c>
      <c r="J15" s="33">
        <f>'ENG_COST'!$J$275</f>
        <v/>
      </c>
      <c r="K15" s="33">
        <f>'ENG_COST'!$K$275</f>
        <v/>
      </c>
      <c r="L15" s="33">
        <f>'ENG_COST'!$L$275</f>
        <v/>
      </c>
      <c r="M15" s="33">
        <f>'ENG_COST'!$M$275</f>
        <v/>
      </c>
      <c r="N15" s="33">
        <f>'ENG_COST'!$N$275</f>
        <v/>
      </c>
      <c r="O15" s="33">
        <f>'ENG_COST'!$O$275</f>
        <v/>
      </c>
      <c r="P15" s="33">
        <f>'ENG_COST'!$P$275</f>
        <v/>
      </c>
    </row>
    <row r="16">
      <c r="A16" s="15" t="inlineStr">
        <is>
          <t>استهلاک</t>
        </is>
      </c>
      <c r="B16" s="16" t="inlineStr">
        <is>
          <t>FCF.dep</t>
        </is>
      </c>
      <c r="C16" s="17" t="inlineStr">
        <is>
          <t>میلیون ریال</t>
        </is>
      </c>
      <c r="D16" s="33">
        <f>'ENG_CAPEX'!$D$81</f>
        <v/>
      </c>
      <c r="E16" s="33">
        <f>'ENG_CAPEX'!$E$81</f>
        <v/>
      </c>
      <c r="F16" s="33">
        <f>'ENG_CAPEX'!$F$81</f>
        <v/>
      </c>
      <c r="G16" s="33">
        <f>'ENG_CAPEX'!$G$81</f>
        <v/>
      </c>
      <c r="H16" s="33">
        <f>'ENG_CAPEX'!$H$81</f>
        <v/>
      </c>
      <c r="I16" s="33">
        <f>'ENG_CAPEX'!$I$81</f>
        <v/>
      </c>
      <c r="J16" s="33">
        <f>'ENG_CAPEX'!$J$81</f>
        <v/>
      </c>
      <c r="K16" s="33">
        <f>'ENG_CAPEX'!$K$81</f>
        <v/>
      </c>
      <c r="L16" s="33">
        <f>'ENG_CAPEX'!$L$81</f>
        <v/>
      </c>
      <c r="M16" s="33">
        <f>'ENG_CAPEX'!$M$81</f>
        <v/>
      </c>
      <c r="N16" s="33">
        <f>'ENG_CAPEX'!$N$81</f>
        <v/>
      </c>
      <c r="O16" s="33">
        <f>'ENG_CAPEX'!$O$81</f>
        <v/>
      </c>
      <c r="P16" s="33">
        <f>'ENG_CAPEX'!$P$81</f>
        <v/>
      </c>
    </row>
    <row r="17">
      <c r="A17" s="8" t="inlineStr">
        <is>
          <t>سود عملیاتی (EBIT)</t>
        </is>
      </c>
      <c r="B17" s="16" t="inlineStr">
        <is>
          <t>FCF.ebit</t>
        </is>
      </c>
      <c r="C17" s="17" t="inlineStr">
        <is>
          <t>میلیون ریال</t>
        </is>
      </c>
      <c r="D17" s="33">
        <f>'ENG_COST'!$D$276</f>
        <v/>
      </c>
      <c r="E17" s="33">
        <f>'ENG_COST'!$E$276</f>
        <v/>
      </c>
      <c r="F17" s="33">
        <f>'ENG_COST'!$F$276</f>
        <v/>
      </c>
      <c r="G17" s="33">
        <f>'ENG_COST'!$G$276</f>
        <v/>
      </c>
      <c r="H17" s="33">
        <f>'ENG_COST'!$H$276</f>
        <v/>
      </c>
      <c r="I17" s="33">
        <f>'ENG_COST'!$I$276</f>
        <v/>
      </c>
      <c r="J17" s="33">
        <f>'ENG_COST'!$J$276</f>
        <v/>
      </c>
      <c r="K17" s="33">
        <f>'ENG_COST'!$K$276</f>
        <v/>
      </c>
      <c r="L17" s="33">
        <f>'ENG_COST'!$L$276</f>
        <v/>
      </c>
      <c r="M17" s="33">
        <f>'ENG_COST'!$M$276</f>
        <v/>
      </c>
      <c r="N17" s="33">
        <f>'ENG_COST'!$N$276</f>
        <v/>
      </c>
      <c r="O17" s="33">
        <f>'ENG_COST'!$O$276</f>
        <v/>
      </c>
      <c r="P17" s="33">
        <f>'ENG_COST'!$P$276</f>
        <v/>
      </c>
    </row>
    <row r="18"/>
    <row r="19">
      <c r="A19" s="4" t="inlineStr">
        <is>
          <t>ب) جدول بدهی، خدمت دین و هزینه‌های مالی</t>
        </is>
      </c>
      <c r="B19" s="5" t="n"/>
      <c r="C19" s="5" t="n"/>
      <c r="D19" s="5" t="n"/>
      <c r="E19" s="5" t="n"/>
      <c r="F19" s="5" t="n"/>
      <c r="G19" s="5" t="n"/>
      <c r="H19" s="5" t="n"/>
      <c r="I19" s="5" t="n"/>
      <c r="J19" s="5" t="n"/>
      <c r="K19" s="5" t="n"/>
      <c r="L19" s="5" t="n"/>
      <c r="M19" s="5" t="n"/>
      <c r="N19" s="5" t="n"/>
      <c r="O19" s="5" t="n"/>
      <c r="P19" s="5" t="n"/>
      <c r="Q19" s="5" t="n"/>
    </row>
    <row r="20">
      <c r="A20" s="15" t="inlineStr">
        <is>
          <t>مانده تسهیلات - افتتاحیه</t>
        </is>
      </c>
      <c r="B20" s="16" t="inlineStr">
        <is>
          <t>FCF.debt_open</t>
        </is>
      </c>
      <c r="C20" s="17" t="inlineStr">
        <is>
          <t>میلیون ریال</t>
        </is>
      </c>
      <c r="D20" s="33">
        <f>0</f>
        <v/>
      </c>
      <c r="E20" s="33">
        <f>'ENG_FCF'!$D$25</f>
        <v/>
      </c>
      <c r="F20" s="33">
        <f>'ENG_FCF'!$E$25</f>
        <v/>
      </c>
      <c r="G20" s="33">
        <f>'ENG_FCF'!$F$25</f>
        <v/>
      </c>
      <c r="H20" s="33">
        <f>'ENG_FCF'!$G$25</f>
        <v/>
      </c>
      <c r="I20" s="33">
        <f>'ENG_FCF'!$H$25</f>
        <v/>
      </c>
      <c r="J20" s="33">
        <f>'ENG_FCF'!$I$25</f>
        <v/>
      </c>
      <c r="K20" s="33">
        <f>'ENG_FCF'!$J$25</f>
        <v/>
      </c>
      <c r="L20" s="33">
        <f>'ENG_FCF'!$K$25</f>
        <v/>
      </c>
      <c r="M20" s="33">
        <f>'ENG_FCF'!$L$25</f>
        <v/>
      </c>
      <c r="N20" s="33">
        <f>'ENG_FCF'!$M$25</f>
        <v/>
      </c>
      <c r="O20" s="33">
        <f>'ENG_FCF'!$N$25</f>
        <v/>
      </c>
      <c r="P20" s="33">
        <f>'ENG_FCF'!$O$25</f>
        <v/>
      </c>
    </row>
    <row r="21">
      <c r="A21" s="15" t="inlineStr">
        <is>
          <t>برداشت تسهیلات</t>
        </is>
      </c>
      <c r="B21" s="16" t="inlineStr">
        <is>
          <t>FCF.draw</t>
        </is>
      </c>
      <c r="C21" s="17" t="inlineStr">
        <is>
          <t>میلیون ریال</t>
        </is>
      </c>
      <c r="D21" s="33">
        <f>IF('IN_MACRO'!$D$23&lt;='IN_MACRO'!$D$13,'IN_FIN'!$D$24*'ENG_CAPEX'!$D$21,0)</f>
        <v/>
      </c>
      <c r="E21" s="33">
        <f>IF('IN_MACRO'!$E$23&lt;='IN_MACRO'!$D$13,'IN_FIN'!$D$24*'ENG_CAPEX'!$E$21,0)</f>
        <v/>
      </c>
      <c r="F21" s="33">
        <f>IF('IN_MACRO'!$F$23&lt;='IN_MACRO'!$D$13,'IN_FIN'!$D$24*'ENG_CAPEX'!$F$21,0)</f>
        <v/>
      </c>
      <c r="G21" s="33">
        <f>IF('IN_MACRO'!$G$23&lt;='IN_MACRO'!$D$13,'IN_FIN'!$D$24*'ENG_CAPEX'!$G$21,0)</f>
        <v/>
      </c>
      <c r="H21" s="33">
        <f>IF('IN_MACRO'!$H$23&lt;='IN_MACRO'!$D$13,'IN_FIN'!$D$24*'ENG_CAPEX'!$H$21,0)</f>
        <v/>
      </c>
      <c r="I21" s="33">
        <f>IF('IN_MACRO'!$I$23&lt;='IN_MACRO'!$D$13,'IN_FIN'!$D$24*'ENG_CAPEX'!$I$21,0)</f>
        <v/>
      </c>
      <c r="J21" s="33">
        <f>IF('IN_MACRO'!$J$23&lt;='IN_MACRO'!$D$13,'IN_FIN'!$D$24*'ENG_CAPEX'!$J$21,0)</f>
        <v/>
      </c>
      <c r="K21" s="33">
        <f>IF('IN_MACRO'!$K$23&lt;='IN_MACRO'!$D$13,'IN_FIN'!$D$24*'ENG_CAPEX'!$K$21,0)</f>
        <v/>
      </c>
      <c r="L21" s="33">
        <f>IF('IN_MACRO'!$L$23&lt;='IN_MACRO'!$D$13,'IN_FIN'!$D$24*'ENG_CAPEX'!$L$21,0)</f>
        <v/>
      </c>
      <c r="M21" s="33">
        <f>IF('IN_MACRO'!$M$23&lt;='IN_MACRO'!$D$13,'IN_FIN'!$D$24*'ENG_CAPEX'!$M$21,0)</f>
        <v/>
      </c>
      <c r="N21" s="33">
        <f>IF('IN_MACRO'!$N$23&lt;='IN_MACRO'!$D$13,'IN_FIN'!$D$24*'ENG_CAPEX'!$N$21,0)</f>
        <v/>
      </c>
      <c r="O21" s="33">
        <f>IF('IN_MACRO'!$O$23&lt;='IN_MACRO'!$D$13,'IN_FIN'!$D$24*'ENG_CAPEX'!$O$21,0)</f>
        <v/>
      </c>
      <c r="P21" s="33">
        <f>IF('IN_MACRO'!$P$23&lt;='IN_MACRO'!$D$13,'IN_FIN'!$D$24*'ENG_CAPEX'!$P$21,0)</f>
        <v/>
      </c>
    </row>
    <row r="22">
      <c r="A22" s="15" t="inlineStr">
        <is>
          <t>سود سرمایه‌ای‌شده حین ساخت (IDC)</t>
        </is>
      </c>
      <c r="B22" s="16" t="inlineStr">
        <is>
          <t>FCF.idc</t>
        </is>
      </c>
      <c r="C22" s="17" t="inlineStr">
        <is>
          <t>میلیون ریال</t>
        </is>
      </c>
      <c r="D22" s="33">
        <f>'ENG_CAPEX'!$D$27</f>
        <v/>
      </c>
      <c r="E22" s="33">
        <f>'ENG_CAPEX'!$E$27</f>
        <v/>
      </c>
      <c r="F22" s="33">
        <f>'ENG_CAPEX'!$F$27</f>
        <v/>
      </c>
      <c r="G22" s="33">
        <f>'ENG_CAPEX'!$G$27</f>
        <v/>
      </c>
      <c r="H22" s="33">
        <f>'ENG_CAPEX'!$H$27</f>
        <v/>
      </c>
      <c r="I22" s="33">
        <f>'ENG_CAPEX'!$I$27</f>
        <v/>
      </c>
      <c r="J22" s="33">
        <f>'ENG_CAPEX'!$J$27</f>
        <v/>
      </c>
      <c r="K22" s="33">
        <f>'ENG_CAPEX'!$K$27</f>
        <v/>
      </c>
      <c r="L22" s="33">
        <f>'ENG_CAPEX'!$L$27</f>
        <v/>
      </c>
      <c r="M22" s="33">
        <f>'ENG_CAPEX'!$M$27</f>
        <v/>
      </c>
      <c r="N22" s="33">
        <f>'ENG_CAPEX'!$N$27</f>
        <v/>
      </c>
      <c r="O22" s="33">
        <f>'ENG_CAPEX'!$O$27</f>
        <v/>
      </c>
      <c r="P22" s="33">
        <f>'ENG_CAPEX'!$P$27</f>
        <v/>
      </c>
    </row>
    <row r="23">
      <c r="A23" s="15" t="inlineStr">
        <is>
          <t>مبنای بازپرداخت (مانده در آستانهٔ بازپرداخت)</t>
        </is>
      </c>
      <c r="B23" s="16" t="inlineStr">
        <is>
          <t>FCF.debt_base</t>
        </is>
      </c>
      <c r="C23" s="17" t="inlineStr">
        <is>
          <t>میلیون ریال</t>
        </is>
      </c>
      <c r="D23" s="33">
        <f>'IN_FIN'!$D$24*(INDEX('ENG_CAPEX'!$D$22:$P$22,1,'IN_FIN'!$D$28)+INDEX('ENG_CAPEX'!$D$28:$P$28,1,'IN_FIN'!$D$28))</f>
        <v/>
      </c>
      <c r="E23" s="33">
        <f>'IN_FIN'!$D$24*(INDEX('ENG_CAPEX'!$D$22:$P$22,1,'IN_FIN'!$D$28)+INDEX('ENG_CAPEX'!$D$28:$P$28,1,'IN_FIN'!$D$28))</f>
        <v/>
      </c>
      <c r="F23" s="33">
        <f>'IN_FIN'!$D$24*(INDEX('ENG_CAPEX'!$D$22:$P$22,1,'IN_FIN'!$D$28)+INDEX('ENG_CAPEX'!$D$28:$P$28,1,'IN_FIN'!$D$28))</f>
        <v/>
      </c>
      <c r="G23" s="33">
        <f>'IN_FIN'!$D$24*(INDEX('ENG_CAPEX'!$D$22:$P$22,1,'IN_FIN'!$D$28)+INDEX('ENG_CAPEX'!$D$28:$P$28,1,'IN_FIN'!$D$28))</f>
        <v/>
      </c>
      <c r="H23" s="33">
        <f>'IN_FIN'!$D$24*(INDEX('ENG_CAPEX'!$D$22:$P$22,1,'IN_FIN'!$D$28)+INDEX('ENG_CAPEX'!$D$28:$P$28,1,'IN_FIN'!$D$28))</f>
        <v/>
      </c>
      <c r="I23" s="33">
        <f>'IN_FIN'!$D$24*(INDEX('ENG_CAPEX'!$D$22:$P$22,1,'IN_FIN'!$D$28)+INDEX('ENG_CAPEX'!$D$28:$P$28,1,'IN_FIN'!$D$28))</f>
        <v/>
      </c>
      <c r="J23" s="33">
        <f>'IN_FIN'!$D$24*(INDEX('ENG_CAPEX'!$D$22:$P$22,1,'IN_FIN'!$D$28)+INDEX('ENG_CAPEX'!$D$28:$P$28,1,'IN_FIN'!$D$28))</f>
        <v/>
      </c>
      <c r="K23" s="33">
        <f>'IN_FIN'!$D$24*(INDEX('ENG_CAPEX'!$D$22:$P$22,1,'IN_FIN'!$D$28)+INDEX('ENG_CAPEX'!$D$28:$P$28,1,'IN_FIN'!$D$28))</f>
        <v/>
      </c>
      <c r="L23" s="33">
        <f>'IN_FIN'!$D$24*(INDEX('ENG_CAPEX'!$D$22:$P$22,1,'IN_FIN'!$D$28)+INDEX('ENG_CAPEX'!$D$28:$P$28,1,'IN_FIN'!$D$28))</f>
        <v/>
      </c>
      <c r="M23" s="33">
        <f>'IN_FIN'!$D$24*(INDEX('ENG_CAPEX'!$D$22:$P$22,1,'IN_FIN'!$D$28)+INDEX('ENG_CAPEX'!$D$28:$P$28,1,'IN_FIN'!$D$28))</f>
        <v/>
      </c>
      <c r="N23" s="33">
        <f>'IN_FIN'!$D$24*(INDEX('ENG_CAPEX'!$D$22:$P$22,1,'IN_FIN'!$D$28)+INDEX('ENG_CAPEX'!$D$28:$P$28,1,'IN_FIN'!$D$28))</f>
        <v/>
      </c>
      <c r="O23" s="33">
        <f>'IN_FIN'!$D$24*(INDEX('ENG_CAPEX'!$D$22:$P$22,1,'IN_FIN'!$D$28)+INDEX('ENG_CAPEX'!$D$28:$P$28,1,'IN_FIN'!$D$28))</f>
        <v/>
      </c>
      <c r="P23" s="33">
        <f>'IN_FIN'!$D$24*(INDEX('ENG_CAPEX'!$D$22:$P$22,1,'IN_FIN'!$D$28)+INDEX('ENG_CAPEX'!$D$28:$P$28,1,'IN_FIN'!$D$28))</f>
        <v/>
      </c>
    </row>
    <row r="24">
      <c r="A24" s="15" t="inlineStr">
        <is>
          <t>بازپرداخت اصل تسهیلات</t>
        </is>
      </c>
      <c r="B24" s="16" t="inlineStr">
        <is>
          <t>FCF.principal</t>
        </is>
      </c>
      <c r="C24" s="17" t="inlineStr">
        <is>
          <t>میلیون ریال</t>
        </is>
      </c>
      <c r="D24" s="33">
        <f>MIN(IF(AND('IN_MACRO'!$D$23&gt;='IN_FIN'!$D$28,'IN_MACRO'!$D$23&lt;='IN_FIN'!$D$28+'IN_FIN'!$D$29-1),IF('IN_FIN'!$D$30=1,'ENG_FCF'!$D$23/'IN_FIN'!$D$29,-PPMT(('IN_FIN'!$D$25+'ENG_SCEN'!$G$19),'IN_MACRO'!$D$23-'IN_FIN'!$D$28+1,'IN_FIN'!$D$29,'ENG_FCF'!$D$23)),0),'ENG_FCF'!$D$20+'ENG_FCF'!$D$21+'ENG_FCF'!$D$22)</f>
        <v/>
      </c>
      <c r="E24" s="33">
        <f>MIN(IF(AND('IN_MACRO'!$E$23&gt;='IN_FIN'!$D$28,'IN_MACRO'!$E$23&lt;='IN_FIN'!$D$28+'IN_FIN'!$D$29-1),IF('IN_FIN'!$D$30=1,'ENG_FCF'!$D$23/'IN_FIN'!$D$29,-PPMT(('IN_FIN'!$D$25+'ENG_SCEN'!$G$19),'IN_MACRO'!$E$23-'IN_FIN'!$D$28+1,'IN_FIN'!$D$29,'ENG_FCF'!$D$23)),0),'ENG_FCF'!$E$20+'ENG_FCF'!$E$21+'ENG_FCF'!$E$22)</f>
        <v/>
      </c>
      <c r="F24" s="33">
        <f>MIN(IF(AND('IN_MACRO'!$F$23&gt;='IN_FIN'!$D$28,'IN_MACRO'!$F$23&lt;='IN_FIN'!$D$28+'IN_FIN'!$D$29-1),IF('IN_FIN'!$D$30=1,'ENG_FCF'!$D$23/'IN_FIN'!$D$29,-PPMT(('IN_FIN'!$D$25+'ENG_SCEN'!$G$19),'IN_MACRO'!$F$23-'IN_FIN'!$D$28+1,'IN_FIN'!$D$29,'ENG_FCF'!$D$23)),0),'ENG_FCF'!$F$20+'ENG_FCF'!$F$21+'ENG_FCF'!$F$22)</f>
        <v/>
      </c>
      <c r="G24" s="33">
        <f>MIN(IF(AND('IN_MACRO'!$G$23&gt;='IN_FIN'!$D$28,'IN_MACRO'!$G$23&lt;='IN_FIN'!$D$28+'IN_FIN'!$D$29-1),IF('IN_FIN'!$D$30=1,'ENG_FCF'!$D$23/'IN_FIN'!$D$29,-PPMT(('IN_FIN'!$D$25+'ENG_SCEN'!$G$19),'IN_MACRO'!$G$23-'IN_FIN'!$D$28+1,'IN_FIN'!$D$29,'ENG_FCF'!$D$23)),0),'ENG_FCF'!$G$20+'ENG_FCF'!$G$21+'ENG_FCF'!$G$22)</f>
        <v/>
      </c>
      <c r="H24" s="33">
        <f>MIN(IF(AND('IN_MACRO'!$H$23&gt;='IN_FIN'!$D$28,'IN_MACRO'!$H$23&lt;='IN_FIN'!$D$28+'IN_FIN'!$D$29-1),IF('IN_FIN'!$D$30=1,'ENG_FCF'!$D$23/'IN_FIN'!$D$29,-PPMT(('IN_FIN'!$D$25+'ENG_SCEN'!$G$19),'IN_MACRO'!$H$23-'IN_FIN'!$D$28+1,'IN_FIN'!$D$29,'ENG_FCF'!$D$23)),0),'ENG_FCF'!$H$20+'ENG_FCF'!$H$21+'ENG_FCF'!$H$22)</f>
        <v/>
      </c>
      <c r="I24" s="33">
        <f>MIN(IF(AND('IN_MACRO'!$I$23&gt;='IN_FIN'!$D$28,'IN_MACRO'!$I$23&lt;='IN_FIN'!$D$28+'IN_FIN'!$D$29-1),IF('IN_FIN'!$D$30=1,'ENG_FCF'!$D$23/'IN_FIN'!$D$29,-PPMT(('IN_FIN'!$D$25+'ENG_SCEN'!$G$19),'IN_MACRO'!$I$23-'IN_FIN'!$D$28+1,'IN_FIN'!$D$29,'ENG_FCF'!$D$23)),0),'ENG_FCF'!$I$20+'ENG_FCF'!$I$21+'ENG_FCF'!$I$22)</f>
        <v/>
      </c>
      <c r="J24" s="33">
        <f>MIN(IF(AND('IN_MACRO'!$J$23&gt;='IN_FIN'!$D$28,'IN_MACRO'!$J$23&lt;='IN_FIN'!$D$28+'IN_FIN'!$D$29-1),IF('IN_FIN'!$D$30=1,'ENG_FCF'!$D$23/'IN_FIN'!$D$29,-PPMT(('IN_FIN'!$D$25+'ENG_SCEN'!$G$19),'IN_MACRO'!$J$23-'IN_FIN'!$D$28+1,'IN_FIN'!$D$29,'ENG_FCF'!$D$23)),0),'ENG_FCF'!$J$20+'ENG_FCF'!$J$21+'ENG_FCF'!$J$22)</f>
        <v/>
      </c>
      <c r="K24" s="33">
        <f>MIN(IF(AND('IN_MACRO'!$K$23&gt;='IN_FIN'!$D$28,'IN_MACRO'!$K$23&lt;='IN_FIN'!$D$28+'IN_FIN'!$D$29-1),IF('IN_FIN'!$D$30=1,'ENG_FCF'!$D$23/'IN_FIN'!$D$29,-PPMT(('IN_FIN'!$D$25+'ENG_SCEN'!$G$19),'IN_MACRO'!$K$23-'IN_FIN'!$D$28+1,'IN_FIN'!$D$29,'ENG_FCF'!$D$23)),0),'ENG_FCF'!$K$20+'ENG_FCF'!$K$21+'ENG_FCF'!$K$22)</f>
        <v/>
      </c>
      <c r="L24" s="33">
        <f>MIN(IF(AND('IN_MACRO'!$L$23&gt;='IN_FIN'!$D$28,'IN_MACRO'!$L$23&lt;='IN_FIN'!$D$28+'IN_FIN'!$D$29-1),IF('IN_FIN'!$D$30=1,'ENG_FCF'!$D$23/'IN_FIN'!$D$29,-PPMT(('IN_FIN'!$D$25+'ENG_SCEN'!$G$19),'IN_MACRO'!$L$23-'IN_FIN'!$D$28+1,'IN_FIN'!$D$29,'ENG_FCF'!$D$23)),0),'ENG_FCF'!$L$20+'ENG_FCF'!$L$21+'ENG_FCF'!$L$22)</f>
        <v/>
      </c>
      <c r="M24" s="33">
        <f>MIN(IF(AND('IN_MACRO'!$M$23&gt;='IN_FIN'!$D$28,'IN_MACRO'!$M$23&lt;='IN_FIN'!$D$28+'IN_FIN'!$D$29-1),IF('IN_FIN'!$D$30=1,'ENG_FCF'!$D$23/'IN_FIN'!$D$29,-PPMT(('IN_FIN'!$D$25+'ENG_SCEN'!$G$19),'IN_MACRO'!$M$23-'IN_FIN'!$D$28+1,'IN_FIN'!$D$29,'ENG_FCF'!$D$23)),0),'ENG_FCF'!$M$20+'ENG_FCF'!$M$21+'ENG_FCF'!$M$22)</f>
        <v/>
      </c>
      <c r="N24" s="33">
        <f>MIN(IF(AND('IN_MACRO'!$N$23&gt;='IN_FIN'!$D$28,'IN_MACRO'!$N$23&lt;='IN_FIN'!$D$28+'IN_FIN'!$D$29-1),IF('IN_FIN'!$D$30=1,'ENG_FCF'!$D$23/'IN_FIN'!$D$29,-PPMT(('IN_FIN'!$D$25+'ENG_SCEN'!$G$19),'IN_MACRO'!$N$23-'IN_FIN'!$D$28+1,'IN_FIN'!$D$29,'ENG_FCF'!$D$23)),0),'ENG_FCF'!$N$20+'ENG_FCF'!$N$21+'ENG_FCF'!$N$22)</f>
        <v/>
      </c>
      <c r="O24" s="33">
        <f>MIN(IF(AND('IN_MACRO'!$O$23&gt;='IN_FIN'!$D$28,'IN_MACRO'!$O$23&lt;='IN_FIN'!$D$28+'IN_FIN'!$D$29-1),IF('IN_FIN'!$D$30=1,'ENG_FCF'!$D$23/'IN_FIN'!$D$29,-PPMT(('IN_FIN'!$D$25+'ENG_SCEN'!$G$19),'IN_MACRO'!$O$23-'IN_FIN'!$D$28+1,'IN_FIN'!$D$29,'ENG_FCF'!$D$23)),0),'ENG_FCF'!$O$20+'ENG_FCF'!$O$21+'ENG_FCF'!$O$22)</f>
        <v/>
      </c>
      <c r="P24" s="33">
        <f>MIN(IF(AND('IN_MACRO'!$P$23&gt;='IN_FIN'!$D$28,'IN_MACRO'!$P$23&lt;='IN_FIN'!$D$28+'IN_FIN'!$D$29-1),IF('IN_FIN'!$D$30=1,'ENG_FCF'!$D$23/'IN_FIN'!$D$29,-PPMT(('IN_FIN'!$D$25+'ENG_SCEN'!$G$19),'IN_MACRO'!$P$23-'IN_FIN'!$D$28+1,'IN_FIN'!$D$29,'ENG_FCF'!$D$23)),0),'ENG_FCF'!$P$20+'ENG_FCF'!$P$21+'ENG_FCF'!$P$22)</f>
        <v/>
      </c>
    </row>
    <row r="25">
      <c r="A25" s="8" t="inlineStr">
        <is>
          <t>مانده تسهیلات - اختتامیه</t>
        </is>
      </c>
      <c r="B25" s="16" t="inlineStr">
        <is>
          <t>FCF.debt_close</t>
        </is>
      </c>
      <c r="C25" s="17" t="inlineStr">
        <is>
          <t>میلیون ریال</t>
        </is>
      </c>
      <c r="D25" s="33">
        <f>'ENG_FCF'!$D$20+'ENG_FCF'!$D$21+'ENG_FCF'!$D$22-'ENG_FCF'!$D$24</f>
        <v/>
      </c>
      <c r="E25" s="33">
        <f>'ENG_FCF'!$E$20+'ENG_FCF'!$E$21+'ENG_FCF'!$E$22-'ENG_FCF'!$E$24</f>
        <v/>
      </c>
      <c r="F25" s="33">
        <f>'ENG_FCF'!$F$20+'ENG_FCF'!$F$21+'ENG_FCF'!$F$22-'ENG_FCF'!$F$24</f>
        <v/>
      </c>
      <c r="G25" s="33">
        <f>'ENG_FCF'!$G$20+'ENG_FCF'!$G$21+'ENG_FCF'!$G$22-'ENG_FCF'!$G$24</f>
        <v/>
      </c>
      <c r="H25" s="33">
        <f>'ENG_FCF'!$H$20+'ENG_FCF'!$H$21+'ENG_FCF'!$H$22-'ENG_FCF'!$H$24</f>
        <v/>
      </c>
      <c r="I25" s="33">
        <f>'ENG_FCF'!$I$20+'ENG_FCF'!$I$21+'ENG_FCF'!$I$22-'ENG_FCF'!$I$24</f>
        <v/>
      </c>
      <c r="J25" s="33">
        <f>'ENG_FCF'!$J$20+'ENG_FCF'!$J$21+'ENG_FCF'!$J$22-'ENG_FCF'!$J$24</f>
        <v/>
      </c>
      <c r="K25" s="33">
        <f>'ENG_FCF'!$K$20+'ENG_FCF'!$K$21+'ENG_FCF'!$K$22-'ENG_FCF'!$K$24</f>
        <v/>
      </c>
      <c r="L25" s="33">
        <f>'ENG_FCF'!$L$20+'ENG_FCF'!$L$21+'ENG_FCF'!$L$22-'ENG_FCF'!$L$24</f>
        <v/>
      </c>
      <c r="M25" s="33">
        <f>'ENG_FCF'!$M$20+'ENG_FCF'!$M$21+'ENG_FCF'!$M$22-'ENG_FCF'!$M$24</f>
        <v/>
      </c>
      <c r="N25" s="33">
        <f>'ENG_FCF'!$N$20+'ENG_FCF'!$N$21+'ENG_FCF'!$N$22-'ENG_FCF'!$N$24</f>
        <v/>
      </c>
      <c r="O25" s="33">
        <f>'ENG_FCF'!$O$20+'ENG_FCF'!$O$21+'ENG_FCF'!$O$22-'ENG_FCF'!$O$24</f>
        <v/>
      </c>
      <c r="P25" s="33">
        <f>'ENG_FCF'!$P$20+'ENG_FCF'!$P$21+'ENG_FCF'!$P$22-'ENG_FCF'!$P$24</f>
        <v/>
      </c>
    </row>
    <row r="26">
      <c r="A26" s="15" t="inlineStr">
        <is>
          <t>هزینه سود تسهیلات بلندمدت</t>
        </is>
      </c>
      <c r="B26" s="16" t="inlineStr">
        <is>
          <t>FCF.int_lt</t>
        </is>
      </c>
      <c r="C26" s="17" t="inlineStr">
        <is>
          <t>میلیون ریال</t>
        </is>
      </c>
      <c r="D26" s="33">
        <f>IF('IN_MACRO'!$D$33=1,0,IF('IN_FIN'!$D$30=1,('IN_FIN'!$D$25+'ENG_SCEN'!$G$19)*'ENG_FCF'!$D$20,IF(AND('IN_MACRO'!$D$23&gt;='IN_FIN'!$D$28,'IN_MACRO'!$D$23&lt;='IN_FIN'!$D$28+'IN_FIN'!$D$29-1),-IPMT(('IN_FIN'!$D$25+'ENG_SCEN'!$G$19),'IN_MACRO'!$D$23-'IN_FIN'!$D$28+1,'IN_FIN'!$D$29,'ENG_FCF'!$D$23),('IN_FIN'!$D$25+'ENG_SCEN'!$G$19)*'ENG_FCF'!$D$20)))</f>
        <v/>
      </c>
      <c r="E26" s="33">
        <f>IF('IN_MACRO'!$E$33=1,0,IF('IN_FIN'!$D$30=1,('IN_FIN'!$D$25+'ENG_SCEN'!$G$19)*'ENG_FCF'!$E$20,IF(AND('IN_MACRO'!$E$23&gt;='IN_FIN'!$D$28,'IN_MACRO'!$E$23&lt;='IN_FIN'!$D$28+'IN_FIN'!$D$29-1),-IPMT(('IN_FIN'!$D$25+'ENG_SCEN'!$G$19),'IN_MACRO'!$E$23-'IN_FIN'!$D$28+1,'IN_FIN'!$D$29,'ENG_FCF'!$D$23),('IN_FIN'!$D$25+'ENG_SCEN'!$G$19)*'ENG_FCF'!$E$20)))</f>
        <v/>
      </c>
      <c r="F26" s="33">
        <f>IF('IN_MACRO'!$F$33=1,0,IF('IN_FIN'!$D$30=1,('IN_FIN'!$D$25+'ENG_SCEN'!$G$19)*'ENG_FCF'!$F$20,IF(AND('IN_MACRO'!$F$23&gt;='IN_FIN'!$D$28,'IN_MACRO'!$F$23&lt;='IN_FIN'!$D$28+'IN_FIN'!$D$29-1),-IPMT(('IN_FIN'!$D$25+'ENG_SCEN'!$G$19),'IN_MACRO'!$F$23-'IN_FIN'!$D$28+1,'IN_FIN'!$D$29,'ENG_FCF'!$D$23),('IN_FIN'!$D$25+'ENG_SCEN'!$G$19)*'ENG_FCF'!$F$20)))</f>
        <v/>
      </c>
      <c r="G26" s="33">
        <f>IF('IN_MACRO'!$G$33=1,0,IF('IN_FIN'!$D$30=1,('IN_FIN'!$D$25+'ENG_SCEN'!$G$19)*'ENG_FCF'!$G$20,IF(AND('IN_MACRO'!$G$23&gt;='IN_FIN'!$D$28,'IN_MACRO'!$G$23&lt;='IN_FIN'!$D$28+'IN_FIN'!$D$29-1),-IPMT(('IN_FIN'!$D$25+'ENG_SCEN'!$G$19),'IN_MACRO'!$G$23-'IN_FIN'!$D$28+1,'IN_FIN'!$D$29,'ENG_FCF'!$D$23),('IN_FIN'!$D$25+'ENG_SCEN'!$G$19)*'ENG_FCF'!$G$20)))</f>
        <v/>
      </c>
      <c r="H26" s="33">
        <f>IF('IN_MACRO'!$H$33=1,0,IF('IN_FIN'!$D$30=1,('IN_FIN'!$D$25+'ENG_SCEN'!$G$19)*'ENG_FCF'!$H$20,IF(AND('IN_MACRO'!$H$23&gt;='IN_FIN'!$D$28,'IN_MACRO'!$H$23&lt;='IN_FIN'!$D$28+'IN_FIN'!$D$29-1),-IPMT(('IN_FIN'!$D$25+'ENG_SCEN'!$G$19),'IN_MACRO'!$H$23-'IN_FIN'!$D$28+1,'IN_FIN'!$D$29,'ENG_FCF'!$D$23),('IN_FIN'!$D$25+'ENG_SCEN'!$G$19)*'ENG_FCF'!$H$20)))</f>
        <v/>
      </c>
      <c r="I26" s="33">
        <f>IF('IN_MACRO'!$I$33=1,0,IF('IN_FIN'!$D$30=1,('IN_FIN'!$D$25+'ENG_SCEN'!$G$19)*'ENG_FCF'!$I$20,IF(AND('IN_MACRO'!$I$23&gt;='IN_FIN'!$D$28,'IN_MACRO'!$I$23&lt;='IN_FIN'!$D$28+'IN_FIN'!$D$29-1),-IPMT(('IN_FIN'!$D$25+'ENG_SCEN'!$G$19),'IN_MACRO'!$I$23-'IN_FIN'!$D$28+1,'IN_FIN'!$D$29,'ENG_FCF'!$D$23),('IN_FIN'!$D$25+'ENG_SCEN'!$G$19)*'ENG_FCF'!$I$20)))</f>
        <v/>
      </c>
      <c r="J26" s="33">
        <f>IF('IN_MACRO'!$J$33=1,0,IF('IN_FIN'!$D$30=1,('IN_FIN'!$D$25+'ENG_SCEN'!$G$19)*'ENG_FCF'!$J$20,IF(AND('IN_MACRO'!$J$23&gt;='IN_FIN'!$D$28,'IN_MACRO'!$J$23&lt;='IN_FIN'!$D$28+'IN_FIN'!$D$29-1),-IPMT(('IN_FIN'!$D$25+'ENG_SCEN'!$G$19),'IN_MACRO'!$J$23-'IN_FIN'!$D$28+1,'IN_FIN'!$D$29,'ENG_FCF'!$D$23),('IN_FIN'!$D$25+'ENG_SCEN'!$G$19)*'ENG_FCF'!$J$20)))</f>
        <v/>
      </c>
      <c r="K26" s="33">
        <f>IF('IN_MACRO'!$K$33=1,0,IF('IN_FIN'!$D$30=1,('IN_FIN'!$D$25+'ENG_SCEN'!$G$19)*'ENG_FCF'!$K$20,IF(AND('IN_MACRO'!$K$23&gt;='IN_FIN'!$D$28,'IN_MACRO'!$K$23&lt;='IN_FIN'!$D$28+'IN_FIN'!$D$29-1),-IPMT(('IN_FIN'!$D$25+'ENG_SCEN'!$G$19),'IN_MACRO'!$K$23-'IN_FIN'!$D$28+1,'IN_FIN'!$D$29,'ENG_FCF'!$D$23),('IN_FIN'!$D$25+'ENG_SCEN'!$G$19)*'ENG_FCF'!$K$20)))</f>
        <v/>
      </c>
      <c r="L26" s="33">
        <f>IF('IN_MACRO'!$L$33=1,0,IF('IN_FIN'!$D$30=1,('IN_FIN'!$D$25+'ENG_SCEN'!$G$19)*'ENG_FCF'!$L$20,IF(AND('IN_MACRO'!$L$23&gt;='IN_FIN'!$D$28,'IN_MACRO'!$L$23&lt;='IN_FIN'!$D$28+'IN_FIN'!$D$29-1),-IPMT(('IN_FIN'!$D$25+'ENG_SCEN'!$G$19),'IN_MACRO'!$L$23-'IN_FIN'!$D$28+1,'IN_FIN'!$D$29,'ENG_FCF'!$D$23),('IN_FIN'!$D$25+'ENG_SCEN'!$G$19)*'ENG_FCF'!$L$20)))</f>
        <v/>
      </c>
      <c r="M26" s="33">
        <f>IF('IN_MACRO'!$M$33=1,0,IF('IN_FIN'!$D$30=1,('IN_FIN'!$D$25+'ENG_SCEN'!$G$19)*'ENG_FCF'!$M$20,IF(AND('IN_MACRO'!$M$23&gt;='IN_FIN'!$D$28,'IN_MACRO'!$M$23&lt;='IN_FIN'!$D$28+'IN_FIN'!$D$29-1),-IPMT(('IN_FIN'!$D$25+'ENG_SCEN'!$G$19),'IN_MACRO'!$M$23-'IN_FIN'!$D$28+1,'IN_FIN'!$D$29,'ENG_FCF'!$D$23),('IN_FIN'!$D$25+'ENG_SCEN'!$G$19)*'ENG_FCF'!$M$20)))</f>
        <v/>
      </c>
      <c r="N26" s="33">
        <f>IF('IN_MACRO'!$N$33=1,0,IF('IN_FIN'!$D$30=1,('IN_FIN'!$D$25+'ENG_SCEN'!$G$19)*'ENG_FCF'!$N$20,IF(AND('IN_MACRO'!$N$23&gt;='IN_FIN'!$D$28,'IN_MACRO'!$N$23&lt;='IN_FIN'!$D$28+'IN_FIN'!$D$29-1),-IPMT(('IN_FIN'!$D$25+'ENG_SCEN'!$G$19),'IN_MACRO'!$N$23-'IN_FIN'!$D$28+1,'IN_FIN'!$D$29,'ENG_FCF'!$D$23),('IN_FIN'!$D$25+'ENG_SCEN'!$G$19)*'ENG_FCF'!$N$20)))</f>
        <v/>
      </c>
      <c r="O26" s="33">
        <f>IF('IN_MACRO'!$O$33=1,0,IF('IN_FIN'!$D$30=1,('IN_FIN'!$D$25+'ENG_SCEN'!$G$19)*'ENG_FCF'!$O$20,IF(AND('IN_MACRO'!$O$23&gt;='IN_FIN'!$D$28,'IN_MACRO'!$O$23&lt;='IN_FIN'!$D$28+'IN_FIN'!$D$29-1),-IPMT(('IN_FIN'!$D$25+'ENG_SCEN'!$G$19),'IN_MACRO'!$O$23-'IN_FIN'!$D$28+1,'IN_FIN'!$D$29,'ENG_FCF'!$D$23),('IN_FIN'!$D$25+'ENG_SCEN'!$G$19)*'ENG_FCF'!$O$20)))</f>
        <v/>
      </c>
      <c r="P26" s="33">
        <f>IF('IN_MACRO'!$P$33=1,0,IF('IN_FIN'!$D$30=1,('IN_FIN'!$D$25+'ENG_SCEN'!$G$19)*'ENG_FCF'!$P$20,IF(AND('IN_MACRO'!$P$23&gt;='IN_FIN'!$D$28,'IN_MACRO'!$P$23&lt;='IN_FIN'!$D$28+'IN_FIN'!$D$29-1),-IPMT(('IN_FIN'!$D$25+'ENG_SCEN'!$G$19),'IN_MACRO'!$P$23-'IN_FIN'!$D$28+1,'IN_FIN'!$D$29,'ENG_FCF'!$D$23),('IN_FIN'!$D$25+'ENG_SCEN'!$G$19)*'ENG_FCF'!$P$20)))</f>
        <v/>
      </c>
    </row>
    <row r="27">
      <c r="A27" s="15" t="inlineStr">
        <is>
          <t>کارمزدها و هزینه‌های تأمین مالی</t>
        </is>
      </c>
      <c r="B27" s="16" t="inlineStr">
        <is>
          <t>FCF.fees</t>
        </is>
      </c>
      <c r="C27" s="17" t="inlineStr">
        <is>
          <t>میلیون ریال</t>
        </is>
      </c>
      <c r="D27" s="33">
        <f>'IN_FIN'!$D$26*'ENG_FCF'!$D$21+IF('IN_MACRO'!$D$23&lt;='IN_MACRO'!$D$13,'IN_FIN'!$D$27*'IN_FIN'!$D$24*MAX(0,SUM('ENG_CAPEX'!$D$21:$P$21)-'ENG_CAPEX'!$D$22),0)</f>
        <v/>
      </c>
      <c r="E27" s="33">
        <f>'IN_FIN'!$D$26*'ENG_FCF'!$E$21+IF('IN_MACRO'!$E$23&lt;='IN_MACRO'!$D$13,'IN_FIN'!$D$27*'IN_FIN'!$D$24*MAX(0,SUM('ENG_CAPEX'!$D$21:$P$21)-'ENG_CAPEX'!$E$22),0)</f>
        <v/>
      </c>
      <c r="F27" s="33">
        <f>'IN_FIN'!$D$26*'ENG_FCF'!$F$21+IF('IN_MACRO'!$F$23&lt;='IN_MACRO'!$D$13,'IN_FIN'!$D$27*'IN_FIN'!$D$24*MAX(0,SUM('ENG_CAPEX'!$D$21:$P$21)-'ENG_CAPEX'!$F$22),0)</f>
        <v/>
      </c>
      <c r="G27" s="33">
        <f>'IN_FIN'!$D$26*'ENG_FCF'!$G$21+IF('IN_MACRO'!$G$23&lt;='IN_MACRO'!$D$13,'IN_FIN'!$D$27*'IN_FIN'!$D$24*MAX(0,SUM('ENG_CAPEX'!$D$21:$P$21)-'ENG_CAPEX'!$G$22),0)</f>
        <v/>
      </c>
      <c r="H27" s="33">
        <f>'IN_FIN'!$D$26*'ENG_FCF'!$H$21+IF('IN_MACRO'!$H$23&lt;='IN_MACRO'!$D$13,'IN_FIN'!$D$27*'IN_FIN'!$D$24*MAX(0,SUM('ENG_CAPEX'!$D$21:$P$21)-'ENG_CAPEX'!$H$22),0)</f>
        <v/>
      </c>
      <c r="I27" s="33">
        <f>'IN_FIN'!$D$26*'ENG_FCF'!$I$21+IF('IN_MACRO'!$I$23&lt;='IN_MACRO'!$D$13,'IN_FIN'!$D$27*'IN_FIN'!$D$24*MAX(0,SUM('ENG_CAPEX'!$D$21:$P$21)-'ENG_CAPEX'!$I$22),0)</f>
        <v/>
      </c>
      <c r="J27" s="33">
        <f>'IN_FIN'!$D$26*'ENG_FCF'!$J$21+IF('IN_MACRO'!$J$23&lt;='IN_MACRO'!$D$13,'IN_FIN'!$D$27*'IN_FIN'!$D$24*MAX(0,SUM('ENG_CAPEX'!$D$21:$P$21)-'ENG_CAPEX'!$J$22),0)</f>
        <v/>
      </c>
      <c r="K27" s="33">
        <f>'IN_FIN'!$D$26*'ENG_FCF'!$K$21+IF('IN_MACRO'!$K$23&lt;='IN_MACRO'!$D$13,'IN_FIN'!$D$27*'IN_FIN'!$D$24*MAX(0,SUM('ENG_CAPEX'!$D$21:$P$21)-'ENG_CAPEX'!$K$22),0)</f>
        <v/>
      </c>
      <c r="L27" s="33">
        <f>'IN_FIN'!$D$26*'ENG_FCF'!$L$21+IF('IN_MACRO'!$L$23&lt;='IN_MACRO'!$D$13,'IN_FIN'!$D$27*'IN_FIN'!$D$24*MAX(0,SUM('ENG_CAPEX'!$D$21:$P$21)-'ENG_CAPEX'!$L$22),0)</f>
        <v/>
      </c>
      <c r="M27" s="33">
        <f>'IN_FIN'!$D$26*'ENG_FCF'!$M$21+IF('IN_MACRO'!$M$23&lt;='IN_MACRO'!$D$13,'IN_FIN'!$D$27*'IN_FIN'!$D$24*MAX(0,SUM('ENG_CAPEX'!$D$21:$P$21)-'ENG_CAPEX'!$M$22),0)</f>
        <v/>
      </c>
      <c r="N27" s="33">
        <f>'IN_FIN'!$D$26*'ENG_FCF'!$N$21+IF('IN_MACRO'!$N$23&lt;='IN_MACRO'!$D$13,'IN_FIN'!$D$27*'IN_FIN'!$D$24*MAX(0,SUM('ENG_CAPEX'!$D$21:$P$21)-'ENG_CAPEX'!$N$22),0)</f>
        <v/>
      </c>
      <c r="O27" s="33">
        <f>'IN_FIN'!$D$26*'ENG_FCF'!$O$21+IF('IN_MACRO'!$O$23&lt;='IN_MACRO'!$D$13,'IN_FIN'!$D$27*'IN_FIN'!$D$24*MAX(0,SUM('ENG_CAPEX'!$D$21:$P$21)-'ENG_CAPEX'!$O$22),0)</f>
        <v/>
      </c>
      <c r="P27" s="33">
        <f>'IN_FIN'!$D$26*'ENG_FCF'!$P$21+IF('IN_MACRO'!$P$23&lt;='IN_MACRO'!$D$13,'IN_FIN'!$D$27*'IN_FIN'!$D$24*MAX(0,SUM('ENG_CAPEX'!$D$21:$P$21)-'ENG_CAPEX'!$P$22),0)</f>
        <v/>
      </c>
    </row>
    <row r="28">
      <c r="A28" s="15" t="inlineStr">
        <is>
          <t>هزینه سود تسهیلات کوتاه‌مدت</t>
        </is>
      </c>
      <c r="B28" s="16" t="inlineStr">
        <is>
          <t>FCF.int_st</t>
        </is>
      </c>
      <c r="C28" s="17" t="inlineStr">
        <is>
          <t>میلیون ریال</t>
        </is>
      </c>
      <c r="D28" s="33">
        <f>'IN_FIN'!$D$31*'ENG_WC'!$D$20</f>
        <v/>
      </c>
      <c r="E28" s="33">
        <f>'IN_FIN'!$D$31*'ENG_WC'!$E$20</f>
        <v/>
      </c>
      <c r="F28" s="33">
        <f>'IN_FIN'!$D$31*'ENG_WC'!$F$20</f>
        <v/>
      </c>
      <c r="G28" s="33">
        <f>'IN_FIN'!$D$31*'ENG_WC'!$G$20</f>
        <v/>
      </c>
      <c r="H28" s="33">
        <f>'IN_FIN'!$D$31*'ENG_WC'!$H$20</f>
        <v/>
      </c>
      <c r="I28" s="33">
        <f>'IN_FIN'!$D$31*'ENG_WC'!$I$20</f>
        <v/>
      </c>
      <c r="J28" s="33">
        <f>'IN_FIN'!$D$31*'ENG_WC'!$J$20</f>
        <v/>
      </c>
      <c r="K28" s="33">
        <f>'IN_FIN'!$D$31*'ENG_WC'!$K$20</f>
        <v/>
      </c>
      <c r="L28" s="33">
        <f>'IN_FIN'!$D$31*'ENG_WC'!$L$20</f>
        <v/>
      </c>
      <c r="M28" s="33">
        <f>'IN_FIN'!$D$31*'ENG_WC'!$M$20</f>
        <v/>
      </c>
      <c r="N28" s="33">
        <f>'IN_FIN'!$D$31*'ENG_WC'!$N$20</f>
        <v/>
      </c>
      <c r="O28" s="33">
        <f>'IN_FIN'!$D$31*'ENG_WC'!$O$20</f>
        <v/>
      </c>
      <c r="P28" s="33">
        <f>'IN_FIN'!$D$31*'ENG_WC'!$P$20</f>
        <v/>
      </c>
    </row>
    <row r="29">
      <c r="A29" s="15" t="inlineStr">
        <is>
          <t>درآمد غیرعملیاتی (سود سپرده)</t>
        </is>
      </c>
      <c r="B29" s="16" t="inlineStr">
        <is>
          <t>FCF.int_inc</t>
        </is>
      </c>
      <c r="C29" s="17" t="inlineStr">
        <is>
          <t>میلیون ریال</t>
        </is>
      </c>
      <c r="D29" s="33">
        <f>'IN_FIN'!$D$34*'ENG_FCF'!$D$48</f>
        <v/>
      </c>
      <c r="E29" s="33">
        <f>'IN_FIN'!$D$34*'ENG_FCF'!$E$48</f>
        <v/>
      </c>
      <c r="F29" s="33">
        <f>'IN_FIN'!$D$34*'ENG_FCF'!$F$48</f>
        <v/>
      </c>
      <c r="G29" s="33">
        <f>'IN_FIN'!$D$34*'ENG_FCF'!$G$48</f>
        <v/>
      </c>
      <c r="H29" s="33">
        <f>'IN_FIN'!$D$34*'ENG_FCF'!$H$48</f>
        <v/>
      </c>
      <c r="I29" s="33">
        <f>'IN_FIN'!$D$34*'ENG_FCF'!$I$48</f>
        <v/>
      </c>
      <c r="J29" s="33">
        <f>'IN_FIN'!$D$34*'ENG_FCF'!$J$48</f>
        <v/>
      </c>
      <c r="K29" s="33">
        <f>'IN_FIN'!$D$34*'ENG_FCF'!$K$48</f>
        <v/>
      </c>
      <c r="L29" s="33">
        <f>'IN_FIN'!$D$34*'ENG_FCF'!$L$48</f>
        <v/>
      </c>
      <c r="M29" s="33">
        <f>'IN_FIN'!$D$34*'ENG_FCF'!$M$48</f>
        <v/>
      </c>
      <c r="N29" s="33">
        <f>'IN_FIN'!$D$34*'ENG_FCF'!$N$48</f>
        <v/>
      </c>
      <c r="O29" s="33">
        <f>'IN_FIN'!$D$34*'ENG_FCF'!$O$48</f>
        <v/>
      </c>
      <c r="P29" s="33">
        <f>'IN_FIN'!$D$34*'ENG_FCF'!$P$48</f>
        <v/>
      </c>
    </row>
    <row r="30">
      <c r="A30" s="8" t="inlineStr">
        <is>
          <t>سود قبل از مالیات (EBT)</t>
        </is>
      </c>
      <c r="B30" s="16" t="inlineStr">
        <is>
          <t>FCF.ebt</t>
        </is>
      </c>
      <c r="C30" s="17" t="inlineStr">
        <is>
          <t>میلیون ریال</t>
        </is>
      </c>
      <c r="D30" s="33">
        <f>'ENG_FCF'!$D$17-'ENG_FCF'!$D$26-'ENG_FCF'!$D$27-'ENG_FCF'!$D$28+'ENG_FCF'!$D$29</f>
        <v/>
      </c>
      <c r="E30" s="33">
        <f>'ENG_FCF'!$E$17-'ENG_FCF'!$E$26-'ENG_FCF'!$E$27-'ENG_FCF'!$E$28+'ENG_FCF'!$E$29</f>
        <v/>
      </c>
      <c r="F30" s="33">
        <f>'ENG_FCF'!$F$17-'ENG_FCF'!$F$26-'ENG_FCF'!$F$27-'ENG_FCF'!$F$28+'ENG_FCF'!$F$29</f>
        <v/>
      </c>
      <c r="G30" s="33">
        <f>'ENG_FCF'!$G$17-'ENG_FCF'!$G$26-'ENG_FCF'!$G$27-'ENG_FCF'!$G$28+'ENG_FCF'!$G$29</f>
        <v/>
      </c>
      <c r="H30" s="33">
        <f>'ENG_FCF'!$H$17-'ENG_FCF'!$H$26-'ENG_FCF'!$H$27-'ENG_FCF'!$H$28+'ENG_FCF'!$H$29</f>
        <v/>
      </c>
      <c r="I30" s="33">
        <f>'ENG_FCF'!$I$17-'ENG_FCF'!$I$26-'ENG_FCF'!$I$27-'ENG_FCF'!$I$28+'ENG_FCF'!$I$29</f>
        <v/>
      </c>
      <c r="J30" s="33">
        <f>'ENG_FCF'!$J$17-'ENG_FCF'!$J$26-'ENG_FCF'!$J$27-'ENG_FCF'!$J$28+'ENG_FCF'!$J$29</f>
        <v/>
      </c>
      <c r="K30" s="33">
        <f>'ENG_FCF'!$K$17-'ENG_FCF'!$K$26-'ENG_FCF'!$K$27-'ENG_FCF'!$K$28+'ENG_FCF'!$K$29</f>
        <v/>
      </c>
      <c r="L30" s="33">
        <f>'ENG_FCF'!$L$17-'ENG_FCF'!$L$26-'ENG_FCF'!$L$27-'ENG_FCF'!$L$28+'ENG_FCF'!$L$29</f>
        <v/>
      </c>
      <c r="M30" s="33">
        <f>'ENG_FCF'!$M$17-'ENG_FCF'!$M$26-'ENG_FCF'!$M$27-'ENG_FCF'!$M$28+'ENG_FCF'!$M$29</f>
        <v/>
      </c>
      <c r="N30" s="33">
        <f>'ENG_FCF'!$N$17-'ENG_FCF'!$N$26-'ENG_FCF'!$N$27-'ENG_FCF'!$N$28+'ENG_FCF'!$N$29</f>
        <v/>
      </c>
      <c r="O30" s="33">
        <f>'ENG_FCF'!$O$17-'ENG_FCF'!$O$26-'ENG_FCF'!$O$27-'ENG_FCF'!$O$28+'ENG_FCF'!$O$29</f>
        <v/>
      </c>
      <c r="P30" s="33">
        <f>'ENG_FCF'!$P$17-'ENG_FCF'!$P$26-'ENG_FCF'!$P$27-'ENG_FCF'!$P$28+'ENG_FCF'!$P$29</f>
        <v/>
      </c>
    </row>
    <row r="31">
      <c r="A31" s="15" t="inlineStr">
        <is>
          <t>مالیات بر درآمد</t>
        </is>
      </c>
      <c r="B31" s="16" t="inlineStr">
        <is>
          <t>FCF.tax</t>
        </is>
      </c>
      <c r="C31" s="17" t="inlineStr">
        <is>
          <t>میلیون ریال</t>
        </is>
      </c>
      <c r="D31" s="33">
        <f>MAX(0,'ENG_FCF'!$D$30)*'IN_MACRO'!$D$14</f>
        <v/>
      </c>
      <c r="E31" s="33">
        <f>MAX(0,'ENG_FCF'!$E$30)*'IN_MACRO'!$D$14</f>
        <v/>
      </c>
      <c r="F31" s="33">
        <f>MAX(0,'ENG_FCF'!$F$30)*'IN_MACRO'!$D$14</f>
        <v/>
      </c>
      <c r="G31" s="33">
        <f>MAX(0,'ENG_FCF'!$G$30)*'IN_MACRO'!$D$14</f>
        <v/>
      </c>
      <c r="H31" s="33">
        <f>MAX(0,'ENG_FCF'!$H$30)*'IN_MACRO'!$D$14</f>
        <v/>
      </c>
      <c r="I31" s="33">
        <f>MAX(0,'ENG_FCF'!$I$30)*'IN_MACRO'!$D$14</f>
        <v/>
      </c>
      <c r="J31" s="33">
        <f>MAX(0,'ENG_FCF'!$J$30)*'IN_MACRO'!$D$14</f>
        <v/>
      </c>
      <c r="K31" s="33">
        <f>MAX(0,'ENG_FCF'!$K$30)*'IN_MACRO'!$D$14</f>
        <v/>
      </c>
      <c r="L31" s="33">
        <f>MAX(0,'ENG_FCF'!$L$30)*'IN_MACRO'!$D$14</f>
        <v/>
      </c>
      <c r="M31" s="33">
        <f>MAX(0,'ENG_FCF'!$M$30)*'IN_MACRO'!$D$14</f>
        <v/>
      </c>
      <c r="N31" s="33">
        <f>MAX(0,'ENG_FCF'!$N$30)*'IN_MACRO'!$D$14</f>
        <v/>
      </c>
      <c r="O31" s="33">
        <f>MAX(0,'ENG_FCF'!$O$30)*'IN_MACRO'!$D$14</f>
        <v/>
      </c>
      <c r="P31" s="33">
        <f>MAX(0,'ENG_FCF'!$P$30)*'IN_MACRO'!$D$14</f>
        <v/>
      </c>
    </row>
    <row r="32">
      <c r="A32" s="8" t="inlineStr">
        <is>
          <t>سود خالص</t>
        </is>
      </c>
      <c r="B32" s="16" t="inlineStr">
        <is>
          <t>FCF.ni</t>
        </is>
      </c>
      <c r="C32" s="17" t="inlineStr">
        <is>
          <t>میلیون ریال</t>
        </is>
      </c>
      <c r="D32" s="33">
        <f>'ENG_FCF'!$D$30-'ENG_FCF'!$D$31</f>
        <v/>
      </c>
      <c r="E32" s="33">
        <f>'ENG_FCF'!$E$30-'ENG_FCF'!$E$31</f>
        <v/>
      </c>
      <c r="F32" s="33">
        <f>'ENG_FCF'!$F$30-'ENG_FCF'!$F$31</f>
        <v/>
      </c>
      <c r="G32" s="33">
        <f>'ENG_FCF'!$G$30-'ENG_FCF'!$G$31</f>
        <v/>
      </c>
      <c r="H32" s="33">
        <f>'ENG_FCF'!$H$30-'ENG_FCF'!$H$31</f>
        <v/>
      </c>
      <c r="I32" s="33">
        <f>'ENG_FCF'!$I$30-'ENG_FCF'!$I$31</f>
        <v/>
      </c>
      <c r="J32" s="33">
        <f>'ENG_FCF'!$J$30-'ENG_FCF'!$J$31</f>
        <v/>
      </c>
      <c r="K32" s="33">
        <f>'ENG_FCF'!$K$30-'ENG_FCF'!$K$31</f>
        <v/>
      </c>
      <c r="L32" s="33">
        <f>'ENG_FCF'!$L$30-'ENG_FCF'!$L$31</f>
        <v/>
      </c>
      <c r="M32" s="33">
        <f>'ENG_FCF'!$M$30-'ENG_FCF'!$M$31</f>
        <v/>
      </c>
      <c r="N32" s="33">
        <f>'ENG_FCF'!$N$30-'ENG_FCF'!$N$31</f>
        <v/>
      </c>
      <c r="O32" s="33">
        <f>'ENG_FCF'!$O$30-'ENG_FCF'!$O$31</f>
        <v/>
      </c>
      <c r="P32" s="33">
        <f>'ENG_FCF'!$P$30-'ENG_FCF'!$P$31</f>
        <v/>
      </c>
    </row>
    <row r="33"/>
    <row r="34">
      <c r="A34" s="4" t="inlineStr">
        <is>
          <t>ج) جریان‌های نقدی آزاد</t>
        </is>
      </c>
      <c r="B34" s="5" t="n"/>
      <c r="C34" s="5" t="n"/>
      <c r="D34" s="5" t="n"/>
      <c r="E34" s="5" t="n"/>
      <c r="F34" s="5" t="n"/>
      <c r="G34" s="5" t="n"/>
      <c r="H34" s="5" t="n"/>
      <c r="I34" s="5" t="n"/>
      <c r="J34" s="5" t="n"/>
      <c r="K34" s="5" t="n"/>
      <c r="L34" s="5" t="n"/>
      <c r="M34" s="5" t="n"/>
      <c r="N34" s="5" t="n"/>
      <c r="O34" s="5" t="n"/>
      <c r="P34" s="5" t="n"/>
      <c r="Q34" s="5" t="n"/>
    </row>
    <row r="35">
      <c r="A35" s="15" t="inlineStr">
        <is>
          <t>NOPAT</t>
        </is>
      </c>
      <c r="B35" s="16" t="inlineStr">
        <is>
          <t>FCF.nopat</t>
        </is>
      </c>
      <c r="C35" s="17" t="inlineStr">
        <is>
          <t>میلیون ریال</t>
        </is>
      </c>
      <c r="D35" s="33">
        <f>'ENG_COST'!$D$278</f>
        <v/>
      </c>
      <c r="E35" s="33">
        <f>'ENG_COST'!$E$278</f>
        <v/>
      </c>
      <c r="F35" s="33">
        <f>'ENG_COST'!$F$278</f>
        <v/>
      </c>
      <c r="G35" s="33">
        <f>'ENG_COST'!$G$278</f>
        <v/>
      </c>
      <c r="H35" s="33">
        <f>'ENG_COST'!$H$278</f>
        <v/>
      </c>
      <c r="I35" s="33">
        <f>'ENG_COST'!$I$278</f>
        <v/>
      </c>
      <c r="J35" s="33">
        <f>'ENG_COST'!$J$278</f>
        <v/>
      </c>
      <c r="K35" s="33">
        <f>'ENG_COST'!$K$278</f>
        <v/>
      </c>
      <c r="L35" s="33">
        <f>'ENG_COST'!$L$278</f>
        <v/>
      </c>
      <c r="M35" s="33">
        <f>'ENG_COST'!$M$278</f>
        <v/>
      </c>
      <c r="N35" s="33">
        <f>'ENG_COST'!$N$278</f>
        <v/>
      </c>
      <c r="O35" s="33">
        <f>'ENG_COST'!$O$278</f>
        <v/>
      </c>
      <c r="P35" s="33">
        <f>'ENG_COST'!$P$278</f>
        <v/>
      </c>
    </row>
    <row r="36">
      <c r="A36" s="15" t="inlineStr">
        <is>
          <t>جریان نقد عملیاتیِ عملیاتی (NOPAT + استهلاک)</t>
        </is>
      </c>
      <c r="B36" s="16" t="inlineStr">
        <is>
          <t>FCF.opcf</t>
        </is>
      </c>
      <c r="C36" s="17" t="inlineStr">
        <is>
          <t>میلیون ریال</t>
        </is>
      </c>
      <c r="D36" s="33">
        <f>'ENG_FCF'!$D$35+'ENG_FCF'!$D$16</f>
        <v/>
      </c>
      <c r="E36" s="33">
        <f>'ENG_FCF'!$E$35+'ENG_FCF'!$E$16</f>
        <v/>
      </c>
      <c r="F36" s="33">
        <f>'ENG_FCF'!$F$35+'ENG_FCF'!$F$16</f>
        <v/>
      </c>
      <c r="G36" s="33">
        <f>'ENG_FCF'!$G$35+'ENG_FCF'!$G$16</f>
        <v/>
      </c>
      <c r="H36" s="33">
        <f>'ENG_FCF'!$H$35+'ENG_FCF'!$H$16</f>
        <v/>
      </c>
      <c r="I36" s="33">
        <f>'ENG_FCF'!$I$35+'ENG_FCF'!$I$16</f>
        <v/>
      </c>
      <c r="J36" s="33">
        <f>'ENG_FCF'!$J$35+'ENG_FCF'!$J$16</f>
        <v/>
      </c>
      <c r="K36" s="33">
        <f>'ENG_FCF'!$K$35+'ENG_FCF'!$K$16</f>
        <v/>
      </c>
      <c r="L36" s="33">
        <f>'ENG_FCF'!$L$35+'ENG_FCF'!$L$16</f>
        <v/>
      </c>
      <c r="M36" s="33">
        <f>'ENG_FCF'!$M$35+'ENG_FCF'!$M$16</f>
        <v/>
      </c>
      <c r="N36" s="33">
        <f>'ENG_FCF'!$N$35+'ENG_FCF'!$N$16</f>
        <v/>
      </c>
      <c r="O36" s="33">
        <f>'ENG_FCF'!$O$35+'ENG_FCF'!$O$16</f>
        <v/>
      </c>
      <c r="P36" s="33">
        <f>'ENG_FCF'!$P$35+'ENG_FCF'!$P$16</f>
        <v/>
      </c>
    </row>
    <row r="37">
      <c r="A37" s="15" t="inlineStr">
        <is>
          <t>تغییرات سرمایه در گردش</t>
        </is>
      </c>
      <c r="B37" s="16" t="inlineStr">
        <is>
          <t>FCF.dwc</t>
        </is>
      </c>
      <c r="C37" s="17" t="inlineStr">
        <is>
          <t>میلیون ریال</t>
        </is>
      </c>
      <c r="D37" s="33">
        <f>'ENG_WC'!$D$19</f>
        <v/>
      </c>
      <c r="E37" s="33">
        <f>'ENG_WC'!$E$19</f>
        <v/>
      </c>
      <c r="F37" s="33">
        <f>'ENG_WC'!$F$19</f>
        <v/>
      </c>
      <c r="G37" s="33">
        <f>'ENG_WC'!$G$19</f>
        <v/>
      </c>
      <c r="H37" s="33">
        <f>'ENG_WC'!$H$19</f>
        <v/>
      </c>
      <c r="I37" s="33">
        <f>'ENG_WC'!$I$19</f>
        <v/>
      </c>
      <c r="J37" s="33">
        <f>'ENG_WC'!$J$19</f>
        <v/>
      </c>
      <c r="K37" s="33">
        <f>'ENG_WC'!$K$19</f>
        <v/>
      </c>
      <c r="L37" s="33">
        <f>'ENG_WC'!$L$19</f>
        <v/>
      </c>
      <c r="M37" s="33">
        <f>'ENG_WC'!$M$19</f>
        <v/>
      </c>
      <c r="N37" s="33">
        <f>'ENG_WC'!$N$19</f>
        <v/>
      </c>
      <c r="O37" s="33">
        <f>'ENG_WC'!$O$19</f>
        <v/>
      </c>
      <c r="P37" s="33">
        <f>'ENG_WC'!$P$19</f>
        <v/>
      </c>
    </row>
    <row r="38">
      <c r="A38" s="15" t="inlineStr">
        <is>
          <t>سرمایه‌گذاری ثابت و جایگزینی</t>
        </is>
      </c>
      <c r="B38" s="16" t="inlineStr">
        <is>
          <t>FCF.capex</t>
        </is>
      </c>
      <c r="C38" s="17" t="inlineStr">
        <is>
          <t>میلیون ریال</t>
        </is>
      </c>
      <c r="D38" s="33">
        <f>'ENG_CAPEX'!$D$21+'ENG_CAPEX'!$D$42</f>
        <v/>
      </c>
      <c r="E38" s="33">
        <f>'ENG_CAPEX'!$E$21+'ENG_CAPEX'!$E$42</f>
        <v/>
      </c>
      <c r="F38" s="33">
        <f>'ENG_CAPEX'!$F$21+'ENG_CAPEX'!$F$42</f>
        <v/>
      </c>
      <c r="G38" s="33">
        <f>'ENG_CAPEX'!$G$21+'ENG_CAPEX'!$G$42</f>
        <v/>
      </c>
      <c r="H38" s="33">
        <f>'ENG_CAPEX'!$H$21+'ENG_CAPEX'!$H$42</f>
        <v/>
      </c>
      <c r="I38" s="33">
        <f>'ENG_CAPEX'!$I$21+'ENG_CAPEX'!$I$42</f>
        <v/>
      </c>
      <c r="J38" s="33">
        <f>'ENG_CAPEX'!$J$21+'ENG_CAPEX'!$J$42</f>
        <v/>
      </c>
      <c r="K38" s="33">
        <f>'ENG_CAPEX'!$K$21+'ENG_CAPEX'!$K$42</f>
        <v/>
      </c>
      <c r="L38" s="33">
        <f>'ENG_CAPEX'!$L$21+'ENG_CAPEX'!$L$42</f>
        <v/>
      </c>
      <c r="M38" s="33">
        <f>'ENG_CAPEX'!$M$21+'ENG_CAPEX'!$M$42</f>
        <v/>
      </c>
      <c r="N38" s="33">
        <f>'ENG_CAPEX'!$N$21+'ENG_CAPEX'!$N$42</f>
        <v/>
      </c>
      <c r="O38" s="33">
        <f>'ENG_CAPEX'!$O$21+'ENG_CAPEX'!$O$42</f>
        <v/>
      </c>
      <c r="P38" s="33">
        <f>'ENG_CAPEX'!$P$21+'ENG_CAPEX'!$P$42</f>
        <v/>
      </c>
    </row>
    <row r="39">
      <c r="A39" s="8" t="inlineStr">
        <is>
          <t>جریان نقد آزاد پروژه (FCFF)</t>
        </is>
      </c>
      <c r="B39" s="16" t="inlineStr">
        <is>
          <t>FCF.fcff</t>
        </is>
      </c>
      <c r="C39" s="17" t="inlineStr">
        <is>
          <t>میلیون ریال</t>
        </is>
      </c>
      <c r="D39" s="33">
        <f>'ENG_FCF'!$D$36-'ENG_FCF'!$D$38-'ENG_FCF'!$D$37</f>
        <v/>
      </c>
      <c r="E39" s="33">
        <f>'ENG_FCF'!$E$36-'ENG_FCF'!$E$38-'ENG_FCF'!$E$37</f>
        <v/>
      </c>
      <c r="F39" s="33">
        <f>'ENG_FCF'!$F$36-'ENG_FCF'!$F$38-'ENG_FCF'!$F$37</f>
        <v/>
      </c>
      <c r="G39" s="33">
        <f>'ENG_FCF'!$G$36-'ENG_FCF'!$G$38-'ENG_FCF'!$G$37</f>
        <v/>
      </c>
      <c r="H39" s="33">
        <f>'ENG_FCF'!$H$36-'ENG_FCF'!$H$38-'ENG_FCF'!$H$37</f>
        <v/>
      </c>
      <c r="I39" s="33">
        <f>'ENG_FCF'!$I$36-'ENG_FCF'!$I$38-'ENG_FCF'!$I$37</f>
        <v/>
      </c>
      <c r="J39" s="33">
        <f>'ENG_FCF'!$J$36-'ENG_FCF'!$J$38-'ENG_FCF'!$J$37</f>
        <v/>
      </c>
      <c r="K39" s="33">
        <f>'ENG_FCF'!$K$36-'ENG_FCF'!$K$38-'ENG_FCF'!$K$37</f>
        <v/>
      </c>
      <c r="L39" s="33">
        <f>'ENG_FCF'!$L$36-'ENG_FCF'!$L$38-'ENG_FCF'!$L$37</f>
        <v/>
      </c>
      <c r="M39" s="33">
        <f>'ENG_FCF'!$M$36-'ENG_FCF'!$M$38-'ENG_FCF'!$M$37</f>
        <v/>
      </c>
      <c r="N39" s="33">
        <f>'ENG_FCF'!$N$36-'ENG_FCF'!$N$38-'ENG_FCF'!$N$37</f>
        <v/>
      </c>
      <c r="O39" s="33">
        <f>'ENG_FCF'!$O$36-'ENG_FCF'!$O$38-'ENG_FCF'!$O$37</f>
        <v/>
      </c>
      <c r="P39" s="33">
        <f>'ENG_FCF'!$P$36-'ENG_FCF'!$P$38-'ENG_FCF'!$P$37</f>
        <v/>
      </c>
    </row>
    <row r="40">
      <c r="A40" s="15" t="inlineStr">
        <is>
          <t>FCFF تجمعی</t>
        </is>
      </c>
      <c r="B40" s="16" t="inlineStr">
        <is>
          <t>FCF.fcff_cum</t>
        </is>
      </c>
      <c r="C40" s="17" t="inlineStr">
        <is>
          <t>میلیون ریال</t>
        </is>
      </c>
      <c r="D40" s="33">
        <f>'ENG_FCF'!$D$39</f>
        <v/>
      </c>
      <c r="E40" s="33">
        <f>'ENG_FCF'!$D$40+'ENG_FCF'!$E$39</f>
        <v/>
      </c>
      <c r="F40" s="33">
        <f>'ENG_FCF'!$E$40+'ENG_FCF'!$F$39</f>
        <v/>
      </c>
      <c r="G40" s="33">
        <f>'ENG_FCF'!$F$40+'ENG_FCF'!$G$39</f>
        <v/>
      </c>
      <c r="H40" s="33">
        <f>'ENG_FCF'!$G$40+'ENG_FCF'!$H$39</f>
        <v/>
      </c>
      <c r="I40" s="33">
        <f>'ENG_FCF'!$H$40+'ENG_FCF'!$I$39</f>
        <v/>
      </c>
      <c r="J40" s="33">
        <f>'ENG_FCF'!$I$40+'ENG_FCF'!$J$39</f>
        <v/>
      </c>
      <c r="K40" s="33">
        <f>'ENG_FCF'!$J$40+'ENG_FCF'!$K$39</f>
        <v/>
      </c>
      <c r="L40" s="33">
        <f>'ENG_FCF'!$K$40+'ENG_FCF'!$L$39</f>
        <v/>
      </c>
      <c r="M40" s="33">
        <f>'ENG_FCF'!$L$40+'ENG_FCF'!$M$39</f>
        <v/>
      </c>
      <c r="N40" s="33">
        <f>'ENG_FCF'!$M$40+'ENG_FCF'!$N$39</f>
        <v/>
      </c>
      <c r="O40" s="33">
        <f>'ENG_FCF'!$N$40+'ENG_FCF'!$O$39</f>
        <v/>
      </c>
      <c r="P40" s="33">
        <f>'ENG_FCF'!$O$40+'ENG_FCF'!$P$39</f>
        <v/>
      </c>
    </row>
    <row r="41">
      <c r="A41" s="15" t="inlineStr">
        <is>
          <t>FCFF تکرارپذیر (بدون CAPEX)</t>
        </is>
      </c>
      <c r="B41" s="16" t="inlineStr">
        <is>
          <t>FCF.fcff_rep</t>
        </is>
      </c>
      <c r="C41" s="17" t="inlineStr">
        <is>
          <t>میلیون ریال</t>
        </is>
      </c>
      <c r="D41" s="33">
        <f>'ENG_FCF'!$D$36-'ENG_FCF'!$D$37</f>
        <v/>
      </c>
      <c r="E41" s="33">
        <f>'ENG_FCF'!$E$36-'ENG_FCF'!$E$37</f>
        <v/>
      </c>
      <c r="F41" s="33">
        <f>'ENG_FCF'!$F$36-'ENG_FCF'!$F$37</f>
        <v/>
      </c>
      <c r="G41" s="33">
        <f>'ENG_FCF'!$G$36-'ENG_FCF'!$G$37</f>
        <v/>
      </c>
      <c r="H41" s="33">
        <f>'ENG_FCF'!$H$36-'ENG_FCF'!$H$37</f>
        <v/>
      </c>
      <c r="I41" s="33">
        <f>'ENG_FCF'!$I$36-'ENG_FCF'!$I$37</f>
        <v/>
      </c>
      <c r="J41" s="33">
        <f>'ENG_FCF'!$J$36-'ENG_FCF'!$J$37</f>
        <v/>
      </c>
      <c r="K41" s="33">
        <f>'ENG_FCF'!$K$36-'ENG_FCF'!$K$37</f>
        <v/>
      </c>
      <c r="L41" s="33">
        <f>'ENG_FCF'!$L$36-'ENG_FCF'!$L$37</f>
        <v/>
      </c>
      <c r="M41" s="33">
        <f>'ENG_FCF'!$M$36-'ENG_FCF'!$M$37</f>
        <v/>
      </c>
      <c r="N41" s="33">
        <f>'ENG_FCF'!$N$36-'ENG_FCF'!$N$37</f>
        <v/>
      </c>
      <c r="O41" s="33">
        <f>'ENG_FCF'!$O$36-'ENG_FCF'!$O$37</f>
        <v/>
      </c>
      <c r="P41" s="33">
        <f>'ENG_FCF'!$P$36-'ENG_FCF'!$P$37</f>
        <v/>
      </c>
    </row>
    <row r="42">
      <c r="A42" s="8" t="inlineStr">
        <is>
          <t>جریان نقد در دسترس خدمت دین (CFADS)</t>
        </is>
      </c>
      <c r="B42" s="16" t="inlineStr">
        <is>
          <t>FCF.cfads</t>
        </is>
      </c>
      <c r="C42" s="17" t="inlineStr">
        <is>
          <t>میلیون ریال</t>
        </is>
      </c>
      <c r="D42" s="33">
        <f>'ENG_FCF'!$D$15-'ENG_FCF'!$D$31-'ENG_FCF'!$D$37</f>
        <v/>
      </c>
      <c r="E42" s="33">
        <f>'ENG_FCF'!$E$15-'ENG_FCF'!$E$31-'ENG_FCF'!$E$37</f>
        <v/>
      </c>
      <c r="F42" s="33">
        <f>'ENG_FCF'!$F$15-'ENG_FCF'!$F$31-'ENG_FCF'!$F$37</f>
        <v/>
      </c>
      <c r="G42" s="33">
        <f>'ENG_FCF'!$G$15-'ENG_FCF'!$G$31-'ENG_FCF'!$G$37</f>
        <v/>
      </c>
      <c r="H42" s="33">
        <f>'ENG_FCF'!$H$15-'ENG_FCF'!$H$31-'ENG_FCF'!$H$37</f>
        <v/>
      </c>
      <c r="I42" s="33">
        <f>'ENG_FCF'!$I$15-'ENG_FCF'!$I$31-'ENG_FCF'!$I$37</f>
        <v/>
      </c>
      <c r="J42" s="33">
        <f>'ENG_FCF'!$J$15-'ENG_FCF'!$J$31-'ENG_FCF'!$J$37</f>
        <v/>
      </c>
      <c r="K42" s="33">
        <f>'ENG_FCF'!$K$15-'ENG_FCF'!$K$31-'ENG_FCF'!$K$37</f>
        <v/>
      </c>
      <c r="L42" s="33">
        <f>'ENG_FCF'!$L$15-'ENG_FCF'!$L$31-'ENG_FCF'!$L$37</f>
        <v/>
      </c>
      <c r="M42" s="33">
        <f>'ENG_FCF'!$M$15-'ENG_FCF'!$M$31-'ENG_FCF'!$M$37</f>
        <v/>
      </c>
      <c r="N42" s="33">
        <f>'ENG_FCF'!$N$15-'ENG_FCF'!$N$31-'ENG_FCF'!$N$37</f>
        <v/>
      </c>
      <c r="O42" s="33">
        <f>'ENG_FCF'!$O$15-'ENG_FCF'!$O$31-'ENG_FCF'!$O$37</f>
        <v/>
      </c>
      <c r="P42" s="33">
        <f>'ENG_FCF'!$P$15-'ENG_FCF'!$P$31-'ENG_FCF'!$P$37</f>
        <v/>
      </c>
    </row>
    <row r="43">
      <c r="A43" s="15" t="inlineStr">
        <is>
          <t>خدمت دین (اصل + سود + کارمزد + سود کوتاه‌مدت)</t>
        </is>
      </c>
      <c r="B43" s="16" t="inlineStr">
        <is>
          <t>FCF.debt_service</t>
        </is>
      </c>
      <c r="C43" s="17" t="inlineStr">
        <is>
          <t>میلیون ریال</t>
        </is>
      </c>
      <c r="D43" s="33">
        <f>'ENG_FCF'!$D$24+'ENG_FCF'!$D$26+'ENG_FCF'!$D$27+'ENG_FCF'!$D$28</f>
        <v/>
      </c>
      <c r="E43" s="33">
        <f>'ENG_FCF'!$E$24+'ENG_FCF'!$E$26+'ENG_FCF'!$E$27+'ENG_FCF'!$E$28</f>
        <v/>
      </c>
      <c r="F43" s="33">
        <f>'ENG_FCF'!$F$24+'ENG_FCF'!$F$26+'ENG_FCF'!$F$27+'ENG_FCF'!$F$28</f>
        <v/>
      </c>
      <c r="G43" s="33">
        <f>'ENG_FCF'!$G$24+'ENG_FCF'!$G$26+'ENG_FCF'!$G$27+'ENG_FCF'!$G$28</f>
        <v/>
      </c>
      <c r="H43" s="33">
        <f>'ENG_FCF'!$H$24+'ENG_FCF'!$H$26+'ENG_FCF'!$H$27+'ENG_FCF'!$H$28</f>
        <v/>
      </c>
      <c r="I43" s="33">
        <f>'ENG_FCF'!$I$24+'ENG_FCF'!$I$26+'ENG_FCF'!$I$27+'ENG_FCF'!$I$28</f>
        <v/>
      </c>
      <c r="J43" s="33">
        <f>'ENG_FCF'!$J$24+'ENG_FCF'!$J$26+'ENG_FCF'!$J$27+'ENG_FCF'!$J$28</f>
        <v/>
      </c>
      <c r="K43" s="33">
        <f>'ENG_FCF'!$K$24+'ENG_FCF'!$K$26+'ENG_FCF'!$K$27+'ENG_FCF'!$K$28</f>
        <v/>
      </c>
      <c r="L43" s="33">
        <f>'ENG_FCF'!$L$24+'ENG_FCF'!$L$26+'ENG_FCF'!$L$27+'ENG_FCF'!$L$28</f>
        <v/>
      </c>
      <c r="M43" s="33">
        <f>'ENG_FCF'!$M$24+'ENG_FCF'!$M$26+'ENG_FCF'!$M$27+'ENG_FCF'!$M$28</f>
        <v/>
      </c>
      <c r="N43" s="33">
        <f>'ENG_FCF'!$N$24+'ENG_FCF'!$N$26+'ENG_FCF'!$N$27+'ENG_FCF'!$N$28</f>
        <v/>
      </c>
      <c r="O43" s="33">
        <f>'ENG_FCF'!$O$24+'ENG_FCF'!$O$26+'ENG_FCF'!$O$27+'ENG_FCF'!$O$28</f>
        <v/>
      </c>
      <c r="P43" s="33">
        <f>'ENG_FCF'!$P$24+'ENG_FCF'!$P$26+'ENG_FCF'!$P$27+'ENG_FCF'!$P$28</f>
        <v/>
      </c>
    </row>
    <row r="44">
      <c r="A44" s="15" t="inlineStr">
        <is>
          <t>DSCR</t>
        </is>
      </c>
      <c r="B44" s="16" t="inlineStr">
        <is>
          <t>FCF.dscr</t>
        </is>
      </c>
      <c r="C44" s="17" t="inlineStr">
        <is>
          <t>ضریب</t>
        </is>
      </c>
      <c r="D44" s="35">
        <f>IFERROR('ENG_FCF'!$D$42/'ENG_FCF'!$D$43,"─")</f>
        <v/>
      </c>
      <c r="E44" s="35">
        <f>IFERROR('ENG_FCF'!$E$42/'ENG_FCF'!$E$43,"─")</f>
        <v/>
      </c>
      <c r="F44" s="35">
        <f>IFERROR('ENG_FCF'!$F$42/'ENG_FCF'!$F$43,"─")</f>
        <v/>
      </c>
      <c r="G44" s="35">
        <f>IFERROR('ENG_FCF'!$G$42/'ENG_FCF'!$G$43,"─")</f>
        <v/>
      </c>
      <c r="H44" s="35">
        <f>IFERROR('ENG_FCF'!$H$42/'ENG_FCF'!$H$43,"─")</f>
        <v/>
      </c>
      <c r="I44" s="35">
        <f>IFERROR('ENG_FCF'!$I$42/'ENG_FCF'!$I$43,"─")</f>
        <v/>
      </c>
      <c r="J44" s="35">
        <f>IFERROR('ENG_FCF'!$J$42/'ENG_FCF'!$J$43,"─")</f>
        <v/>
      </c>
      <c r="K44" s="35">
        <f>IFERROR('ENG_FCF'!$K$42/'ENG_FCF'!$K$43,"─")</f>
        <v/>
      </c>
      <c r="L44" s="35">
        <f>IFERROR('ENG_FCF'!$L$42/'ENG_FCF'!$L$43,"─")</f>
        <v/>
      </c>
      <c r="M44" s="35">
        <f>IFERROR('ENG_FCF'!$M$42/'ENG_FCF'!$M$43,"─")</f>
        <v/>
      </c>
      <c r="N44" s="35">
        <f>IFERROR('ENG_FCF'!$N$42/'ENG_FCF'!$N$43,"─")</f>
        <v/>
      </c>
      <c r="O44" s="35">
        <f>IFERROR('ENG_FCF'!$O$42/'ENG_FCF'!$O$43,"─")</f>
        <v/>
      </c>
      <c r="P44" s="35">
        <f>IFERROR('ENG_FCF'!$P$42/'ENG_FCF'!$P$43,"─")</f>
        <v/>
      </c>
    </row>
    <row r="45">
      <c r="A45" s="15" t="inlineStr">
        <is>
          <t>نسبت پوشش بهره (ICR)</t>
        </is>
      </c>
      <c r="B45" s="16" t="inlineStr">
        <is>
          <t>FCF.icr</t>
        </is>
      </c>
      <c r="C45" s="17" t="inlineStr">
        <is>
          <t>ضریب</t>
        </is>
      </c>
      <c r="D45" s="35">
        <f>IFERROR('ENG_FCF'!$D$17/'ENG_FCF'!$D$26,"─")</f>
        <v/>
      </c>
      <c r="E45" s="35">
        <f>IFERROR('ENG_FCF'!$E$17/'ENG_FCF'!$E$26,"─")</f>
        <v/>
      </c>
      <c r="F45" s="35">
        <f>IFERROR('ENG_FCF'!$F$17/'ENG_FCF'!$F$26,"─")</f>
        <v/>
      </c>
      <c r="G45" s="35">
        <f>IFERROR('ENG_FCF'!$G$17/'ENG_FCF'!$G$26,"─")</f>
        <v/>
      </c>
      <c r="H45" s="35">
        <f>IFERROR('ENG_FCF'!$H$17/'ENG_FCF'!$H$26,"─")</f>
        <v/>
      </c>
      <c r="I45" s="35">
        <f>IFERROR('ENG_FCF'!$I$17/'ENG_FCF'!$I$26,"─")</f>
        <v/>
      </c>
      <c r="J45" s="35">
        <f>IFERROR('ENG_FCF'!$J$17/'ENG_FCF'!$J$26,"─")</f>
        <v/>
      </c>
      <c r="K45" s="35">
        <f>IFERROR('ENG_FCF'!$K$17/'ENG_FCF'!$K$26,"─")</f>
        <v/>
      </c>
      <c r="L45" s="35">
        <f>IFERROR('ENG_FCF'!$L$17/'ENG_FCF'!$L$26,"─")</f>
        <v/>
      </c>
      <c r="M45" s="35">
        <f>IFERROR('ENG_FCF'!$M$17/'ENG_FCF'!$M$26,"─")</f>
        <v/>
      </c>
      <c r="N45" s="35">
        <f>IFERROR('ENG_FCF'!$N$17/'ENG_FCF'!$N$26,"─")</f>
        <v/>
      </c>
      <c r="O45" s="35">
        <f>IFERROR('ENG_FCF'!$O$17/'ENG_FCF'!$O$26,"─")</f>
        <v/>
      </c>
      <c r="P45" s="35">
        <f>IFERROR('ENG_FCF'!$P$17/'ENG_FCF'!$P$26,"─")</f>
        <v/>
      </c>
    </row>
    <row r="46"/>
    <row r="47">
      <c r="A47" s="4" t="inlineStr">
        <is>
          <t>د) جریان وجوه نقد، آورده نقدی و تقسیم سود</t>
        </is>
      </c>
      <c r="B47" s="5" t="n"/>
      <c r="C47" s="5" t="n"/>
      <c r="D47" s="5" t="n"/>
      <c r="E47" s="5" t="n"/>
      <c r="F47" s="5" t="n"/>
      <c r="G47" s="5" t="n"/>
      <c r="H47" s="5" t="n"/>
      <c r="I47" s="5" t="n"/>
      <c r="J47" s="5" t="n"/>
      <c r="K47" s="5" t="n"/>
      <c r="L47" s="5" t="n"/>
      <c r="M47" s="5" t="n"/>
      <c r="N47" s="5" t="n"/>
      <c r="O47" s="5" t="n"/>
      <c r="P47" s="5" t="n"/>
      <c r="Q47" s="5" t="n"/>
    </row>
    <row r="48">
      <c r="A48" s="15" t="inlineStr">
        <is>
          <t>نقد افتتاحیه</t>
        </is>
      </c>
      <c r="B48" s="16" t="inlineStr">
        <is>
          <t>FCF.cash_open</t>
        </is>
      </c>
      <c r="C48" s="17" t="inlineStr">
        <is>
          <t>میلیون ریال</t>
        </is>
      </c>
      <c r="D48" s="33">
        <f>0</f>
        <v/>
      </c>
      <c r="E48" s="33">
        <f>'ENG_FCF'!$D$56</f>
        <v/>
      </c>
      <c r="F48" s="33">
        <f>'ENG_FCF'!$E$56</f>
        <v/>
      </c>
      <c r="G48" s="33">
        <f>'ENG_FCF'!$F$56</f>
        <v/>
      </c>
      <c r="H48" s="33">
        <f>'ENG_FCF'!$G$56</f>
        <v/>
      </c>
      <c r="I48" s="33">
        <f>'ENG_FCF'!$H$56</f>
        <v/>
      </c>
      <c r="J48" s="33">
        <f>'ENG_FCF'!$I$56</f>
        <v/>
      </c>
      <c r="K48" s="33">
        <f>'ENG_FCF'!$J$56</f>
        <v/>
      </c>
      <c r="L48" s="33">
        <f>'ENG_FCF'!$K$56</f>
        <v/>
      </c>
      <c r="M48" s="33">
        <f>'ENG_FCF'!$L$56</f>
        <v/>
      </c>
      <c r="N48" s="33">
        <f>'ENG_FCF'!$M$56</f>
        <v/>
      </c>
      <c r="O48" s="33">
        <f>'ENG_FCF'!$N$56</f>
        <v/>
      </c>
      <c r="P48" s="33">
        <f>'ENG_FCF'!$O$56</f>
        <v/>
      </c>
    </row>
    <row r="49">
      <c r="A49" s="15" t="inlineStr">
        <is>
          <t>جریان نقد عملیاتی</t>
        </is>
      </c>
      <c r="B49" s="16" t="inlineStr">
        <is>
          <t>FCF.cfo</t>
        </is>
      </c>
      <c r="C49" s="17" t="inlineStr">
        <is>
          <t>میلیون ریال</t>
        </is>
      </c>
      <c r="D49" s="33">
        <f>'ENG_FCF'!$D$32+'ENG_FCF'!$D$16-'ENG_FCF'!$D$37</f>
        <v/>
      </c>
      <c r="E49" s="33">
        <f>'ENG_FCF'!$E$32+'ENG_FCF'!$E$16-'ENG_FCF'!$E$37</f>
        <v/>
      </c>
      <c r="F49" s="33">
        <f>'ENG_FCF'!$F$32+'ENG_FCF'!$F$16-'ENG_FCF'!$F$37</f>
        <v/>
      </c>
      <c r="G49" s="33">
        <f>'ENG_FCF'!$G$32+'ENG_FCF'!$G$16-'ENG_FCF'!$G$37</f>
        <v/>
      </c>
      <c r="H49" s="33">
        <f>'ENG_FCF'!$H$32+'ENG_FCF'!$H$16-'ENG_FCF'!$H$37</f>
        <v/>
      </c>
      <c r="I49" s="33">
        <f>'ENG_FCF'!$I$32+'ENG_FCF'!$I$16-'ENG_FCF'!$I$37</f>
        <v/>
      </c>
      <c r="J49" s="33">
        <f>'ENG_FCF'!$J$32+'ENG_FCF'!$J$16-'ENG_FCF'!$J$37</f>
        <v/>
      </c>
      <c r="K49" s="33">
        <f>'ENG_FCF'!$K$32+'ENG_FCF'!$K$16-'ENG_FCF'!$K$37</f>
        <v/>
      </c>
      <c r="L49" s="33">
        <f>'ENG_FCF'!$L$32+'ENG_FCF'!$L$16-'ENG_FCF'!$L$37</f>
        <v/>
      </c>
      <c r="M49" s="33">
        <f>'ENG_FCF'!$M$32+'ENG_FCF'!$M$16-'ENG_FCF'!$M$37</f>
        <v/>
      </c>
      <c r="N49" s="33">
        <f>'ENG_FCF'!$N$32+'ENG_FCF'!$N$16-'ENG_FCF'!$N$37</f>
        <v/>
      </c>
      <c r="O49" s="33">
        <f>'ENG_FCF'!$O$32+'ENG_FCF'!$O$16-'ENG_FCF'!$O$37</f>
        <v/>
      </c>
      <c r="P49" s="33">
        <f>'ENG_FCF'!$P$32+'ENG_FCF'!$P$16-'ENG_FCF'!$P$37</f>
        <v/>
      </c>
    </row>
    <row r="50">
      <c r="A50" s="15" t="inlineStr">
        <is>
          <t>جریان نقد سرمایه‌گذاری</t>
        </is>
      </c>
      <c r="B50" s="16" t="inlineStr">
        <is>
          <t>FCF.cfi</t>
        </is>
      </c>
      <c r="C50" s="17" t="inlineStr">
        <is>
          <t>میلیون ریال</t>
        </is>
      </c>
      <c r="D50" s="33">
        <f>-'ENG_FCF'!$D$38</f>
        <v/>
      </c>
      <c r="E50" s="33">
        <f>-'ENG_FCF'!$E$38</f>
        <v/>
      </c>
      <c r="F50" s="33">
        <f>-'ENG_FCF'!$F$38</f>
        <v/>
      </c>
      <c r="G50" s="33">
        <f>-'ENG_FCF'!$G$38</f>
        <v/>
      </c>
      <c r="H50" s="33">
        <f>-'ENG_FCF'!$H$38</f>
        <v/>
      </c>
      <c r="I50" s="33">
        <f>-'ENG_FCF'!$I$38</f>
        <v/>
      </c>
      <c r="J50" s="33">
        <f>-'ENG_FCF'!$J$38</f>
        <v/>
      </c>
      <c r="K50" s="33">
        <f>-'ENG_FCF'!$K$38</f>
        <v/>
      </c>
      <c r="L50" s="33">
        <f>-'ENG_FCF'!$L$38</f>
        <v/>
      </c>
      <c r="M50" s="33">
        <f>-'ENG_FCF'!$M$38</f>
        <v/>
      </c>
      <c r="N50" s="33">
        <f>-'ENG_FCF'!$N$38</f>
        <v/>
      </c>
      <c r="O50" s="33">
        <f>-'ENG_FCF'!$O$38</f>
        <v/>
      </c>
      <c r="P50" s="33">
        <f>-'ENG_FCF'!$P$38</f>
        <v/>
      </c>
    </row>
    <row r="51">
      <c r="A51" s="15" t="inlineStr">
        <is>
          <t>وجوه در دسترس پیش از تأمین مالی</t>
        </is>
      </c>
      <c r="B51" s="16" t="inlineStr">
        <is>
          <t>FCF.cash_pre</t>
        </is>
      </c>
      <c r="C51" s="17" t="inlineStr">
        <is>
          <t>میلیون ریال</t>
        </is>
      </c>
      <c r="D51" s="33">
        <f>'ENG_FCF'!$D$48+'ENG_FCF'!$D$49+'ENG_FCF'!$D$50+'ENG_FCF'!$D$21-'ENG_FCF'!$D$24+'ENG_WC'!$D$21</f>
        <v/>
      </c>
      <c r="E51" s="33">
        <f>'ENG_FCF'!$E$48+'ENG_FCF'!$E$49+'ENG_FCF'!$E$50+'ENG_FCF'!$E$21-'ENG_FCF'!$E$24+'ENG_WC'!$E$21</f>
        <v/>
      </c>
      <c r="F51" s="33">
        <f>'ENG_FCF'!$F$48+'ENG_FCF'!$F$49+'ENG_FCF'!$F$50+'ENG_FCF'!$F$21-'ENG_FCF'!$F$24+'ENG_WC'!$F$21</f>
        <v/>
      </c>
      <c r="G51" s="33">
        <f>'ENG_FCF'!$G$48+'ENG_FCF'!$G$49+'ENG_FCF'!$G$50+'ENG_FCF'!$G$21-'ENG_FCF'!$G$24+'ENG_WC'!$G$21</f>
        <v/>
      </c>
      <c r="H51" s="33">
        <f>'ENG_FCF'!$H$48+'ENG_FCF'!$H$49+'ENG_FCF'!$H$50+'ENG_FCF'!$H$21-'ENG_FCF'!$H$24+'ENG_WC'!$H$21</f>
        <v/>
      </c>
      <c r="I51" s="33">
        <f>'ENG_FCF'!$I$48+'ENG_FCF'!$I$49+'ENG_FCF'!$I$50+'ENG_FCF'!$I$21-'ENG_FCF'!$I$24+'ENG_WC'!$I$21</f>
        <v/>
      </c>
      <c r="J51" s="33">
        <f>'ENG_FCF'!$J$48+'ENG_FCF'!$J$49+'ENG_FCF'!$J$50+'ENG_FCF'!$J$21-'ENG_FCF'!$J$24+'ENG_WC'!$J$21</f>
        <v/>
      </c>
      <c r="K51" s="33">
        <f>'ENG_FCF'!$K$48+'ENG_FCF'!$K$49+'ENG_FCF'!$K$50+'ENG_FCF'!$K$21-'ENG_FCF'!$K$24+'ENG_WC'!$K$21</f>
        <v/>
      </c>
      <c r="L51" s="33">
        <f>'ENG_FCF'!$L$48+'ENG_FCF'!$L$49+'ENG_FCF'!$L$50+'ENG_FCF'!$L$21-'ENG_FCF'!$L$24+'ENG_WC'!$L$21</f>
        <v/>
      </c>
      <c r="M51" s="33">
        <f>'ENG_FCF'!$M$48+'ENG_FCF'!$M$49+'ENG_FCF'!$M$50+'ENG_FCF'!$M$21-'ENG_FCF'!$M$24+'ENG_WC'!$M$21</f>
        <v/>
      </c>
      <c r="N51" s="33">
        <f>'ENG_FCF'!$N$48+'ENG_FCF'!$N$49+'ENG_FCF'!$N$50+'ENG_FCF'!$N$21-'ENG_FCF'!$N$24+'ENG_WC'!$N$21</f>
        <v/>
      </c>
      <c r="O51" s="33">
        <f>'ENG_FCF'!$O$48+'ENG_FCF'!$O$49+'ENG_FCF'!$O$50+'ENG_FCF'!$O$21-'ENG_FCF'!$O$24+'ENG_WC'!$O$21</f>
        <v/>
      </c>
      <c r="P51" s="33">
        <f>'ENG_FCF'!$P$48+'ENG_FCF'!$P$49+'ENG_FCF'!$P$50+'ENG_FCF'!$P$21-'ENG_FCF'!$P$24+'ENG_WC'!$P$21</f>
        <v/>
      </c>
    </row>
    <row r="52">
      <c r="A52" s="15" t="inlineStr">
        <is>
          <t>سود تقسیمی</t>
        </is>
      </c>
      <c r="B52" s="16" t="inlineStr">
        <is>
          <t>FCF.div</t>
        </is>
      </c>
      <c r="C52" s="17" t="inlineStr">
        <is>
          <t>میلیون ریال</t>
        </is>
      </c>
      <c r="D52" s="33">
        <f>MIN('IN_FIN'!$D$33*MAX(0,'ENG_FCF'!$D$32),MAX(0,'ENG_FCF'!$D$51-'ENG_WC'!$D$29))</f>
        <v/>
      </c>
      <c r="E52" s="33">
        <f>MIN('IN_FIN'!$D$33*MAX(0,'ENG_FCF'!$E$32),MAX(0,'ENG_FCF'!$E$51-'ENG_WC'!$E$29))</f>
        <v/>
      </c>
      <c r="F52" s="33">
        <f>MIN('IN_FIN'!$D$33*MAX(0,'ENG_FCF'!$F$32),MAX(0,'ENG_FCF'!$F$51-'ENG_WC'!$F$29))</f>
        <v/>
      </c>
      <c r="G52" s="33">
        <f>MIN('IN_FIN'!$D$33*MAX(0,'ENG_FCF'!$G$32),MAX(0,'ENG_FCF'!$G$51-'ENG_WC'!$G$29))</f>
        <v/>
      </c>
      <c r="H52" s="33">
        <f>MIN('IN_FIN'!$D$33*MAX(0,'ENG_FCF'!$H$32),MAX(0,'ENG_FCF'!$H$51-'ENG_WC'!$H$29))</f>
        <v/>
      </c>
      <c r="I52" s="33">
        <f>MIN('IN_FIN'!$D$33*MAX(0,'ENG_FCF'!$I$32),MAX(0,'ENG_FCF'!$I$51-'ENG_WC'!$I$29))</f>
        <v/>
      </c>
      <c r="J52" s="33">
        <f>MIN('IN_FIN'!$D$33*MAX(0,'ENG_FCF'!$J$32),MAX(0,'ENG_FCF'!$J$51-'ENG_WC'!$J$29))</f>
        <v/>
      </c>
      <c r="K52" s="33">
        <f>MIN('IN_FIN'!$D$33*MAX(0,'ENG_FCF'!$K$32),MAX(0,'ENG_FCF'!$K$51-'ENG_WC'!$K$29))</f>
        <v/>
      </c>
      <c r="L52" s="33">
        <f>MIN('IN_FIN'!$D$33*MAX(0,'ENG_FCF'!$L$32),MAX(0,'ENG_FCF'!$L$51-'ENG_WC'!$L$29))</f>
        <v/>
      </c>
      <c r="M52" s="33">
        <f>MIN('IN_FIN'!$D$33*MAX(0,'ENG_FCF'!$M$32),MAX(0,'ENG_FCF'!$M$51-'ENG_WC'!$M$29))</f>
        <v/>
      </c>
      <c r="N52" s="33">
        <f>MIN('IN_FIN'!$D$33*MAX(0,'ENG_FCF'!$N$32),MAX(0,'ENG_FCF'!$N$51-'ENG_WC'!$N$29))</f>
        <v/>
      </c>
      <c r="O52" s="33">
        <f>MIN('IN_FIN'!$D$33*MAX(0,'ENG_FCF'!$O$32),MAX(0,'ENG_FCF'!$O$51-'ENG_WC'!$O$29))</f>
        <v/>
      </c>
      <c r="P52" s="33">
        <f>MIN('IN_FIN'!$D$33*MAX(0,'ENG_FCF'!$P$32),MAX(0,'ENG_FCF'!$P$51-'ENG_WC'!$P$29))</f>
        <v/>
      </c>
    </row>
    <row r="53">
      <c r="A53" s="15" t="inlineStr">
        <is>
          <t>آورده نقدی سهامداران (تأمین کسری نقد)</t>
        </is>
      </c>
      <c r="B53" s="16" t="inlineStr">
        <is>
          <t>FCF.equity_in</t>
        </is>
      </c>
      <c r="C53" s="17" t="inlineStr">
        <is>
          <t>میلیون ریال</t>
        </is>
      </c>
      <c r="D53" s="33">
        <f>MAX(0,'ENG_WC'!$D$29-('ENG_FCF'!$D$51-'ENG_FCF'!$D$52))</f>
        <v/>
      </c>
      <c r="E53" s="33">
        <f>MAX(0,'ENG_WC'!$E$29-('ENG_FCF'!$E$51-'ENG_FCF'!$E$52))</f>
        <v/>
      </c>
      <c r="F53" s="33">
        <f>MAX(0,'ENG_WC'!$F$29-('ENG_FCF'!$F$51-'ENG_FCF'!$F$52))</f>
        <v/>
      </c>
      <c r="G53" s="33">
        <f>MAX(0,'ENG_WC'!$G$29-('ENG_FCF'!$G$51-'ENG_FCF'!$G$52))</f>
        <v/>
      </c>
      <c r="H53" s="33">
        <f>MAX(0,'ENG_WC'!$H$29-('ENG_FCF'!$H$51-'ENG_FCF'!$H$52))</f>
        <v/>
      </c>
      <c r="I53" s="33">
        <f>MAX(0,'ENG_WC'!$I$29-('ENG_FCF'!$I$51-'ENG_FCF'!$I$52))</f>
        <v/>
      </c>
      <c r="J53" s="33">
        <f>MAX(0,'ENG_WC'!$J$29-('ENG_FCF'!$J$51-'ENG_FCF'!$J$52))</f>
        <v/>
      </c>
      <c r="K53" s="33">
        <f>MAX(0,'ENG_WC'!$K$29-('ENG_FCF'!$K$51-'ENG_FCF'!$K$52))</f>
        <v/>
      </c>
      <c r="L53" s="33">
        <f>MAX(0,'ENG_WC'!$L$29-('ENG_FCF'!$L$51-'ENG_FCF'!$L$52))</f>
        <v/>
      </c>
      <c r="M53" s="33">
        <f>MAX(0,'ENG_WC'!$M$29-('ENG_FCF'!$M$51-'ENG_FCF'!$M$52))</f>
        <v/>
      </c>
      <c r="N53" s="33">
        <f>MAX(0,'ENG_WC'!$N$29-('ENG_FCF'!$N$51-'ENG_FCF'!$N$52))</f>
        <v/>
      </c>
      <c r="O53" s="33">
        <f>MAX(0,'ENG_WC'!$O$29-('ENG_FCF'!$O$51-'ENG_FCF'!$O$52))</f>
        <v/>
      </c>
      <c r="P53" s="33">
        <f>MAX(0,'ENG_WC'!$P$29-('ENG_FCF'!$P$51-'ENG_FCF'!$P$52))</f>
        <v/>
      </c>
    </row>
    <row r="54">
      <c r="A54" s="15" t="inlineStr">
        <is>
          <t>جریان نقد تأمین مالی</t>
        </is>
      </c>
      <c r="B54" s="16" t="inlineStr">
        <is>
          <t>FCF.cff</t>
        </is>
      </c>
      <c r="C54" s="17" t="inlineStr">
        <is>
          <t>میلیون ریال</t>
        </is>
      </c>
      <c r="D54" s="33">
        <f>'ENG_FCF'!$D$21-'ENG_FCF'!$D$24+'ENG_WC'!$D$21+'ENG_FCF'!$D$53-'ENG_FCF'!$D$52</f>
        <v/>
      </c>
      <c r="E54" s="33">
        <f>'ENG_FCF'!$E$21-'ENG_FCF'!$E$24+'ENG_WC'!$E$21+'ENG_FCF'!$E$53-'ENG_FCF'!$E$52</f>
        <v/>
      </c>
      <c r="F54" s="33">
        <f>'ENG_FCF'!$F$21-'ENG_FCF'!$F$24+'ENG_WC'!$F$21+'ENG_FCF'!$F$53-'ENG_FCF'!$F$52</f>
        <v/>
      </c>
      <c r="G54" s="33">
        <f>'ENG_FCF'!$G$21-'ENG_FCF'!$G$24+'ENG_WC'!$G$21+'ENG_FCF'!$G$53-'ENG_FCF'!$G$52</f>
        <v/>
      </c>
      <c r="H54" s="33">
        <f>'ENG_FCF'!$H$21-'ENG_FCF'!$H$24+'ENG_WC'!$H$21+'ENG_FCF'!$H$53-'ENG_FCF'!$H$52</f>
        <v/>
      </c>
      <c r="I54" s="33">
        <f>'ENG_FCF'!$I$21-'ENG_FCF'!$I$24+'ENG_WC'!$I$21+'ENG_FCF'!$I$53-'ENG_FCF'!$I$52</f>
        <v/>
      </c>
      <c r="J54" s="33">
        <f>'ENG_FCF'!$J$21-'ENG_FCF'!$J$24+'ENG_WC'!$J$21+'ENG_FCF'!$J$53-'ENG_FCF'!$J$52</f>
        <v/>
      </c>
      <c r="K54" s="33">
        <f>'ENG_FCF'!$K$21-'ENG_FCF'!$K$24+'ENG_WC'!$K$21+'ENG_FCF'!$K$53-'ENG_FCF'!$K$52</f>
        <v/>
      </c>
      <c r="L54" s="33">
        <f>'ENG_FCF'!$L$21-'ENG_FCF'!$L$24+'ENG_WC'!$L$21+'ENG_FCF'!$L$53-'ENG_FCF'!$L$52</f>
        <v/>
      </c>
      <c r="M54" s="33">
        <f>'ENG_FCF'!$M$21-'ENG_FCF'!$M$24+'ENG_WC'!$M$21+'ENG_FCF'!$M$53-'ENG_FCF'!$M$52</f>
        <v/>
      </c>
      <c r="N54" s="33">
        <f>'ENG_FCF'!$N$21-'ENG_FCF'!$N$24+'ENG_WC'!$N$21+'ENG_FCF'!$N$53-'ENG_FCF'!$N$52</f>
        <v/>
      </c>
      <c r="O54" s="33">
        <f>'ENG_FCF'!$O$21-'ENG_FCF'!$O$24+'ENG_WC'!$O$21+'ENG_FCF'!$O$53-'ENG_FCF'!$O$52</f>
        <v/>
      </c>
      <c r="P54" s="33">
        <f>'ENG_FCF'!$P$21-'ENG_FCF'!$P$24+'ENG_WC'!$P$21+'ENG_FCF'!$P$53-'ENG_FCF'!$P$52</f>
        <v/>
      </c>
    </row>
    <row r="55">
      <c r="A55" s="15" t="inlineStr">
        <is>
          <t>تغییرات نقد</t>
        </is>
      </c>
      <c r="B55" s="16" t="inlineStr">
        <is>
          <t>FCF.dcash</t>
        </is>
      </c>
      <c r="C55" s="17" t="inlineStr">
        <is>
          <t>میلیون ریال</t>
        </is>
      </c>
      <c r="D55" s="33">
        <f>'ENG_FCF'!$D$49+'ENG_FCF'!$D$50+'ENG_FCF'!$D$54</f>
        <v/>
      </c>
      <c r="E55" s="33">
        <f>'ENG_FCF'!$E$49+'ENG_FCF'!$E$50+'ENG_FCF'!$E$54</f>
        <v/>
      </c>
      <c r="F55" s="33">
        <f>'ENG_FCF'!$F$49+'ENG_FCF'!$F$50+'ENG_FCF'!$F$54</f>
        <v/>
      </c>
      <c r="G55" s="33">
        <f>'ENG_FCF'!$G$49+'ENG_FCF'!$G$50+'ENG_FCF'!$G$54</f>
        <v/>
      </c>
      <c r="H55" s="33">
        <f>'ENG_FCF'!$H$49+'ENG_FCF'!$H$50+'ENG_FCF'!$H$54</f>
        <v/>
      </c>
      <c r="I55" s="33">
        <f>'ENG_FCF'!$I$49+'ENG_FCF'!$I$50+'ENG_FCF'!$I$54</f>
        <v/>
      </c>
      <c r="J55" s="33">
        <f>'ENG_FCF'!$J$49+'ENG_FCF'!$J$50+'ENG_FCF'!$J$54</f>
        <v/>
      </c>
      <c r="K55" s="33">
        <f>'ENG_FCF'!$K$49+'ENG_FCF'!$K$50+'ENG_FCF'!$K$54</f>
        <v/>
      </c>
      <c r="L55" s="33">
        <f>'ENG_FCF'!$L$49+'ENG_FCF'!$L$50+'ENG_FCF'!$L$54</f>
        <v/>
      </c>
      <c r="M55" s="33">
        <f>'ENG_FCF'!$M$49+'ENG_FCF'!$M$50+'ENG_FCF'!$M$54</f>
        <v/>
      </c>
      <c r="N55" s="33">
        <f>'ENG_FCF'!$N$49+'ENG_FCF'!$N$50+'ENG_FCF'!$N$54</f>
        <v/>
      </c>
      <c r="O55" s="33">
        <f>'ENG_FCF'!$O$49+'ENG_FCF'!$O$50+'ENG_FCF'!$O$54</f>
        <v/>
      </c>
      <c r="P55" s="33">
        <f>'ENG_FCF'!$P$49+'ENG_FCF'!$P$50+'ENG_FCF'!$P$54</f>
        <v/>
      </c>
    </row>
    <row r="56">
      <c r="A56" s="8" t="inlineStr">
        <is>
          <t>نقد اختتامیه</t>
        </is>
      </c>
      <c r="B56" s="16" t="inlineStr">
        <is>
          <t>FCF.cash</t>
        </is>
      </c>
      <c r="C56" s="17" t="inlineStr">
        <is>
          <t>میلیون ریال</t>
        </is>
      </c>
      <c r="D56" s="33">
        <f>'ENG_FCF'!$D$48+'ENG_FCF'!$D$55</f>
        <v/>
      </c>
      <c r="E56" s="33">
        <f>'ENG_FCF'!$E$48+'ENG_FCF'!$E$55</f>
        <v/>
      </c>
      <c r="F56" s="33">
        <f>'ENG_FCF'!$F$48+'ENG_FCF'!$F$55</f>
        <v/>
      </c>
      <c r="G56" s="33">
        <f>'ENG_FCF'!$G$48+'ENG_FCF'!$G$55</f>
        <v/>
      </c>
      <c r="H56" s="33">
        <f>'ENG_FCF'!$H$48+'ENG_FCF'!$H$55</f>
        <v/>
      </c>
      <c r="I56" s="33">
        <f>'ENG_FCF'!$I$48+'ENG_FCF'!$I$55</f>
        <v/>
      </c>
      <c r="J56" s="33">
        <f>'ENG_FCF'!$J$48+'ENG_FCF'!$J$55</f>
        <v/>
      </c>
      <c r="K56" s="33">
        <f>'ENG_FCF'!$K$48+'ENG_FCF'!$K$55</f>
        <v/>
      </c>
      <c r="L56" s="33">
        <f>'ENG_FCF'!$L$48+'ENG_FCF'!$L$55</f>
        <v/>
      </c>
      <c r="M56" s="33">
        <f>'ENG_FCF'!$M$48+'ENG_FCF'!$M$55</f>
        <v/>
      </c>
      <c r="N56" s="33">
        <f>'ENG_FCF'!$N$48+'ENG_FCF'!$N$55</f>
        <v/>
      </c>
      <c r="O56" s="33">
        <f>'ENG_FCF'!$O$48+'ENG_FCF'!$O$55</f>
        <v/>
      </c>
      <c r="P56" s="33">
        <f>'ENG_FCF'!$P$48+'ENG_FCF'!$P$55</f>
        <v/>
      </c>
    </row>
    <row r="57">
      <c r="A57" s="15" t="inlineStr">
        <is>
          <t>سرمایه پرداختی انباشته</t>
        </is>
      </c>
      <c r="B57" s="16" t="inlineStr">
        <is>
          <t>FCF.equity_cum</t>
        </is>
      </c>
      <c r="C57" s="17" t="inlineStr">
        <is>
          <t>میلیون ریال</t>
        </is>
      </c>
      <c r="D57" s="33">
        <f>'ENG_FCF'!$D$53</f>
        <v/>
      </c>
      <c r="E57" s="33">
        <f>'ENG_FCF'!$D$57+'ENG_FCF'!$E$53</f>
        <v/>
      </c>
      <c r="F57" s="33">
        <f>'ENG_FCF'!$E$57+'ENG_FCF'!$F$53</f>
        <v/>
      </c>
      <c r="G57" s="33">
        <f>'ENG_FCF'!$F$57+'ENG_FCF'!$G$53</f>
        <v/>
      </c>
      <c r="H57" s="33">
        <f>'ENG_FCF'!$G$57+'ENG_FCF'!$H$53</f>
        <v/>
      </c>
      <c r="I57" s="33">
        <f>'ENG_FCF'!$H$57+'ENG_FCF'!$I$53</f>
        <v/>
      </c>
      <c r="J57" s="33">
        <f>'ENG_FCF'!$I$57+'ENG_FCF'!$J$53</f>
        <v/>
      </c>
      <c r="K57" s="33">
        <f>'ENG_FCF'!$J$57+'ENG_FCF'!$K$53</f>
        <v/>
      </c>
      <c r="L57" s="33">
        <f>'ENG_FCF'!$K$57+'ENG_FCF'!$L$53</f>
        <v/>
      </c>
      <c r="M57" s="33">
        <f>'ENG_FCF'!$L$57+'ENG_FCF'!$M$53</f>
        <v/>
      </c>
      <c r="N57" s="33">
        <f>'ENG_FCF'!$M$57+'ENG_FCF'!$N$53</f>
        <v/>
      </c>
      <c r="O57" s="33">
        <f>'ENG_FCF'!$N$57+'ENG_FCF'!$O$53</f>
        <v/>
      </c>
      <c r="P57" s="33">
        <f>'ENG_FCF'!$O$57+'ENG_FCF'!$P$53</f>
        <v/>
      </c>
    </row>
    <row r="58">
      <c r="A58" s="15" t="inlineStr">
        <is>
          <t>سود انباشته</t>
        </is>
      </c>
      <c r="B58" s="16" t="inlineStr">
        <is>
          <t>FCF.re_cum</t>
        </is>
      </c>
      <c r="C58" s="17" t="inlineStr">
        <is>
          <t>میلیون ریال</t>
        </is>
      </c>
      <c r="D58" s="33">
        <f>'ENG_FCF'!$D$32-'ENG_FCF'!$D$52</f>
        <v/>
      </c>
      <c r="E58" s="33">
        <f>'ENG_FCF'!$D$58+'ENG_FCF'!$E$32-'ENG_FCF'!$E$52</f>
        <v/>
      </c>
      <c r="F58" s="33">
        <f>'ENG_FCF'!$E$58+'ENG_FCF'!$F$32-'ENG_FCF'!$F$52</f>
        <v/>
      </c>
      <c r="G58" s="33">
        <f>'ENG_FCF'!$F$58+'ENG_FCF'!$G$32-'ENG_FCF'!$G$52</f>
        <v/>
      </c>
      <c r="H58" s="33">
        <f>'ENG_FCF'!$G$58+'ENG_FCF'!$H$32-'ENG_FCF'!$H$52</f>
        <v/>
      </c>
      <c r="I58" s="33">
        <f>'ENG_FCF'!$H$58+'ENG_FCF'!$I$32-'ENG_FCF'!$I$52</f>
        <v/>
      </c>
      <c r="J58" s="33">
        <f>'ENG_FCF'!$I$58+'ENG_FCF'!$J$32-'ENG_FCF'!$J$52</f>
        <v/>
      </c>
      <c r="K58" s="33">
        <f>'ENG_FCF'!$J$58+'ENG_FCF'!$K$32-'ENG_FCF'!$K$52</f>
        <v/>
      </c>
      <c r="L58" s="33">
        <f>'ENG_FCF'!$K$58+'ENG_FCF'!$L$32-'ENG_FCF'!$L$52</f>
        <v/>
      </c>
      <c r="M58" s="33">
        <f>'ENG_FCF'!$L$58+'ENG_FCF'!$M$32-'ENG_FCF'!$M$52</f>
        <v/>
      </c>
      <c r="N58" s="33">
        <f>'ENG_FCF'!$M$58+'ENG_FCF'!$N$32-'ENG_FCF'!$N$52</f>
        <v/>
      </c>
      <c r="O58" s="33">
        <f>'ENG_FCF'!$N$58+'ENG_FCF'!$O$32-'ENG_FCF'!$O$52</f>
        <v/>
      </c>
      <c r="P58" s="33">
        <f>'ENG_FCF'!$O$58+'ENG_FCF'!$P$32-'ENG_FCF'!$P$52</f>
        <v/>
      </c>
    </row>
    <row r="59">
      <c r="A59" s="8" t="inlineStr">
        <is>
          <t>حقوق صاحبان سهام</t>
        </is>
      </c>
      <c r="B59" s="16" t="inlineStr">
        <is>
          <t>FCF.equity</t>
        </is>
      </c>
      <c r="C59" s="17" t="inlineStr">
        <is>
          <t>میلیون ریال</t>
        </is>
      </c>
      <c r="D59" s="33">
        <f>'ENG_FCF'!$D$57+'ENG_FCF'!$D$58</f>
        <v/>
      </c>
      <c r="E59" s="33">
        <f>'ENG_FCF'!$E$57+'ENG_FCF'!$E$58</f>
        <v/>
      </c>
      <c r="F59" s="33">
        <f>'ENG_FCF'!$F$57+'ENG_FCF'!$F$58</f>
        <v/>
      </c>
      <c r="G59" s="33">
        <f>'ENG_FCF'!$G$57+'ENG_FCF'!$G$58</f>
        <v/>
      </c>
      <c r="H59" s="33">
        <f>'ENG_FCF'!$H$57+'ENG_FCF'!$H$58</f>
        <v/>
      </c>
      <c r="I59" s="33">
        <f>'ENG_FCF'!$I$57+'ENG_FCF'!$I$58</f>
        <v/>
      </c>
      <c r="J59" s="33">
        <f>'ENG_FCF'!$J$57+'ENG_FCF'!$J$58</f>
        <v/>
      </c>
      <c r="K59" s="33">
        <f>'ENG_FCF'!$K$57+'ENG_FCF'!$K$58</f>
        <v/>
      </c>
      <c r="L59" s="33">
        <f>'ENG_FCF'!$L$57+'ENG_FCF'!$L$58</f>
        <v/>
      </c>
      <c r="M59" s="33">
        <f>'ENG_FCF'!$M$57+'ENG_FCF'!$M$58</f>
        <v/>
      </c>
      <c r="N59" s="33">
        <f>'ENG_FCF'!$N$57+'ENG_FCF'!$N$58</f>
        <v/>
      </c>
      <c r="O59" s="33">
        <f>'ENG_FCF'!$O$57+'ENG_FCF'!$O$58</f>
        <v/>
      </c>
      <c r="P59" s="33">
        <f>'ENG_FCF'!$P$57+'ENG_FCF'!$P$58</f>
        <v/>
      </c>
    </row>
    <row r="60">
      <c r="A60" s="15" t="inlineStr">
        <is>
          <t>جریان نقد آزاد سهامداران (FCFE)</t>
        </is>
      </c>
      <c r="B60" s="16" t="inlineStr">
        <is>
          <t>FCF.fcfe</t>
        </is>
      </c>
      <c r="C60" s="17" t="inlineStr">
        <is>
          <t>میلیون ریال</t>
        </is>
      </c>
      <c r="D60" s="33">
        <f>'ENG_FCF'!$D$32+'ENG_FCF'!$D$16-'ENG_FCF'!$D$38-'ENG_FCF'!$D$37+'ENG_FCF'!$D$21-'ENG_FCF'!$D$24+'ENG_WC'!$D$21</f>
        <v/>
      </c>
      <c r="E60" s="33">
        <f>'ENG_FCF'!$E$32+'ENG_FCF'!$E$16-'ENG_FCF'!$E$38-'ENG_FCF'!$E$37+'ENG_FCF'!$E$21-'ENG_FCF'!$E$24+'ENG_WC'!$E$21</f>
        <v/>
      </c>
      <c r="F60" s="33">
        <f>'ENG_FCF'!$F$32+'ENG_FCF'!$F$16-'ENG_FCF'!$F$38-'ENG_FCF'!$F$37+'ENG_FCF'!$F$21-'ENG_FCF'!$F$24+'ENG_WC'!$F$21</f>
        <v/>
      </c>
      <c r="G60" s="33">
        <f>'ENG_FCF'!$G$32+'ENG_FCF'!$G$16-'ENG_FCF'!$G$38-'ENG_FCF'!$G$37+'ENG_FCF'!$G$21-'ENG_FCF'!$G$24+'ENG_WC'!$G$21</f>
        <v/>
      </c>
      <c r="H60" s="33">
        <f>'ENG_FCF'!$H$32+'ENG_FCF'!$H$16-'ENG_FCF'!$H$38-'ENG_FCF'!$H$37+'ENG_FCF'!$H$21-'ENG_FCF'!$H$24+'ENG_WC'!$H$21</f>
        <v/>
      </c>
      <c r="I60" s="33">
        <f>'ENG_FCF'!$I$32+'ENG_FCF'!$I$16-'ENG_FCF'!$I$38-'ENG_FCF'!$I$37+'ENG_FCF'!$I$21-'ENG_FCF'!$I$24+'ENG_WC'!$I$21</f>
        <v/>
      </c>
      <c r="J60" s="33">
        <f>'ENG_FCF'!$J$32+'ENG_FCF'!$J$16-'ENG_FCF'!$J$38-'ENG_FCF'!$J$37+'ENG_FCF'!$J$21-'ENG_FCF'!$J$24+'ENG_WC'!$J$21</f>
        <v/>
      </c>
      <c r="K60" s="33">
        <f>'ENG_FCF'!$K$32+'ENG_FCF'!$K$16-'ENG_FCF'!$K$38-'ENG_FCF'!$K$37+'ENG_FCF'!$K$21-'ENG_FCF'!$K$24+'ENG_WC'!$K$21</f>
        <v/>
      </c>
      <c r="L60" s="33">
        <f>'ENG_FCF'!$L$32+'ENG_FCF'!$L$16-'ENG_FCF'!$L$38-'ENG_FCF'!$L$37+'ENG_FCF'!$L$21-'ENG_FCF'!$L$24+'ENG_WC'!$L$21</f>
        <v/>
      </c>
      <c r="M60" s="33">
        <f>'ENG_FCF'!$M$32+'ENG_FCF'!$M$16-'ENG_FCF'!$M$38-'ENG_FCF'!$M$37+'ENG_FCF'!$M$21-'ENG_FCF'!$M$24+'ENG_WC'!$M$21</f>
        <v/>
      </c>
      <c r="N60" s="33">
        <f>'ENG_FCF'!$N$32+'ENG_FCF'!$N$16-'ENG_FCF'!$N$38-'ENG_FCF'!$N$37+'ENG_FCF'!$N$21-'ENG_FCF'!$N$24+'ENG_WC'!$N$21</f>
        <v/>
      </c>
      <c r="O60" s="33">
        <f>'ENG_FCF'!$O$32+'ENG_FCF'!$O$16-'ENG_FCF'!$O$38-'ENG_FCF'!$O$37+'ENG_FCF'!$O$21-'ENG_FCF'!$O$24+'ENG_WC'!$O$21</f>
        <v/>
      </c>
      <c r="P60" s="33">
        <f>'ENG_FCF'!$P$32+'ENG_FCF'!$P$16-'ENG_FCF'!$P$38-'ENG_FCF'!$P$37+'ENG_FCF'!$P$21-'ENG_FCF'!$P$24+'ENG_WC'!$P$21</f>
        <v/>
      </c>
    </row>
    <row r="61"/>
    <row r="62">
      <c r="A62" s="4" t="inlineStr">
        <is>
          <t>ه‍) ترازنامهٔ پروژه</t>
        </is>
      </c>
      <c r="B62" s="5" t="n"/>
      <c r="C62" s="5" t="n"/>
      <c r="D62" s="5" t="n"/>
      <c r="E62" s="5" t="n"/>
      <c r="F62" s="5" t="n"/>
      <c r="G62" s="5" t="n"/>
      <c r="H62" s="5" t="n"/>
      <c r="I62" s="5" t="n"/>
      <c r="J62" s="5" t="n"/>
      <c r="K62" s="5" t="n"/>
      <c r="L62" s="5" t="n"/>
      <c r="M62" s="5" t="n"/>
      <c r="N62" s="5" t="n"/>
      <c r="O62" s="5" t="n"/>
      <c r="P62" s="5" t="n"/>
      <c r="Q62" s="5" t="n"/>
    </row>
    <row r="63">
      <c r="A63" s="15" t="inlineStr">
        <is>
          <t>دارایی‌های جاری (نقد + موجودی + دریافتنی)</t>
        </is>
      </c>
      <c r="B63" s="16" t="inlineStr">
        <is>
          <t>FCF.ca</t>
        </is>
      </c>
      <c r="C63" s="17" t="inlineStr">
        <is>
          <t>میلیون ریال</t>
        </is>
      </c>
      <c r="D63" s="33">
        <f>'ENG_FCF'!$D$56+'ENG_WC'!$D$14+'ENG_WC'!$D$15</f>
        <v/>
      </c>
      <c r="E63" s="33">
        <f>'ENG_FCF'!$E$56+'ENG_WC'!$E$14+'ENG_WC'!$E$15</f>
        <v/>
      </c>
      <c r="F63" s="33">
        <f>'ENG_FCF'!$F$56+'ENG_WC'!$F$14+'ENG_WC'!$F$15</f>
        <v/>
      </c>
      <c r="G63" s="33">
        <f>'ENG_FCF'!$G$56+'ENG_WC'!$G$14+'ENG_WC'!$G$15</f>
        <v/>
      </c>
      <c r="H63" s="33">
        <f>'ENG_FCF'!$H$56+'ENG_WC'!$H$14+'ENG_WC'!$H$15</f>
        <v/>
      </c>
      <c r="I63" s="33">
        <f>'ENG_FCF'!$I$56+'ENG_WC'!$I$14+'ENG_WC'!$I$15</f>
        <v/>
      </c>
      <c r="J63" s="33">
        <f>'ENG_FCF'!$J$56+'ENG_WC'!$J$14+'ENG_WC'!$J$15</f>
        <v/>
      </c>
      <c r="K63" s="33">
        <f>'ENG_FCF'!$K$56+'ENG_WC'!$K$14+'ENG_WC'!$K$15</f>
        <v/>
      </c>
      <c r="L63" s="33">
        <f>'ENG_FCF'!$L$56+'ENG_WC'!$L$14+'ENG_WC'!$L$15</f>
        <v/>
      </c>
      <c r="M63" s="33">
        <f>'ENG_FCF'!$M$56+'ENG_WC'!$M$14+'ENG_WC'!$M$15</f>
        <v/>
      </c>
      <c r="N63" s="33">
        <f>'ENG_FCF'!$N$56+'ENG_WC'!$N$14+'ENG_WC'!$N$15</f>
        <v/>
      </c>
      <c r="O63" s="33">
        <f>'ENG_FCF'!$O$56+'ENG_WC'!$O$14+'ENG_WC'!$O$15</f>
        <v/>
      </c>
      <c r="P63" s="33">
        <f>'ENG_FCF'!$P$56+'ENG_WC'!$P$14+'ENG_WC'!$P$15</f>
        <v/>
      </c>
    </row>
    <row r="64">
      <c r="A64" s="15" t="inlineStr">
        <is>
          <t>دارایی‌های ثابت خالص</t>
        </is>
      </c>
      <c r="B64" s="16" t="inlineStr">
        <is>
          <t>FCF.nfa</t>
        </is>
      </c>
      <c r="C64" s="17" t="inlineStr">
        <is>
          <t>میلیون ریال</t>
        </is>
      </c>
      <c r="D64" s="33">
        <f>'ENG_CAPEX'!$D$84</f>
        <v/>
      </c>
      <c r="E64" s="33">
        <f>'ENG_CAPEX'!$E$84</f>
        <v/>
      </c>
      <c r="F64" s="33">
        <f>'ENG_CAPEX'!$F$84</f>
        <v/>
      </c>
      <c r="G64" s="33">
        <f>'ENG_CAPEX'!$G$84</f>
        <v/>
      </c>
      <c r="H64" s="33">
        <f>'ENG_CAPEX'!$H$84</f>
        <v/>
      </c>
      <c r="I64" s="33">
        <f>'ENG_CAPEX'!$I$84</f>
        <v/>
      </c>
      <c r="J64" s="33">
        <f>'ENG_CAPEX'!$J$84</f>
        <v/>
      </c>
      <c r="K64" s="33">
        <f>'ENG_CAPEX'!$K$84</f>
        <v/>
      </c>
      <c r="L64" s="33">
        <f>'ENG_CAPEX'!$L$84</f>
        <v/>
      </c>
      <c r="M64" s="33">
        <f>'ENG_CAPEX'!$M$84</f>
        <v/>
      </c>
      <c r="N64" s="33">
        <f>'ENG_CAPEX'!$N$84</f>
        <v/>
      </c>
      <c r="O64" s="33">
        <f>'ENG_CAPEX'!$O$84</f>
        <v/>
      </c>
      <c r="P64" s="33">
        <f>'ENG_CAPEX'!$P$84</f>
        <v/>
      </c>
    </row>
    <row r="65">
      <c r="A65" s="8" t="inlineStr">
        <is>
          <t>جمع دارایی‌ها</t>
        </is>
      </c>
      <c r="B65" s="16" t="inlineStr">
        <is>
          <t>FCF.assets</t>
        </is>
      </c>
      <c r="C65" s="17" t="inlineStr">
        <is>
          <t>میلیون ریال</t>
        </is>
      </c>
      <c r="D65" s="33">
        <f>'ENG_FCF'!$D$63+'ENG_FCF'!$D$64</f>
        <v/>
      </c>
      <c r="E65" s="33">
        <f>'ENG_FCF'!$E$63+'ENG_FCF'!$E$64</f>
        <v/>
      </c>
      <c r="F65" s="33">
        <f>'ENG_FCF'!$F$63+'ENG_FCF'!$F$64</f>
        <v/>
      </c>
      <c r="G65" s="33">
        <f>'ENG_FCF'!$G$63+'ENG_FCF'!$G$64</f>
        <v/>
      </c>
      <c r="H65" s="33">
        <f>'ENG_FCF'!$H$63+'ENG_FCF'!$H$64</f>
        <v/>
      </c>
      <c r="I65" s="33">
        <f>'ENG_FCF'!$I$63+'ENG_FCF'!$I$64</f>
        <v/>
      </c>
      <c r="J65" s="33">
        <f>'ENG_FCF'!$J$63+'ENG_FCF'!$J$64</f>
        <v/>
      </c>
      <c r="K65" s="33">
        <f>'ENG_FCF'!$K$63+'ENG_FCF'!$K$64</f>
        <v/>
      </c>
      <c r="L65" s="33">
        <f>'ENG_FCF'!$L$63+'ENG_FCF'!$L$64</f>
        <v/>
      </c>
      <c r="M65" s="33">
        <f>'ENG_FCF'!$M$63+'ENG_FCF'!$M$64</f>
        <v/>
      </c>
      <c r="N65" s="33">
        <f>'ENG_FCF'!$N$63+'ENG_FCF'!$N$64</f>
        <v/>
      </c>
      <c r="O65" s="33">
        <f>'ENG_FCF'!$O$63+'ENG_FCF'!$O$64</f>
        <v/>
      </c>
      <c r="P65" s="33">
        <f>'ENG_FCF'!$P$63+'ENG_FCF'!$P$64</f>
        <v/>
      </c>
    </row>
    <row r="66">
      <c r="A66" s="15" t="inlineStr">
        <is>
          <t>بدهی‌های جاری (پرداختنی + مالیات + تسهیلات کوتاه‌مدت)</t>
        </is>
      </c>
      <c r="B66" s="16" t="inlineStr">
        <is>
          <t>FCF.cl</t>
        </is>
      </c>
      <c r="C66" s="17" t="inlineStr">
        <is>
          <t>میلیون ریال</t>
        </is>
      </c>
      <c r="D66" s="33">
        <f>'ENG_WC'!$D$16+'ENG_WC'!$D$17+'ENG_WC'!$D$20</f>
        <v/>
      </c>
      <c r="E66" s="33">
        <f>'ENG_WC'!$E$16+'ENG_WC'!$E$17+'ENG_WC'!$E$20</f>
        <v/>
      </c>
      <c r="F66" s="33">
        <f>'ENG_WC'!$F$16+'ENG_WC'!$F$17+'ENG_WC'!$F$20</f>
        <v/>
      </c>
      <c r="G66" s="33">
        <f>'ENG_WC'!$G$16+'ENG_WC'!$G$17+'ENG_WC'!$G$20</f>
        <v/>
      </c>
      <c r="H66" s="33">
        <f>'ENG_WC'!$H$16+'ENG_WC'!$H$17+'ENG_WC'!$H$20</f>
        <v/>
      </c>
      <c r="I66" s="33">
        <f>'ENG_WC'!$I$16+'ENG_WC'!$I$17+'ENG_WC'!$I$20</f>
        <v/>
      </c>
      <c r="J66" s="33">
        <f>'ENG_WC'!$J$16+'ENG_WC'!$J$17+'ENG_WC'!$J$20</f>
        <v/>
      </c>
      <c r="K66" s="33">
        <f>'ENG_WC'!$K$16+'ENG_WC'!$K$17+'ENG_WC'!$K$20</f>
        <v/>
      </c>
      <c r="L66" s="33">
        <f>'ENG_WC'!$L$16+'ENG_WC'!$L$17+'ENG_WC'!$L$20</f>
        <v/>
      </c>
      <c r="M66" s="33">
        <f>'ENG_WC'!$M$16+'ENG_WC'!$M$17+'ENG_WC'!$M$20</f>
        <v/>
      </c>
      <c r="N66" s="33">
        <f>'ENG_WC'!$N$16+'ENG_WC'!$N$17+'ENG_WC'!$N$20</f>
        <v/>
      </c>
      <c r="O66" s="33">
        <f>'ENG_WC'!$O$16+'ENG_WC'!$O$17+'ENG_WC'!$O$20</f>
        <v/>
      </c>
      <c r="P66" s="33">
        <f>'ENG_WC'!$P$16+'ENG_WC'!$P$17+'ENG_WC'!$P$20</f>
        <v/>
      </c>
    </row>
    <row r="67">
      <c r="A67" s="15" t="inlineStr">
        <is>
          <t>تسهیلات بلندمدت</t>
        </is>
      </c>
      <c r="B67" s="16" t="inlineStr">
        <is>
          <t>FCF.ltd</t>
        </is>
      </c>
      <c r="C67" s="17" t="inlineStr">
        <is>
          <t>میلیون ریال</t>
        </is>
      </c>
      <c r="D67" s="33">
        <f>'ENG_FCF'!$D$25</f>
        <v/>
      </c>
      <c r="E67" s="33">
        <f>'ENG_FCF'!$E$25</f>
        <v/>
      </c>
      <c r="F67" s="33">
        <f>'ENG_FCF'!$F$25</f>
        <v/>
      </c>
      <c r="G67" s="33">
        <f>'ENG_FCF'!$G$25</f>
        <v/>
      </c>
      <c r="H67" s="33">
        <f>'ENG_FCF'!$H$25</f>
        <v/>
      </c>
      <c r="I67" s="33">
        <f>'ENG_FCF'!$I$25</f>
        <v/>
      </c>
      <c r="J67" s="33">
        <f>'ENG_FCF'!$J$25</f>
        <v/>
      </c>
      <c r="K67" s="33">
        <f>'ENG_FCF'!$K$25</f>
        <v/>
      </c>
      <c r="L67" s="33">
        <f>'ENG_FCF'!$L$25</f>
        <v/>
      </c>
      <c r="M67" s="33">
        <f>'ENG_FCF'!$M$25</f>
        <v/>
      </c>
      <c r="N67" s="33">
        <f>'ENG_FCF'!$N$25</f>
        <v/>
      </c>
      <c r="O67" s="33">
        <f>'ENG_FCF'!$O$25</f>
        <v/>
      </c>
      <c r="P67" s="33">
        <f>'ENG_FCF'!$P$25</f>
        <v/>
      </c>
    </row>
    <row r="68">
      <c r="A68" s="8" t="inlineStr">
        <is>
          <t>جمع بدهی‌ها</t>
        </is>
      </c>
      <c r="B68" s="16" t="inlineStr">
        <is>
          <t>FCF.liab</t>
        </is>
      </c>
      <c r="C68" s="17" t="inlineStr">
        <is>
          <t>میلیون ریال</t>
        </is>
      </c>
      <c r="D68" s="33">
        <f>'ENG_FCF'!$D$66+'ENG_FCF'!$D$67</f>
        <v/>
      </c>
      <c r="E68" s="33">
        <f>'ENG_FCF'!$E$66+'ENG_FCF'!$E$67</f>
        <v/>
      </c>
      <c r="F68" s="33">
        <f>'ENG_FCF'!$F$66+'ENG_FCF'!$F$67</f>
        <v/>
      </c>
      <c r="G68" s="33">
        <f>'ENG_FCF'!$G$66+'ENG_FCF'!$G$67</f>
        <v/>
      </c>
      <c r="H68" s="33">
        <f>'ENG_FCF'!$H$66+'ENG_FCF'!$H$67</f>
        <v/>
      </c>
      <c r="I68" s="33">
        <f>'ENG_FCF'!$I$66+'ENG_FCF'!$I$67</f>
        <v/>
      </c>
      <c r="J68" s="33">
        <f>'ENG_FCF'!$J$66+'ENG_FCF'!$J$67</f>
        <v/>
      </c>
      <c r="K68" s="33">
        <f>'ENG_FCF'!$K$66+'ENG_FCF'!$K$67</f>
        <v/>
      </c>
      <c r="L68" s="33">
        <f>'ENG_FCF'!$L$66+'ENG_FCF'!$L$67</f>
        <v/>
      </c>
      <c r="M68" s="33">
        <f>'ENG_FCF'!$M$66+'ENG_FCF'!$M$67</f>
        <v/>
      </c>
      <c r="N68" s="33">
        <f>'ENG_FCF'!$N$66+'ENG_FCF'!$N$67</f>
        <v/>
      </c>
      <c r="O68" s="33">
        <f>'ENG_FCF'!$O$66+'ENG_FCF'!$O$67</f>
        <v/>
      </c>
      <c r="P68" s="33">
        <f>'ENG_FCF'!$P$66+'ENG_FCF'!$P$67</f>
        <v/>
      </c>
    </row>
    <row r="69">
      <c r="A69" s="8" t="inlineStr">
        <is>
          <t>حقوق صاحبان سهام</t>
        </is>
      </c>
      <c r="B69" s="16" t="inlineStr">
        <is>
          <t>FCF.eq_bs</t>
        </is>
      </c>
      <c r="C69" s="17" t="inlineStr">
        <is>
          <t>میلیون ریال</t>
        </is>
      </c>
      <c r="D69" s="33">
        <f>'ENG_FCF'!$D$59</f>
        <v/>
      </c>
      <c r="E69" s="33">
        <f>'ENG_FCF'!$E$59</f>
        <v/>
      </c>
      <c r="F69" s="33">
        <f>'ENG_FCF'!$F$59</f>
        <v/>
      </c>
      <c r="G69" s="33">
        <f>'ENG_FCF'!$G$59</f>
        <v/>
      </c>
      <c r="H69" s="33">
        <f>'ENG_FCF'!$H$59</f>
        <v/>
      </c>
      <c r="I69" s="33">
        <f>'ENG_FCF'!$I$59</f>
        <v/>
      </c>
      <c r="J69" s="33">
        <f>'ENG_FCF'!$J$59</f>
        <v/>
      </c>
      <c r="K69" s="33">
        <f>'ENG_FCF'!$K$59</f>
        <v/>
      </c>
      <c r="L69" s="33">
        <f>'ENG_FCF'!$L$59</f>
        <v/>
      </c>
      <c r="M69" s="33">
        <f>'ENG_FCF'!$M$59</f>
        <v/>
      </c>
      <c r="N69" s="33">
        <f>'ENG_FCF'!$N$59</f>
        <v/>
      </c>
      <c r="O69" s="33">
        <f>'ENG_FCF'!$O$59</f>
        <v/>
      </c>
      <c r="P69" s="33">
        <f>'ENG_FCF'!$P$59</f>
        <v/>
      </c>
    </row>
    <row r="70">
      <c r="A70" s="15" t="inlineStr">
        <is>
          <t>کنترل تراز (باید صفر باشد)</t>
        </is>
      </c>
      <c r="B70" s="16" t="inlineStr">
        <is>
          <t>FCF.bs_check</t>
        </is>
      </c>
      <c r="C70" s="17" t="inlineStr">
        <is>
          <t>میلیون ریال</t>
        </is>
      </c>
      <c r="D70" s="33">
        <f>'ENG_FCF'!$D$65-'ENG_FCF'!$D$68-'ENG_FCF'!$D$69</f>
        <v/>
      </c>
      <c r="E70" s="33">
        <f>'ENG_FCF'!$E$65-'ENG_FCF'!$E$68-'ENG_FCF'!$E$69</f>
        <v/>
      </c>
      <c r="F70" s="33">
        <f>'ENG_FCF'!$F$65-'ENG_FCF'!$F$68-'ENG_FCF'!$F$69</f>
        <v/>
      </c>
      <c r="G70" s="33">
        <f>'ENG_FCF'!$G$65-'ENG_FCF'!$G$68-'ENG_FCF'!$G$69</f>
        <v/>
      </c>
      <c r="H70" s="33">
        <f>'ENG_FCF'!$H$65-'ENG_FCF'!$H$68-'ENG_FCF'!$H$69</f>
        <v/>
      </c>
      <c r="I70" s="33">
        <f>'ENG_FCF'!$I$65-'ENG_FCF'!$I$68-'ENG_FCF'!$I$69</f>
        <v/>
      </c>
      <c r="J70" s="33">
        <f>'ENG_FCF'!$J$65-'ENG_FCF'!$J$68-'ENG_FCF'!$J$69</f>
        <v/>
      </c>
      <c r="K70" s="33">
        <f>'ENG_FCF'!$K$65-'ENG_FCF'!$K$68-'ENG_FCF'!$K$69</f>
        <v/>
      </c>
      <c r="L70" s="33">
        <f>'ENG_FCF'!$L$65-'ENG_FCF'!$L$68-'ENG_FCF'!$L$69</f>
        <v/>
      </c>
      <c r="M70" s="33">
        <f>'ENG_FCF'!$M$65-'ENG_FCF'!$M$68-'ENG_FCF'!$M$69</f>
        <v/>
      </c>
      <c r="N70" s="33">
        <f>'ENG_FCF'!$N$65-'ENG_FCF'!$N$68-'ENG_FCF'!$N$69</f>
        <v/>
      </c>
      <c r="O70" s="33">
        <f>'ENG_FCF'!$O$65-'ENG_FCF'!$O$68-'ENG_FCF'!$O$69</f>
        <v/>
      </c>
      <c r="P70" s="33">
        <f>'ENG_FCF'!$P$65-'ENG_FCF'!$P$68-'ENG_FCF'!$P$69</f>
        <v/>
      </c>
    </row>
  </sheetData>
  <pageMargins left="0.75" right="0.75" top="1" bottom="1" header="0.5" footer="0.5"/>
</worksheet>
</file>

<file path=xl/worksheets/sheet16.xml><?xml version="1.0" encoding="utf-8"?>
<worksheet xmlns="http://schemas.openxmlformats.org/spreadsheetml/2006/main">
  <sheetPr>
    <tabColor rgb="00A6A6A6"/>
    <outlinePr summaryBelow="1" summaryRight="1"/>
    <pageSetUpPr/>
  </sheetPr>
  <dimension ref="A1:Q34"/>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محاسبات DCF و ارزش‌گذاری</t>
        </is>
      </c>
      <c r="B1" s="2" t="inlineStr">
        <is>
          <t>موتور محاسبات</t>
        </is>
      </c>
    </row>
    <row r="2">
      <c r="A2" s="3" t="inlineStr">
        <is>
          <t>ساخت WACC، تنزیل FCFF، محاسبهٔ NPV، IRR، MIRR، دوره بازپرداشت و ارزش بنگاه.</t>
        </is>
      </c>
    </row>
    <row r="3"/>
    <row r="4"/>
    <row r="5"/>
    <row r="6"/>
    <row r="7">
      <c r="A7" s="11" t="inlineStr">
        <is>
          <t>دوره (t)</t>
        </is>
      </c>
      <c r="D7" s="12" t="n">
        <v>0</v>
      </c>
      <c r="E7" s="12" t="n">
        <v>1</v>
      </c>
      <c r="F7" s="12" t="n">
        <v>2</v>
      </c>
      <c r="G7" s="12" t="n">
        <v>3</v>
      </c>
      <c r="H7" s="12" t="n">
        <v>4</v>
      </c>
      <c r="I7" s="12" t="n">
        <v>5</v>
      </c>
      <c r="J7" s="12" t="n">
        <v>6</v>
      </c>
      <c r="K7" s="12" t="n">
        <v>7</v>
      </c>
      <c r="L7" s="12" t="n">
        <v>8</v>
      </c>
      <c r="M7" s="12" t="n">
        <v>9</v>
      </c>
      <c r="N7" s="12" t="n">
        <v>10</v>
      </c>
      <c r="O7" s="12" t="n">
        <v>11</v>
      </c>
      <c r="P7" s="12" t="n">
        <v>12</v>
      </c>
    </row>
    <row r="8">
      <c r="A8" s="13" t="inlineStr">
        <is>
          <t>سال تقویمی</t>
        </is>
      </c>
      <c r="D8" s="14" t="n">
        <v>2026</v>
      </c>
      <c r="E8" s="14" t="n">
        <v>2027</v>
      </c>
      <c r="F8" s="14" t="n">
        <v>2028</v>
      </c>
      <c r="G8" s="14" t="n">
        <v>2029</v>
      </c>
      <c r="H8" s="14" t="n">
        <v>2030</v>
      </c>
      <c r="I8" s="14" t="n">
        <v>2031</v>
      </c>
      <c r="J8" s="14" t="n">
        <v>2032</v>
      </c>
      <c r="K8" s="14" t="n">
        <v>2033</v>
      </c>
      <c r="L8" s="14" t="n">
        <v>2034</v>
      </c>
      <c r="M8" s="14" t="n">
        <v>2035</v>
      </c>
      <c r="N8" s="14" t="n">
        <v>2036</v>
      </c>
      <c r="O8" s="14" t="n">
        <v>2037</v>
      </c>
      <c r="P8" s="14" t="n">
        <v>2038</v>
      </c>
    </row>
    <row r="9">
      <c r="A9" s="4" t="inlineStr">
        <is>
          <t>الف) ساختار سرمایه و نرخ تنزیل</t>
        </is>
      </c>
      <c r="B9" s="5" t="n"/>
      <c r="C9" s="5" t="n"/>
      <c r="D9" s="5" t="n"/>
      <c r="E9" s="5" t="n"/>
      <c r="F9" s="5" t="n"/>
      <c r="G9" s="5" t="n"/>
      <c r="H9" s="5" t="n"/>
      <c r="I9" s="5" t="n"/>
      <c r="J9" s="5" t="n"/>
      <c r="K9" s="5" t="n"/>
      <c r="L9" s="5" t="n"/>
      <c r="M9" s="5" t="n"/>
      <c r="N9" s="5" t="n"/>
      <c r="O9" s="5" t="n"/>
      <c r="P9" s="5" t="n"/>
      <c r="Q9" s="5" t="n"/>
    </row>
    <row r="10">
      <c r="A10" s="15" t="inlineStr">
        <is>
          <t>بازده مورد انتظار سهامداران (Ke)</t>
        </is>
      </c>
      <c r="B10" s="16" t="inlineStr">
        <is>
          <t>DCF.ke</t>
        </is>
      </c>
      <c r="C10" s="17" t="inlineStr">
        <is>
          <t>درصد</t>
        </is>
      </c>
      <c r="D10" s="32">
        <f>'ENG_SCEN'!$D$26+'IN_MACRO'!$D$16*'IN_MACRO'!$D$15+'IN_MACRO'!$D$17</f>
        <v/>
      </c>
      <c r="E10" s="32">
        <f>'ENG_SCEN'!$E$26+'IN_MACRO'!$D$16*'IN_MACRO'!$D$15+'IN_MACRO'!$D$17</f>
        <v/>
      </c>
      <c r="F10" s="32">
        <f>'ENG_SCEN'!$F$26+'IN_MACRO'!$D$16*'IN_MACRO'!$D$15+'IN_MACRO'!$D$17</f>
        <v/>
      </c>
      <c r="G10" s="32">
        <f>'ENG_SCEN'!$G$26+'IN_MACRO'!$D$16*'IN_MACRO'!$D$15+'IN_MACRO'!$D$17</f>
        <v/>
      </c>
      <c r="H10" s="32">
        <f>'ENG_SCEN'!$H$26+'IN_MACRO'!$D$16*'IN_MACRO'!$D$15+'IN_MACRO'!$D$17</f>
        <v/>
      </c>
      <c r="I10" s="32">
        <f>'ENG_SCEN'!$I$26+'IN_MACRO'!$D$16*'IN_MACRO'!$D$15+'IN_MACRO'!$D$17</f>
        <v/>
      </c>
      <c r="J10" s="32">
        <f>'ENG_SCEN'!$J$26+'IN_MACRO'!$D$16*'IN_MACRO'!$D$15+'IN_MACRO'!$D$17</f>
        <v/>
      </c>
      <c r="K10" s="32">
        <f>'ENG_SCEN'!$K$26+'IN_MACRO'!$D$16*'IN_MACRO'!$D$15+'IN_MACRO'!$D$17</f>
        <v/>
      </c>
      <c r="L10" s="32">
        <f>'ENG_SCEN'!$L$26+'IN_MACRO'!$D$16*'IN_MACRO'!$D$15+'IN_MACRO'!$D$17</f>
        <v/>
      </c>
      <c r="M10" s="32">
        <f>'ENG_SCEN'!$M$26+'IN_MACRO'!$D$16*'IN_MACRO'!$D$15+'IN_MACRO'!$D$17</f>
        <v/>
      </c>
      <c r="N10" s="32">
        <f>'ENG_SCEN'!$N$26+'IN_MACRO'!$D$16*'IN_MACRO'!$D$15+'IN_MACRO'!$D$17</f>
        <v/>
      </c>
      <c r="O10" s="32">
        <f>'ENG_SCEN'!$O$26+'IN_MACRO'!$D$16*'IN_MACRO'!$D$15+'IN_MACRO'!$D$17</f>
        <v/>
      </c>
      <c r="P10" s="32">
        <f>'ENG_SCEN'!$P$26+'IN_MACRO'!$D$16*'IN_MACRO'!$D$15+'IN_MACRO'!$D$17</f>
        <v/>
      </c>
    </row>
    <row r="11">
      <c r="A11" s="15" t="inlineStr">
        <is>
          <t>هزینه بدهی پس از مالیات (Kd×(1−t))</t>
        </is>
      </c>
      <c r="B11" s="16" t="inlineStr">
        <is>
          <t>DCF.kd_at</t>
        </is>
      </c>
      <c r="C11" s="17" t="inlineStr">
        <is>
          <t>درصد</t>
        </is>
      </c>
      <c r="D11" s="32">
        <f>('IN_FIN'!$D$25+'ENG_SCEN'!$G$19)*(1-'IN_MACRO'!$D$14)</f>
        <v/>
      </c>
      <c r="E11" s="32">
        <f>('IN_FIN'!$D$25+'ENG_SCEN'!$G$19)*(1-'IN_MACRO'!$D$14)</f>
        <v/>
      </c>
      <c r="F11" s="32">
        <f>('IN_FIN'!$D$25+'ENG_SCEN'!$G$19)*(1-'IN_MACRO'!$D$14)</f>
        <v/>
      </c>
      <c r="G11" s="32">
        <f>('IN_FIN'!$D$25+'ENG_SCEN'!$G$19)*(1-'IN_MACRO'!$D$14)</f>
        <v/>
      </c>
      <c r="H11" s="32">
        <f>('IN_FIN'!$D$25+'ENG_SCEN'!$G$19)*(1-'IN_MACRO'!$D$14)</f>
        <v/>
      </c>
      <c r="I11" s="32">
        <f>('IN_FIN'!$D$25+'ENG_SCEN'!$G$19)*(1-'IN_MACRO'!$D$14)</f>
        <v/>
      </c>
      <c r="J11" s="32">
        <f>('IN_FIN'!$D$25+'ENG_SCEN'!$G$19)*(1-'IN_MACRO'!$D$14)</f>
        <v/>
      </c>
      <c r="K11" s="32">
        <f>('IN_FIN'!$D$25+'ENG_SCEN'!$G$19)*(1-'IN_MACRO'!$D$14)</f>
        <v/>
      </c>
      <c r="L11" s="32">
        <f>('IN_FIN'!$D$25+'ENG_SCEN'!$G$19)*(1-'IN_MACRO'!$D$14)</f>
        <v/>
      </c>
      <c r="M11" s="32">
        <f>('IN_FIN'!$D$25+'ENG_SCEN'!$G$19)*(1-'IN_MACRO'!$D$14)</f>
        <v/>
      </c>
      <c r="N11" s="32">
        <f>('IN_FIN'!$D$25+'ENG_SCEN'!$G$19)*(1-'IN_MACRO'!$D$14)</f>
        <v/>
      </c>
      <c r="O11" s="32">
        <f>('IN_FIN'!$D$25+'ENG_SCEN'!$G$19)*(1-'IN_MACRO'!$D$14)</f>
        <v/>
      </c>
      <c r="P11" s="32">
        <f>('IN_FIN'!$D$25+'ENG_SCEN'!$G$19)*(1-'IN_MACRO'!$D$14)</f>
        <v/>
      </c>
    </row>
    <row r="12">
      <c r="A12" s="15" t="inlineStr">
        <is>
          <t>وزن حقوق صاحبان سهام</t>
        </is>
      </c>
      <c r="B12" s="16" t="inlineStr">
        <is>
          <t>DCF.we</t>
        </is>
      </c>
      <c r="C12" s="17" t="inlineStr">
        <is>
          <t>درصد</t>
        </is>
      </c>
      <c r="D12" s="32">
        <f>1-'IN_FIN'!$D$24</f>
        <v/>
      </c>
      <c r="E12" s="32">
        <f>1-'IN_FIN'!$D$24</f>
        <v/>
      </c>
      <c r="F12" s="32">
        <f>1-'IN_FIN'!$D$24</f>
        <v/>
      </c>
      <c r="G12" s="32">
        <f>1-'IN_FIN'!$D$24</f>
        <v/>
      </c>
      <c r="H12" s="32">
        <f>1-'IN_FIN'!$D$24</f>
        <v/>
      </c>
      <c r="I12" s="32">
        <f>1-'IN_FIN'!$D$24</f>
        <v/>
      </c>
      <c r="J12" s="32">
        <f>1-'IN_FIN'!$D$24</f>
        <v/>
      </c>
      <c r="K12" s="32">
        <f>1-'IN_FIN'!$D$24</f>
        <v/>
      </c>
      <c r="L12" s="32">
        <f>1-'IN_FIN'!$D$24</f>
        <v/>
      </c>
      <c r="M12" s="32">
        <f>1-'IN_FIN'!$D$24</f>
        <v/>
      </c>
      <c r="N12" s="32">
        <f>1-'IN_FIN'!$D$24</f>
        <v/>
      </c>
      <c r="O12" s="32">
        <f>1-'IN_FIN'!$D$24</f>
        <v/>
      </c>
      <c r="P12" s="32">
        <f>1-'IN_FIN'!$D$24</f>
        <v/>
      </c>
    </row>
    <row r="13">
      <c r="A13" s="15" t="inlineStr">
        <is>
          <t>وزن بدهی</t>
        </is>
      </c>
      <c r="B13" s="16" t="inlineStr">
        <is>
          <t>DCF.wd</t>
        </is>
      </c>
      <c r="C13" s="17" t="inlineStr">
        <is>
          <t>درصد</t>
        </is>
      </c>
      <c r="D13" s="32">
        <f>'IN_FIN'!$D$24</f>
        <v/>
      </c>
      <c r="E13" s="32">
        <f>'IN_FIN'!$D$24</f>
        <v/>
      </c>
      <c r="F13" s="32">
        <f>'IN_FIN'!$D$24</f>
        <v/>
      </c>
      <c r="G13" s="32">
        <f>'IN_FIN'!$D$24</f>
        <v/>
      </c>
      <c r="H13" s="32">
        <f>'IN_FIN'!$D$24</f>
        <v/>
      </c>
      <c r="I13" s="32">
        <f>'IN_FIN'!$D$24</f>
        <v/>
      </c>
      <c r="J13" s="32">
        <f>'IN_FIN'!$D$24</f>
        <v/>
      </c>
      <c r="K13" s="32">
        <f>'IN_FIN'!$D$24</f>
        <v/>
      </c>
      <c r="L13" s="32">
        <f>'IN_FIN'!$D$24</f>
        <v/>
      </c>
      <c r="M13" s="32">
        <f>'IN_FIN'!$D$24</f>
        <v/>
      </c>
      <c r="N13" s="32">
        <f>'IN_FIN'!$D$24</f>
        <v/>
      </c>
      <c r="O13" s="32">
        <f>'IN_FIN'!$D$24</f>
        <v/>
      </c>
      <c r="P13" s="32">
        <f>'IN_FIN'!$D$24</f>
        <v/>
      </c>
    </row>
    <row r="14">
      <c r="A14" s="8" t="inlineStr">
        <is>
          <t>میانگین موزون هزینه سرمایه (WACC)</t>
        </is>
      </c>
      <c r="B14" s="16" t="inlineStr">
        <is>
          <t>DCF.wacc</t>
        </is>
      </c>
      <c r="C14" s="17" t="inlineStr">
        <is>
          <t>درصد</t>
        </is>
      </c>
      <c r="D14" s="32">
        <f>'ENG_DCF'!$D$12*'ENG_DCF'!$D$10+'ENG_DCF'!$D$13*'ENG_DCF'!$D$11+'ENG_SCEN'!$G$18</f>
        <v/>
      </c>
      <c r="E14" s="32">
        <f>'ENG_DCF'!$E$12*'ENG_DCF'!$E$10+'ENG_DCF'!$E$13*'ENG_DCF'!$E$11+'ENG_SCEN'!$G$18</f>
        <v/>
      </c>
      <c r="F14" s="32">
        <f>'ENG_DCF'!$F$12*'ENG_DCF'!$F$10+'ENG_DCF'!$F$13*'ENG_DCF'!$F$11+'ENG_SCEN'!$G$18</f>
        <v/>
      </c>
      <c r="G14" s="32">
        <f>'ENG_DCF'!$G$12*'ENG_DCF'!$G$10+'ENG_DCF'!$G$13*'ENG_DCF'!$G$11+'ENG_SCEN'!$G$18</f>
        <v/>
      </c>
      <c r="H14" s="32">
        <f>'ENG_DCF'!$H$12*'ENG_DCF'!$H$10+'ENG_DCF'!$H$13*'ENG_DCF'!$H$11+'ENG_SCEN'!$G$18</f>
        <v/>
      </c>
      <c r="I14" s="32">
        <f>'ENG_DCF'!$I$12*'ENG_DCF'!$I$10+'ENG_DCF'!$I$13*'ENG_DCF'!$I$11+'ENG_SCEN'!$G$18</f>
        <v/>
      </c>
      <c r="J14" s="32">
        <f>'ENG_DCF'!$J$12*'ENG_DCF'!$J$10+'ENG_DCF'!$J$13*'ENG_DCF'!$J$11+'ENG_SCEN'!$G$18</f>
        <v/>
      </c>
      <c r="K14" s="32">
        <f>'ENG_DCF'!$K$12*'ENG_DCF'!$K$10+'ENG_DCF'!$K$13*'ENG_DCF'!$K$11+'ENG_SCEN'!$G$18</f>
        <v/>
      </c>
      <c r="L14" s="32">
        <f>'ENG_DCF'!$L$12*'ENG_DCF'!$L$10+'ENG_DCF'!$L$13*'ENG_DCF'!$L$11+'ENG_SCEN'!$G$18</f>
        <v/>
      </c>
      <c r="M14" s="32">
        <f>'ENG_DCF'!$M$12*'ENG_DCF'!$M$10+'ENG_DCF'!$M$13*'ENG_DCF'!$M$11+'ENG_SCEN'!$G$18</f>
        <v/>
      </c>
      <c r="N14" s="32">
        <f>'ENG_DCF'!$N$12*'ENG_DCF'!$N$10+'ENG_DCF'!$N$13*'ENG_DCF'!$N$11+'ENG_SCEN'!$G$18</f>
        <v/>
      </c>
      <c r="O14" s="32">
        <f>'ENG_DCF'!$O$12*'ENG_DCF'!$O$10+'ENG_DCF'!$O$13*'ENG_DCF'!$O$11+'ENG_SCEN'!$G$18</f>
        <v/>
      </c>
      <c r="P14" s="32">
        <f>'ENG_DCF'!$P$12*'ENG_DCF'!$P$10+'ENG_DCF'!$P$13*'ENG_DCF'!$P$11+'ENG_SCEN'!$G$18</f>
        <v/>
      </c>
    </row>
    <row r="15">
      <c r="A15" s="15" t="inlineStr">
        <is>
          <t>ضریب تنزیل</t>
        </is>
      </c>
      <c r="B15" s="16" t="inlineStr">
        <is>
          <t>DCF.df</t>
        </is>
      </c>
      <c r="C15" s="17" t="inlineStr">
        <is>
          <t>ضریب</t>
        </is>
      </c>
      <c r="D15" s="35">
        <f>1</f>
        <v/>
      </c>
      <c r="E15" s="35">
        <f>'ENG_DCF'!$D$15/(1+'ENG_DCF'!$E$14)</f>
        <v/>
      </c>
      <c r="F15" s="35">
        <f>'ENG_DCF'!$E$15/(1+'ENG_DCF'!$F$14)</f>
        <v/>
      </c>
      <c r="G15" s="35">
        <f>'ENG_DCF'!$F$15/(1+'ENG_DCF'!$G$14)</f>
        <v/>
      </c>
      <c r="H15" s="35">
        <f>'ENG_DCF'!$G$15/(1+'ENG_DCF'!$H$14)</f>
        <v/>
      </c>
      <c r="I15" s="35">
        <f>'ENG_DCF'!$H$15/(1+'ENG_DCF'!$I$14)</f>
        <v/>
      </c>
      <c r="J15" s="35">
        <f>'ENG_DCF'!$I$15/(1+'ENG_DCF'!$J$14)</f>
        <v/>
      </c>
      <c r="K15" s="35">
        <f>'ENG_DCF'!$J$15/(1+'ENG_DCF'!$K$14)</f>
        <v/>
      </c>
      <c r="L15" s="35">
        <f>'ENG_DCF'!$K$15/(1+'ENG_DCF'!$L$14)</f>
        <v/>
      </c>
      <c r="M15" s="35">
        <f>'ENG_DCF'!$L$15/(1+'ENG_DCF'!$M$14)</f>
        <v/>
      </c>
      <c r="N15" s="35">
        <f>'ENG_DCF'!$M$15/(1+'ENG_DCF'!$N$14)</f>
        <v/>
      </c>
      <c r="O15" s="35">
        <f>'ENG_DCF'!$N$15/(1+'ENG_DCF'!$O$14)</f>
        <v/>
      </c>
      <c r="P15" s="35">
        <f>'ENG_DCF'!$O$15/(1+'ENG_DCF'!$P$14)</f>
        <v/>
      </c>
    </row>
    <row r="16"/>
    <row r="17">
      <c r="A17" s="4" t="inlineStr">
        <is>
          <t>ب) تنزیل جریان‌های نقدی و ارزش پایانی</t>
        </is>
      </c>
      <c r="B17" s="5" t="n"/>
      <c r="C17" s="5" t="n"/>
      <c r="D17" s="5" t="n"/>
      <c r="E17" s="5" t="n"/>
      <c r="F17" s="5" t="n"/>
      <c r="G17" s="5" t="n"/>
      <c r="H17" s="5" t="n"/>
      <c r="I17" s="5" t="n"/>
      <c r="J17" s="5" t="n"/>
      <c r="K17" s="5" t="n"/>
      <c r="L17" s="5" t="n"/>
      <c r="M17" s="5" t="n"/>
      <c r="N17" s="5" t="n"/>
      <c r="O17" s="5" t="n"/>
      <c r="P17" s="5" t="n"/>
      <c r="Q17" s="5" t="n"/>
    </row>
    <row r="18">
      <c r="A18" s="15" t="inlineStr">
        <is>
          <t>جریان نقد آزاد پروژه (FCFF)</t>
        </is>
      </c>
      <c r="B18" s="16" t="inlineStr">
        <is>
          <t>DCF.fcff</t>
        </is>
      </c>
      <c r="C18" s="17" t="inlineStr">
        <is>
          <t>میلیون ریال</t>
        </is>
      </c>
      <c r="D18" s="33">
        <f>'ENG_FCF'!$D$39</f>
        <v/>
      </c>
      <c r="E18" s="33">
        <f>'ENG_FCF'!$E$39</f>
        <v/>
      </c>
      <c r="F18" s="33">
        <f>'ENG_FCF'!$F$39</f>
        <v/>
      </c>
      <c r="G18" s="33">
        <f>'ENG_FCF'!$G$39</f>
        <v/>
      </c>
      <c r="H18" s="33">
        <f>'ENG_FCF'!$H$39</f>
        <v/>
      </c>
      <c r="I18" s="33">
        <f>'ENG_FCF'!$I$39</f>
        <v/>
      </c>
      <c r="J18" s="33">
        <f>'ENG_FCF'!$J$39</f>
        <v/>
      </c>
      <c r="K18" s="33">
        <f>'ENG_FCF'!$K$39</f>
        <v/>
      </c>
      <c r="L18" s="33">
        <f>'ENG_FCF'!$L$39</f>
        <v/>
      </c>
      <c r="M18" s="33">
        <f>'ENG_FCF'!$M$39</f>
        <v/>
      </c>
      <c r="N18" s="33">
        <f>'ENG_FCF'!$N$39</f>
        <v/>
      </c>
      <c r="O18" s="33">
        <f>'ENG_FCF'!$O$39</f>
        <v/>
      </c>
      <c r="P18" s="33">
        <f>'ENG_FCF'!$P$39</f>
        <v/>
      </c>
    </row>
    <row r="19">
      <c r="A19" s="15" t="inlineStr">
        <is>
          <t>ارزش فعلی FCFF</t>
        </is>
      </c>
      <c r="B19" s="16" t="inlineStr">
        <is>
          <t>DCF.pv</t>
        </is>
      </c>
      <c r="C19" s="17" t="inlineStr">
        <is>
          <t>میلیون ریال</t>
        </is>
      </c>
      <c r="D19" s="33">
        <f>'ENG_DCF'!$D$18*'ENG_DCF'!$D$15</f>
        <v/>
      </c>
      <c r="E19" s="33">
        <f>'ENG_DCF'!$E$18*'ENG_DCF'!$E$15</f>
        <v/>
      </c>
      <c r="F19" s="33">
        <f>'ENG_DCF'!$F$18*'ENG_DCF'!$F$15</f>
        <v/>
      </c>
      <c r="G19" s="33">
        <f>'ENG_DCF'!$G$18*'ENG_DCF'!$G$15</f>
        <v/>
      </c>
      <c r="H19" s="33">
        <f>'ENG_DCF'!$H$18*'ENG_DCF'!$H$15</f>
        <v/>
      </c>
      <c r="I19" s="33">
        <f>'ENG_DCF'!$I$18*'ENG_DCF'!$I$15</f>
        <v/>
      </c>
      <c r="J19" s="33">
        <f>'ENG_DCF'!$J$18*'ENG_DCF'!$J$15</f>
        <v/>
      </c>
      <c r="K19" s="33">
        <f>'ENG_DCF'!$K$18*'ENG_DCF'!$K$15</f>
        <v/>
      </c>
      <c r="L19" s="33">
        <f>'ENG_DCF'!$L$18*'ENG_DCF'!$L$15</f>
        <v/>
      </c>
      <c r="M19" s="33">
        <f>'ENG_DCF'!$M$18*'ENG_DCF'!$M$15</f>
        <v/>
      </c>
      <c r="N19" s="33">
        <f>'ENG_DCF'!$N$18*'ENG_DCF'!$N$15</f>
        <v/>
      </c>
      <c r="O19" s="33">
        <f>'ENG_DCF'!$O$18*'ENG_DCF'!$O$15</f>
        <v/>
      </c>
      <c r="P19" s="33">
        <f>'ENG_DCF'!$P$18*'ENG_DCF'!$P$15</f>
        <v/>
      </c>
    </row>
    <row r="20">
      <c r="A20" s="15" t="inlineStr">
        <is>
          <t>ارزش فعلی تجمعی</t>
        </is>
      </c>
      <c r="B20" s="16" t="inlineStr">
        <is>
          <t>DCF.pv_cum</t>
        </is>
      </c>
      <c r="C20" s="17" t="inlineStr">
        <is>
          <t>میلیون ریال</t>
        </is>
      </c>
      <c r="D20" s="33">
        <f>'ENG_DCF'!$D$19</f>
        <v/>
      </c>
      <c r="E20" s="33">
        <f>'ENG_DCF'!$D$20+'ENG_DCF'!$E$19</f>
        <v/>
      </c>
      <c r="F20" s="33">
        <f>'ENG_DCF'!$E$20+'ENG_DCF'!$F$19</f>
        <v/>
      </c>
      <c r="G20" s="33">
        <f>'ENG_DCF'!$F$20+'ENG_DCF'!$G$19</f>
        <v/>
      </c>
      <c r="H20" s="33">
        <f>'ENG_DCF'!$G$20+'ENG_DCF'!$H$19</f>
        <v/>
      </c>
      <c r="I20" s="33">
        <f>'ENG_DCF'!$H$20+'ENG_DCF'!$I$19</f>
        <v/>
      </c>
      <c r="J20" s="33">
        <f>'ENG_DCF'!$I$20+'ENG_DCF'!$J$19</f>
        <v/>
      </c>
      <c r="K20" s="33">
        <f>'ENG_DCF'!$J$20+'ENG_DCF'!$K$19</f>
        <v/>
      </c>
      <c r="L20" s="33">
        <f>'ENG_DCF'!$K$20+'ENG_DCF'!$L$19</f>
        <v/>
      </c>
      <c r="M20" s="33">
        <f>'ENG_DCF'!$L$20+'ENG_DCF'!$M$19</f>
        <v/>
      </c>
      <c r="N20" s="33">
        <f>'ENG_DCF'!$M$20+'ENG_DCF'!$N$19</f>
        <v/>
      </c>
      <c r="O20" s="33">
        <f>'ENG_DCF'!$N$20+'ENG_DCF'!$O$19</f>
        <v/>
      </c>
      <c r="P20" s="33">
        <f>'ENG_DCF'!$O$20+'ENG_DCF'!$P$19</f>
        <v/>
      </c>
    </row>
    <row r="21">
      <c r="A21" s="15" t="inlineStr">
        <is>
          <t>ارزش پایانی (Terminal Value)</t>
        </is>
      </c>
      <c r="B21" s="16" t="inlineStr">
        <is>
          <t>DCF.tv</t>
        </is>
      </c>
      <c r="C21" s="17" t="inlineStr">
        <is>
          <t>میلیون ریال</t>
        </is>
      </c>
      <c r="D21" s="33">
        <f>IF('IN_MACRO'!$D$23&lt;'IN_MACRO'!$D$11,0,IF('IN_MACRO'!$D$19=1,MAX(0,'ENG_FCF'!$P$41)*(1+'IN_MACRO'!$D$18)/MAX(0.005,'ENG_DCF'!$P$14-'IN_MACRO'!$D$18),'ENG_FCF'!$P$15*'IN_MACRO'!$D$20))</f>
        <v/>
      </c>
      <c r="E21" s="33">
        <f>IF('IN_MACRO'!$E$23&lt;'IN_MACRO'!$D$11,0,IF('IN_MACRO'!$D$19=1,MAX(0,'ENG_FCF'!$P$41)*(1+'IN_MACRO'!$D$18)/MAX(0.005,'ENG_DCF'!$P$14-'IN_MACRO'!$D$18),'ENG_FCF'!$P$15*'IN_MACRO'!$D$20))</f>
        <v/>
      </c>
      <c r="F21" s="33">
        <f>IF('IN_MACRO'!$F$23&lt;'IN_MACRO'!$D$11,0,IF('IN_MACRO'!$D$19=1,MAX(0,'ENG_FCF'!$P$41)*(1+'IN_MACRO'!$D$18)/MAX(0.005,'ENG_DCF'!$P$14-'IN_MACRO'!$D$18),'ENG_FCF'!$P$15*'IN_MACRO'!$D$20))</f>
        <v/>
      </c>
      <c r="G21" s="33">
        <f>IF('IN_MACRO'!$G$23&lt;'IN_MACRO'!$D$11,0,IF('IN_MACRO'!$D$19=1,MAX(0,'ENG_FCF'!$P$41)*(1+'IN_MACRO'!$D$18)/MAX(0.005,'ENG_DCF'!$P$14-'IN_MACRO'!$D$18),'ENG_FCF'!$P$15*'IN_MACRO'!$D$20))</f>
        <v/>
      </c>
      <c r="H21" s="33">
        <f>IF('IN_MACRO'!$H$23&lt;'IN_MACRO'!$D$11,0,IF('IN_MACRO'!$D$19=1,MAX(0,'ENG_FCF'!$P$41)*(1+'IN_MACRO'!$D$18)/MAX(0.005,'ENG_DCF'!$P$14-'IN_MACRO'!$D$18),'ENG_FCF'!$P$15*'IN_MACRO'!$D$20))</f>
        <v/>
      </c>
      <c r="I21" s="33">
        <f>IF('IN_MACRO'!$I$23&lt;'IN_MACRO'!$D$11,0,IF('IN_MACRO'!$D$19=1,MAX(0,'ENG_FCF'!$P$41)*(1+'IN_MACRO'!$D$18)/MAX(0.005,'ENG_DCF'!$P$14-'IN_MACRO'!$D$18),'ENG_FCF'!$P$15*'IN_MACRO'!$D$20))</f>
        <v/>
      </c>
      <c r="J21" s="33">
        <f>IF('IN_MACRO'!$J$23&lt;'IN_MACRO'!$D$11,0,IF('IN_MACRO'!$D$19=1,MAX(0,'ENG_FCF'!$P$41)*(1+'IN_MACRO'!$D$18)/MAX(0.005,'ENG_DCF'!$P$14-'IN_MACRO'!$D$18),'ENG_FCF'!$P$15*'IN_MACRO'!$D$20))</f>
        <v/>
      </c>
      <c r="K21" s="33">
        <f>IF('IN_MACRO'!$K$23&lt;'IN_MACRO'!$D$11,0,IF('IN_MACRO'!$D$19=1,MAX(0,'ENG_FCF'!$P$41)*(1+'IN_MACRO'!$D$18)/MAX(0.005,'ENG_DCF'!$P$14-'IN_MACRO'!$D$18),'ENG_FCF'!$P$15*'IN_MACRO'!$D$20))</f>
        <v/>
      </c>
      <c r="L21" s="33">
        <f>IF('IN_MACRO'!$L$23&lt;'IN_MACRO'!$D$11,0,IF('IN_MACRO'!$D$19=1,MAX(0,'ENG_FCF'!$P$41)*(1+'IN_MACRO'!$D$18)/MAX(0.005,'ENG_DCF'!$P$14-'IN_MACRO'!$D$18),'ENG_FCF'!$P$15*'IN_MACRO'!$D$20))</f>
        <v/>
      </c>
      <c r="M21" s="33">
        <f>IF('IN_MACRO'!$M$23&lt;'IN_MACRO'!$D$11,0,IF('IN_MACRO'!$D$19=1,MAX(0,'ENG_FCF'!$P$41)*(1+'IN_MACRO'!$D$18)/MAX(0.005,'ENG_DCF'!$P$14-'IN_MACRO'!$D$18),'ENG_FCF'!$P$15*'IN_MACRO'!$D$20))</f>
        <v/>
      </c>
      <c r="N21" s="33">
        <f>IF('IN_MACRO'!$N$23&lt;'IN_MACRO'!$D$11,0,IF('IN_MACRO'!$D$19=1,MAX(0,'ENG_FCF'!$P$41)*(1+'IN_MACRO'!$D$18)/MAX(0.005,'ENG_DCF'!$P$14-'IN_MACRO'!$D$18),'ENG_FCF'!$P$15*'IN_MACRO'!$D$20))</f>
        <v/>
      </c>
      <c r="O21" s="33">
        <f>IF('IN_MACRO'!$O$23&lt;'IN_MACRO'!$D$11,0,IF('IN_MACRO'!$D$19=1,MAX(0,'ENG_FCF'!$P$41)*(1+'IN_MACRO'!$D$18)/MAX(0.005,'ENG_DCF'!$P$14-'IN_MACRO'!$D$18),'ENG_FCF'!$P$15*'IN_MACRO'!$D$20))</f>
        <v/>
      </c>
      <c r="P21" s="33">
        <f>IF('IN_MACRO'!$P$23&lt;'IN_MACRO'!$D$11,0,IF('IN_MACRO'!$D$19=1,MAX(0,'ENG_FCF'!$P$41)*(1+'IN_MACRO'!$D$18)/MAX(0.005,'ENG_DCF'!$P$14-'IN_MACRO'!$D$18),'ENG_FCF'!$P$15*'IN_MACRO'!$D$20))</f>
        <v/>
      </c>
    </row>
    <row r="22">
      <c r="A22" s="15" t="inlineStr">
        <is>
          <t>ارزش فعلی ارزش پایانی</t>
        </is>
      </c>
      <c r="B22" s="16" t="inlineStr">
        <is>
          <t>DCF.pv_tv</t>
        </is>
      </c>
      <c r="C22" s="17" t="inlineStr">
        <is>
          <t>میلیون ریال</t>
        </is>
      </c>
      <c r="D22" s="33">
        <f>'ENG_DCF'!$D$21*'ENG_DCF'!$D$15</f>
        <v/>
      </c>
      <c r="E22" s="33">
        <f>'ENG_DCF'!$E$21*'ENG_DCF'!$E$15</f>
        <v/>
      </c>
      <c r="F22" s="33">
        <f>'ENG_DCF'!$F$21*'ENG_DCF'!$F$15</f>
        <v/>
      </c>
      <c r="G22" s="33">
        <f>'ENG_DCF'!$G$21*'ENG_DCF'!$G$15</f>
        <v/>
      </c>
      <c r="H22" s="33">
        <f>'ENG_DCF'!$H$21*'ENG_DCF'!$H$15</f>
        <v/>
      </c>
      <c r="I22" s="33">
        <f>'ENG_DCF'!$I$21*'ENG_DCF'!$I$15</f>
        <v/>
      </c>
      <c r="J22" s="33">
        <f>'ENG_DCF'!$J$21*'ENG_DCF'!$J$15</f>
        <v/>
      </c>
      <c r="K22" s="33">
        <f>'ENG_DCF'!$K$21*'ENG_DCF'!$K$15</f>
        <v/>
      </c>
      <c r="L22" s="33">
        <f>'ENG_DCF'!$L$21*'ENG_DCF'!$L$15</f>
        <v/>
      </c>
      <c r="M22" s="33">
        <f>'ENG_DCF'!$M$21*'ENG_DCF'!$M$15</f>
        <v/>
      </c>
      <c r="N22" s="33">
        <f>'ENG_DCF'!$N$21*'ENG_DCF'!$N$15</f>
        <v/>
      </c>
      <c r="O22" s="33">
        <f>'ENG_DCF'!$O$21*'ENG_DCF'!$O$15</f>
        <v/>
      </c>
      <c r="P22" s="33">
        <f>'ENG_DCF'!$P$21*'ENG_DCF'!$P$15</f>
        <v/>
      </c>
    </row>
    <row r="23">
      <c r="A23" s="15" t="inlineStr">
        <is>
          <t>جریان قابل بازدهی (FCFF + ارزش پایانی)</t>
        </is>
      </c>
      <c r="B23" s="16" t="inlineStr">
        <is>
          <t>DCF.fcf_tv</t>
        </is>
      </c>
      <c r="C23" s="17" t="inlineStr">
        <is>
          <t>میلیون ریال</t>
        </is>
      </c>
      <c r="D23" s="33">
        <f>'ENG_DCF'!$D$18+'ENG_DCF'!$D$21</f>
        <v/>
      </c>
      <c r="E23" s="33">
        <f>'ENG_DCF'!$E$18+'ENG_DCF'!$E$21</f>
        <v/>
      </c>
      <c r="F23" s="33">
        <f>'ENG_DCF'!$F$18+'ENG_DCF'!$F$21</f>
        <v/>
      </c>
      <c r="G23" s="33">
        <f>'ENG_DCF'!$G$18+'ENG_DCF'!$G$21</f>
        <v/>
      </c>
      <c r="H23" s="33">
        <f>'ENG_DCF'!$H$18+'ENG_DCF'!$H$21</f>
        <v/>
      </c>
      <c r="I23" s="33">
        <f>'ENG_DCF'!$I$18+'ENG_DCF'!$I$21</f>
        <v/>
      </c>
      <c r="J23" s="33">
        <f>'ENG_DCF'!$J$18+'ENG_DCF'!$J$21</f>
        <v/>
      </c>
      <c r="K23" s="33">
        <f>'ENG_DCF'!$K$18+'ENG_DCF'!$K$21</f>
        <v/>
      </c>
      <c r="L23" s="33">
        <f>'ENG_DCF'!$L$18+'ENG_DCF'!$L$21</f>
        <v/>
      </c>
      <c r="M23" s="33">
        <f>'ENG_DCF'!$M$18+'ENG_DCF'!$M$21</f>
        <v/>
      </c>
      <c r="N23" s="33">
        <f>'ENG_DCF'!$N$18+'ENG_DCF'!$N$21</f>
        <v/>
      </c>
      <c r="O23" s="33">
        <f>'ENG_DCF'!$O$18+'ENG_DCF'!$O$21</f>
        <v/>
      </c>
      <c r="P23" s="33">
        <f>'ENG_DCF'!$P$18+'ENG_DCF'!$P$21</f>
        <v/>
      </c>
    </row>
    <row r="24"/>
    <row r="25">
      <c r="A25" s="4" t="inlineStr">
        <is>
          <t>ج) شاخص‌های ارزش‌گذاری</t>
        </is>
      </c>
      <c r="B25" s="5" t="n"/>
      <c r="C25" s="5" t="n"/>
      <c r="D25" s="5" t="n"/>
      <c r="E25" s="5" t="n"/>
      <c r="F25" s="5" t="n"/>
      <c r="G25" s="5" t="n"/>
      <c r="H25" s="5" t="n"/>
      <c r="I25" s="5" t="n"/>
      <c r="J25" s="5" t="n"/>
      <c r="K25" s="5" t="n"/>
      <c r="L25" s="5" t="n"/>
      <c r="M25" s="5" t="n"/>
      <c r="N25" s="5" t="n"/>
      <c r="O25" s="5" t="n"/>
      <c r="P25" s="5" t="n"/>
      <c r="Q25" s="5" t="n"/>
    </row>
    <row r="26">
      <c r="A26" s="8" t="inlineStr">
        <is>
          <t>ارزش فعلی خالص (NPV)</t>
        </is>
      </c>
      <c r="C26" s="13" t="inlineStr">
        <is>
          <t>میلیون ریال</t>
        </is>
      </c>
      <c r="D26" s="36">
        <f>SUM('ENG_DCF'!$D$19:$P$19)+SUM('ENG_DCF'!$D$22:$P$22)</f>
        <v/>
      </c>
    </row>
    <row r="27">
      <c r="A27" s="8" t="inlineStr">
        <is>
          <t>نرخ بازده داخلی پروژه (IRR)</t>
        </is>
      </c>
      <c r="C27" s="13" t="inlineStr">
        <is>
          <t>درصد</t>
        </is>
      </c>
      <c r="D27" s="31">
        <f>IFERROR(IRR('ENG_DCF'!$D$23:$P$23),NA())</f>
        <v/>
      </c>
    </row>
    <row r="28">
      <c r="A28" s="8" t="inlineStr">
        <is>
          <t>نرخ بازده داخلی تعدیل‌شده (MIRR)</t>
        </is>
      </c>
      <c r="C28" s="13" t="inlineStr">
        <is>
          <t>درصد</t>
        </is>
      </c>
      <c r="D28" s="31">
        <f>IFERROR(MIRR('ENG_DCF'!$D$23:$P$23,('IN_FIN'!$D$25+'ENG_SCEN'!$G$19),AVERAGE('ENG_DCF'!$D$14:$P$14)),NA())</f>
        <v/>
      </c>
    </row>
    <row r="29">
      <c r="A29" s="8" t="inlineStr">
        <is>
          <t>نرخ بازده داخلی سهامداران (IRR روی FCFE)</t>
        </is>
      </c>
      <c r="C29" s="13" t="inlineStr">
        <is>
          <t>درصد</t>
        </is>
      </c>
      <c r="D29" s="31">
        <f>IFERROR(IRR('ENG_FCF'!$D$60:$P$60),NA())</f>
        <v/>
      </c>
    </row>
    <row r="30">
      <c r="A30" s="8" t="inlineStr">
        <is>
          <t>دوره بازپرداشت ساده (سال)</t>
        </is>
      </c>
      <c r="C30" s="13" t="inlineStr">
        <is>
          <t>سال</t>
        </is>
      </c>
      <c r="D30" s="37">
        <f>IF(COUNTIF('ENG_FCF'!$D$40:$P$40,"&lt;0")=0,0,IF(COUNTIF('ENG_FCF'!$D$40:$P$40,"&lt;0")&gt;=13,NA(),INDEX('IN_MACRO'!$D$23:$P$23,COUNTIF('ENG_FCF'!$D$40:$P$40,"&lt;0"))+(0-INDEX('ENG_FCF'!$D$40:$P$40,COUNTIF('ENG_FCF'!$D$40:$P$40,"&lt;0")))/(INDEX('ENG_FCF'!$D$40:$P$40,COUNTIF('ENG_FCF'!$D$40:$P$40,"&lt;0")+1)-INDEX('ENG_FCF'!$D$40:$P$40,COUNTIF('ENG_FCF'!$D$40:$P$40,"&lt;0")))))</f>
        <v/>
      </c>
    </row>
    <row r="31">
      <c r="A31" s="8" t="inlineStr">
        <is>
          <t>دوره بازپرداشت تنزیلی (سال)</t>
        </is>
      </c>
      <c r="C31" s="13" t="inlineStr">
        <is>
          <t>سال</t>
        </is>
      </c>
      <c r="D31" s="37">
        <f>IF(COUNTIF('ENG_DCF'!$D$20:$P$20,"&lt;0")=0,0,IF(COUNTIF('ENG_DCF'!$D$20:$P$20,"&lt;0")&gt;=13,NA(),INDEX('IN_MACRO'!$D$23:$P$23,COUNTIF('ENG_DCF'!$D$20:$P$20,"&lt;0"))+(0-INDEX('ENG_DCF'!$D$20:$P$20,COUNTIF('ENG_DCF'!$D$20:$P$20,"&lt;0")))/(INDEX('ENG_DCF'!$D$20:$P$20,COUNTIF('ENG_DCF'!$D$20:$P$20,"&lt;0")+1)-INDEX('ENG_DCF'!$D$20:$P$20,COUNTIF('ENG_DCF'!$D$20:$P$20,"&lt;0")))))</f>
        <v/>
      </c>
    </row>
    <row r="32">
      <c r="A32" s="8" t="inlineStr">
        <is>
          <t>شاخص سودآوری (PI)</t>
        </is>
      </c>
      <c r="C32" s="13" t="inlineStr">
        <is>
          <t>ضریب</t>
        </is>
      </c>
      <c r="D32" s="30">
        <f>IFERROR((SUMIF('ENG_DCF'!$D$19:$P$19,"&gt;0")+SUM('ENG_DCF'!$D$22:$P$22))/ABS(SUMIF('ENG_DCF'!$D$19:$P$19,"&lt;0")),NA())</f>
        <v/>
      </c>
    </row>
    <row r="33">
      <c r="A33" s="8" t="inlineStr">
        <is>
          <t>ارزش بنگاه (EV) - ارزش فعلی عملیات</t>
        </is>
      </c>
      <c r="C33" s="13" t="inlineStr">
        <is>
          <t>میلیون ریال</t>
        </is>
      </c>
      <c r="D33" s="36">
        <f>SUM('ENG_DCF'!$D$19:$P$19)-'ENG_DCF'!$D$19+SUM('ENG_DCF'!$D$22:$P$22)</f>
        <v/>
      </c>
    </row>
    <row r="34">
      <c r="A34" s="15" t="inlineStr">
        <is>
          <t>ارزش حقوق صاحبان سهام (EV − بدهی خالص)</t>
        </is>
      </c>
      <c r="B34" s="16" t="inlineStr">
        <is>
          <t>DCF.eq_value</t>
        </is>
      </c>
      <c r="C34" s="17" t="inlineStr">
        <is>
          <t>میلیون ریال</t>
        </is>
      </c>
      <c r="D34" s="33">
        <f>'ENG_DCF'!$D$33-('ENG_FCF'!$D$25-'ENG_FCF'!$D$56)</f>
        <v/>
      </c>
    </row>
  </sheetData>
  <pageMargins left="0.75" right="0.75" top="1" bottom="1" header="0.5" footer="0.5"/>
</worksheet>
</file>

<file path=xl/worksheets/sheet17.xml><?xml version="1.0" encoding="utf-8"?>
<worksheet xmlns="http://schemas.openxmlformats.org/spreadsheetml/2006/main">
  <sheetPr>
    <tabColor rgb="00A6A6A6"/>
    <outlinePr summaryBelow="1" summaryRight="1"/>
    <pageSetUpPr/>
  </sheetPr>
  <dimension ref="A1:Q32"/>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تحلیل اهرم عملیاتی و مالی</t>
        </is>
      </c>
      <c r="B1" s="2" t="inlineStr">
        <is>
          <t>موتور محاسبات</t>
        </is>
      </c>
    </row>
    <row r="2">
      <c r="A2" s="3" t="inlineStr">
        <is>
          <t>درجه اهرم عملیاتی و مالی، نقطه سر‌به‌سر و اثر تغییر حجم فروش و ساختار سرمایه بر سودآوری.</t>
        </is>
      </c>
    </row>
    <row r="3"/>
    <row r="4"/>
    <row r="5"/>
    <row r="6"/>
    <row r="7">
      <c r="A7" s="11" t="inlineStr">
        <is>
          <t>دوره (t)</t>
        </is>
      </c>
      <c r="D7" s="12" t="n">
        <v>0</v>
      </c>
      <c r="E7" s="12" t="n">
        <v>1</v>
      </c>
      <c r="F7" s="12" t="n">
        <v>2</v>
      </c>
      <c r="G7" s="12" t="n">
        <v>3</v>
      </c>
      <c r="H7" s="12" t="n">
        <v>4</v>
      </c>
      <c r="I7" s="12" t="n">
        <v>5</v>
      </c>
      <c r="J7" s="12" t="n">
        <v>6</v>
      </c>
      <c r="K7" s="12" t="n">
        <v>7</v>
      </c>
      <c r="L7" s="12" t="n">
        <v>8</v>
      </c>
      <c r="M7" s="12" t="n">
        <v>9</v>
      </c>
      <c r="N7" s="12" t="n">
        <v>10</v>
      </c>
      <c r="O7" s="12" t="n">
        <v>11</v>
      </c>
      <c r="P7" s="12" t="n">
        <v>12</v>
      </c>
    </row>
    <row r="8">
      <c r="A8" s="13" t="inlineStr">
        <is>
          <t>سال تقویمی</t>
        </is>
      </c>
      <c r="D8" s="14" t="n">
        <v>2026</v>
      </c>
      <c r="E8" s="14" t="n">
        <v>2027</v>
      </c>
      <c r="F8" s="14" t="n">
        <v>2028</v>
      </c>
      <c r="G8" s="14" t="n">
        <v>2029</v>
      </c>
      <c r="H8" s="14" t="n">
        <v>2030</v>
      </c>
      <c r="I8" s="14" t="n">
        <v>2031</v>
      </c>
      <c r="J8" s="14" t="n">
        <v>2032</v>
      </c>
      <c r="K8" s="14" t="n">
        <v>2033</v>
      </c>
      <c r="L8" s="14" t="n">
        <v>2034</v>
      </c>
      <c r="M8" s="14" t="n">
        <v>2035</v>
      </c>
      <c r="N8" s="14" t="n">
        <v>2036</v>
      </c>
      <c r="O8" s="14" t="n">
        <v>2037</v>
      </c>
      <c r="P8" s="14" t="n">
        <v>2038</v>
      </c>
    </row>
    <row r="9">
      <c r="A9" s="4" t="inlineStr">
        <is>
          <t>الف) حاشیه مشارکت و نقطه سر‌به‌سر</t>
        </is>
      </c>
      <c r="B9" s="5" t="n"/>
      <c r="C9" s="5" t="n"/>
      <c r="D9" s="5" t="n"/>
      <c r="E9" s="5" t="n"/>
      <c r="F9" s="5" t="n"/>
      <c r="G9" s="5" t="n"/>
      <c r="H9" s="5" t="n"/>
      <c r="I9" s="5" t="n"/>
      <c r="J9" s="5" t="n"/>
      <c r="K9" s="5" t="n"/>
      <c r="L9" s="5" t="n"/>
      <c r="M9" s="5" t="n"/>
      <c r="N9" s="5" t="n"/>
      <c r="O9" s="5" t="n"/>
      <c r="P9" s="5" t="n"/>
      <c r="Q9" s="5" t="n"/>
    </row>
    <row r="10">
      <c r="A10" s="15" t="inlineStr">
        <is>
          <t>درآمد خالص</t>
        </is>
      </c>
      <c r="B10" s="16" t="inlineStr">
        <is>
          <t>LEV.rev</t>
        </is>
      </c>
      <c r="C10" s="17" t="inlineStr">
        <is>
          <t>میلیون ریال</t>
        </is>
      </c>
      <c r="D10" s="33">
        <f>'ENG_FCF'!$D$10</f>
        <v/>
      </c>
      <c r="E10" s="33">
        <f>'ENG_FCF'!$E$10</f>
        <v/>
      </c>
      <c r="F10" s="33">
        <f>'ENG_FCF'!$F$10</f>
        <v/>
      </c>
      <c r="G10" s="33">
        <f>'ENG_FCF'!$G$10</f>
        <v/>
      </c>
      <c r="H10" s="33">
        <f>'ENG_FCF'!$H$10</f>
        <v/>
      </c>
      <c r="I10" s="33">
        <f>'ENG_FCF'!$I$10</f>
        <v/>
      </c>
      <c r="J10" s="33">
        <f>'ENG_FCF'!$J$10</f>
        <v/>
      </c>
      <c r="K10" s="33">
        <f>'ENG_FCF'!$K$10</f>
        <v/>
      </c>
      <c r="L10" s="33">
        <f>'ENG_FCF'!$L$10</f>
        <v/>
      </c>
      <c r="M10" s="33">
        <f>'ENG_FCF'!$M$10</f>
        <v/>
      </c>
      <c r="N10" s="33">
        <f>'ENG_FCF'!$N$10</f>
        <v/>
      </c>
      <c r="O10" s="33">
        <f>'ENG_FCF'!$O$10</f>
        <v/>
      </c>
      <c r="P10" s="33">
        <f>'ENG_FCF'!$P$10</f>
        <v/>
      </c>
    </row>
    <row r="11">
      <c r="A11" s="15" t="inlineStr">
        <is>
          <t>هزینه‌های متغیر</t>
        </is>
      </c>
      <c r="B11" s="16" t="inlineStr">
        <is>
          <t>LEV.var</t>
        </is>
      </c>
      <c r="C11" s="17" t="inlineStr">
        <is>
          <t>میلیون ریال</t>
        </is>
      </c>
      <c r="D11" s="33">
        <f>'ENG_COST'!$D$266</f>
        <v/>
      </c>
      <c r="E11" s="33">
        <f>'ENG_COST'!$E$266</f>
        <v/>
      </c>
      <c r="F11" s="33">
        <f>'ENG_COST'!$F$266</f>
        <v/>
      </c>
      <c r="G11" s="33">
        <f>'ENG_COST'!$G$266</f>
        <v/>
      </c>
      <c r="H11" s="33">
        <f>'ENG_COST'!$H$266</f>
        <v/>
      </c>
      <c r="I11" s="33">
        <f>'ENG_COST'!$I$266</f>
        <v/>
      </c>
      <c r="J11" s="33">
        <f>'ENG_COST'!$J$266</f>
        <v/>
      </c>
      <c r="K11" s="33">
        <f>'ENG_COST'!$K$266</f>
        <v/>
      </c>
      <c r="L11" s="33">
        <f>'ENG_COST'!$L$266</f>
        <v/>
      </c>
      <c r="M11" s="33">
        <f>'ENG_COST'!$M$266</f>
        <v/>
      </c>
      <c r="N11" s="33">
        <f>'ENG_COST'!$N$266</f>
        <v/>
      </c>
      <c r="O11" s="33">
        <f>'ENG_COST'!$O$266</f>
        <v/>
      </c>
      <c r="P11" s="33">
        <f>'ENG_COST'!$P$266</f>
        <v/>
      </c>
    </row>
    <row r="12">
      <c r="A12" s="8" t="inlineStr">
        <is>
          <t>حاشیه مشارکت</t>
        </is>
      </c>
      <c r="B12" s="16" t="inlineStr">
        <is>
          <t>LEV.cm</t>
        </is>
      </c>
      <c r="C12" s="17" t="inlineStr">
        <is>
          <t>میلیون ریال</t>
        </is>
      </c>
      <c r="D12" s="33">
        <f>'ENG_LEV'!$D$10-'ENG_LEV'!$D$11</f>
        <v/>
      </c>
      <c r="E12" s="33">
        <f>'ENG_LEV'!$E$10-'ENG_LEV'!$E$11</f>
        <v/>
      </c>
      <c r="F12" s="33">
        <f>'ENG_LEV'!$F$10-'ENG_LEV'!$F$11</f>
        <v/>
      </c>
      <c r="G12" s="33">
        <f>'ENG_LEV'!$G$10-'ENG_LEV'!$G$11</f>
        <v/>
      </c>
      <c r="H12" s="33">
        <f>'ENG_LEV'!$H$10-'ENG_LEV'!$H$11</f>
        <v/>
      </c>
      <c r="I12" s="33">
        <f>'ENG_LEV'!$I$10-'ENG_LEV'!$I$11</f>
        <v/>
      </c>
      <c r="J12" s="33">
        <f>'ENG_LEV'!$J$10-'ENG_LEV'!$J$11</f>
        <v/>
      </c>
      <c r="K12" s="33">
        <f>'ENG_LEV'!$K$10-'ENG_LEV'!$K$11</f>
        <v/>
      </c>
      <c r="L12" s="33">
        <f>'ENG_LEV'!$L$10-'ENG_LEV'!$L$11</f>
        <v/>
      </c>
      <c r="M12" s="33">
        <f>'ENG_LEV'!$M$10-'ENG_LEV'!$M$11</f>
        <v/>
      </c>
      <c r="N12" s="33">
        <f>'ENG_LEV'!$N$10-'ENG_LEV'!$N$11</f>
        <v/>
      </c>
      <c r="O12" s="33">
        <f>'ENG_LEV'!$O$10-'ENG_LEV'!$O$11</f>
        <v/>
      </c>
      <c r="P12" s="33">
        <f>'ENG_LEV'!$P$10-'ENG_LEV'!$P$11</f>
        <v/>
      </c>
    </row>
    <row r="13">
      <c r="A13" s="15" t="inlineStr">
        <is>
          <t>نسبت حاشیه مشارکت</t>
        </is>
      </c>
      <c r="B13" s="16" t="inlineStr">
        <is>
          <t>LEV.cm_ratio</t>
        </is>
      </c>
      <c r="C13" s="17" t="inlineStr">
        <is>
          <t>درصد</t>
        </is>
      </c>
      <c r="D13" s="32">
        <f>IFERROR('ENG_LEV'!$D$12/'ENG_LEV'!$D$10,0)</f>
        <v/>
      </c>
      <c r="E13" s="32">
        <f>IFERROR('ENG_LEV'!$E$12/'ENG_LEV'!$E$10,0)</f>
        <v/>
      </c>
      <c r="F13" s="32">
        <f>IFERROR('ENG_LEV'!$F$12/'ENG_LEV'!$F$10,0)</f>
        <v/>
      </c>
      <c r="G13" s="32">
        <f>IFERROR('ENG_LEV'!$G$12/'ENG_LEV'!$G$10,0)</f>
        <v/>
      </c>
      <c r="H13" s="32">
        <f>IFERROR('ENG_LEV'!$H$12/'ENG_LEV'!$H$10,0)</f>
        <v/>
      </c>
      <c r="I13" s="32">
        <f>IFERROR('ENG_LEV'!$I$12/'ENG_LEV'!$I$10,0)</f>
        <v/>
      </c>
      <c r="J13" s="32">
        <f>IFERROR('ENG_LEV'!$J$12/'ENG_LEV'!$J$10,0)</f>
        <v/>
      </c>
      <c r="K13" s="32">
        <f>IFERROR('ENG_LEV'!$K$12/'ENG_LEV'!$K$10,0)</f>
        <v/>
      </c>
      <c r="L13" s="32">
        <f>IFERROR('ENG_LEV'!$L$12/'ENG_LEV'!$L$10,0)</f>
        <v/>
      </c>
      <c r="M13" s="32">
        <f>IFERROR('ENG_LEV'!$M$12/'ENG_LEV'!$M$10,0)</f>
        <v/>
      </c>
      <c r="N13" s="32">
        <f>IFERROR('ENG_LEV'!$N$12/'ENG_LEV'!$N$10,0)</f>
        <v/>
      </c>
      <c r="O13" s="32">
        <f>IFERROR('ENG_LEV'!$O$12/'ENG_LEV'!$O$10,0)</f>
        <v/>
      </c>
      <c r="P13" s="32">
        <f>IFERROR('ENG_LEV'!$P$12/'ENG_LEV'!$P$10,0)</f>
        <v/>
      </c>
    </row>
    <row r="14">
      <c r="A14" s="15" t="inlineStr">
        <is>
          <t>حاشیه مشارکت هر تن</t>
        </is>
      </c>
      <c r="B14" s="16" t="inlineStr">
        <is>
          <t>LEV.cm_ton</t>
        </is>
      </c>
      <c r="C14" s="17" t="inlineStr">
        <is>
          <t>میلیون ریال/تن</t>
        </is>
      </c>
      <c r="D14" s="34">
        <f>IFERROR('ENG_LEV'!$D$12/'ENG_OPS'!$D$82,0)</f>
        <v/>
      </c>
      <c r="E14" s="34">
        <f>IFERROR('ENG_LEV'!$E$12/'ENG_OPS'!$E$82,0)</f>
        <v/>
      </c>
      <c r="F14" s="34">
        <f>IFERROR('ENG_LEV'!$F$12/'ENG_OPS'!$F$82,0)</f>
        <v/>
      </c>
      <c r="G14" s="34">
        <f>IFERROR('ENG_LEV'!$G$12/'ENG_OPS'!$G$82,0)</f>
        <v/>
      </c>
      <c r="H14" s="34">
        <f>IFERROR('ENG_LEV'!$H$12/'ENG_OPS'!$H$82,0)</f>
        <v/>
      </c>
      <c r="I14" s="34">
        <f>IFERROR('ENG_LEV'!$I$12/'ENG_OPS'!$I$82,0)</f>
        <v/>
      </c>
      <c r="J14" s="34">
        <f>IFERROR('ENG_LEV'!$J$12/'ENG_OPS'!$J$82,0)</f>
        <v/>
      </c>
      <c r="K14" s="34">
        <f>IFERROR('ENG_LEV'!$K$12/'ENG_OPS'!$K$82,0)</f>
        <v/>
      </c>
      <c r="L14" s="34">
        <f>IFERROR('ENG_LEV'!$L$12/'ENG_OPS'!$L$82,0)</f>
        <v/>
      </c>
      <c r="M14" s="34">
        <f>IFERROR('ENG_LEV'!$M$12/'ENG_OPS'!$M$82,0)</f>
        <v/>
      </c>
      <c r="N14" s="34">
        <f>IFERROR('ENG_LEV'!$N$12/'ENG_OPS'!$N$82,0)</f>
        <v/>
      </c>
      <c r="O14" s="34">
        <f>IFERROR('ENG_LEV'!$O$12/'ENG_OPS'!$O$82,0)</f>
        <v/>
      </c>
      <c r="P14" s="34">
        <f>IFERROR('ENG_LEV'!$P$12/'ENG_OPS'!$P$82,0)</f>
        <v/>
      </c>
    </row>
    <row r="15">
      <c r="A15" s="15" t="inlineStr">
        <is>
          <t>هزینه ثابت نقدی</t>
        </is>
      </c>
      <c r="B15" s="16" t="inlineStr">
        <is>
          <t>LEV.fixed_cash</t>
        </is>
      </c>
      <c r="C15" s="17" t="inlineStr">
        <is>
          <t>میلیون ریال</t>
        </is>
      </c>
      <c r="D15" s="33">
        <f>'ENG_COST'!$D$268</f>
        <v/>
      </c>
      <c r="E15" s="33">
        <f>'ENG_COST'!$E$268</f>
        <v/>
      </c>
      <c r="F15" s="33">
        <f>'ENG_COST'!$F$268</f>
        <v/>
      </c>
      <c r="G15" s="33">
        <f>'ENG_COST'!$G$268</f>
        <v/>
      </c>
      <c r="H15" s="33">
        <f>'ENG_COST'!$H$268</f>
        <v/>
      </c>
      <c r="I15" s="33">
        <f>'ENG_COST'!$I$268</f>
        <v/>
      </c>
      <c r="J15" s="33">
        <f>'ENG_COST'!$J$268</f>
        <v/>
      </c>
      <c r="K15" s="33">
        <f>'ENG_COST'!$K$268</f>
        <v/>
      </c>
      <c r="L15" s="33">
        <f>'ENG_COST'!$L$268</f>
        <v/>
      </c>
      <c r="M15" s="33">
        <f>'ENG_COST'!$M$268</f>
        <v/>
      </c>
      <c r="N15" s="33">
        <f>'ENG_COST'!$N$268</f>
        <v/>
      </c>
      <c r="O15" s="33">
        <f>'ENG_COST'!$O$268</f>
        <v/>
      </c>
      <c r="P15" s="33">
        <f>'ENG_COST'!$P$268</f>
        <v/>
      </c>
    </row>
    <row r="16">
      <c r="A16" s="15" t="inlineStr">
        <is>
          <t>نقطه سر‌به‌سر (تن محصول)</t>
        </is>
      </c>
      <c r="B16" s="16" t="inlineStr">
        <is>
          <t>LEV.be_ton</t>
        </is>
      </c>
      <c r="C16" s="17" t="inlineStr">
        <is>
          <t>تن</t>
        </is>
      </c>
      <c r="D16" s="33">
        <f>IFERROR('ENG_LEV'!$D$15/'ENG_LEV'!$D$14,0)</f>
        <v/>
      </c>
      <c r="E16" s="33">
        <f>IFERROR('ENG_LEV'!$E$15/'ENG_LEV'!$E$14,0)</f>
        <v/>
      </c>
      <c r="F16" s="33">
        <f>IFERROR('ENG_LEV'!$F$15/'ENG_LEV'!$F$14,0)</f>
        <v/>
      </c>
      <c r="G16" s="33">
        <f>IFERROR('ENG_LEV'!$G$15/'ENG_LEV'!$G$14,0)</f>
        <v/>
      </c>
      <c r="H16" s="33">
        <f>IFERROR('ENG_LEV'!$H$15/'ENG_LEV'!$H$14,0)</f>
        <v/>
      </c>
      <c r="I16" s="33">
        <f>IFERROR('ENG_LEV'!$I$15/'ENG_LEV'!$I$14,0)</f>
        <v/>
      </c>
      <c r="J16" s="33">
        <f>IFERROR('ENG_LEV'!$J$15/'ENG_LEV'!$J$14,0)</f>
        <v/>
      </c>
      <c r="K16" s="33">
        <f>IFERROR('ENG_LEV'!$K$15/'ENG_LEV'!$K$14,0)</f>
        <v/>
      </c>
      <c r="L16" s="33">
        <f>IFERROR('ENG_LEV'!$L$15/'ENG_LEV'!$L$14,0)</f>
        <v/>
      </c>
      <c r="M16" s="33">
        <f>IFERROR('ENG_LEV'!$M$15/'ENG_LEV'!$M$14,0)</f>
        <v/>
      </c>
      <c r="N16" s="33">
        <f>IFERROR('ENG_LEV'!$N$15/'ENG_LEV'!$N$14,0)</f>
        <v/>
      </c>
      <c r="O16" s="33">
        <f>IFERROR('ENG_LEV'!$O$15/'ENG_LEV'!$O$14,0)</f>
        <v/>
      </c>
      <c r="P16" s="33">
        <f>IFERROR('ENG_LEV'!$P$15/'ENG_LEV'!$P$14,0)</f>
        <v/>
      </c>
    </row>
    <row r="17">
      <c r="A17" s="15" t="inlineStr">
        <is>
          <t>نقطه سر‌به‌سر (تن باتری ورودی)</t>
        </is>
      </c>
      <c r="B17" s="16" t="inlineStr">
        <is>
          <t>LEV.be_input</t>
        </is>
      </c>
      <c r="C17" s="17" t="inlineStr">
        <is>
          <t>تن</t>
        </is>
      </c>
      <c r="D17" s="33">
        <f>IFERROR('ENG_LEV'!$D$16/'ENG_OPS'!$D$82*'ENG_OPS'!$D$20,0)</f>
        <v/>
      </c>
      <c r="E17" s="33">
        <f>IFERROR('ENG_LEV'!$E$16/'ENG_OPS'!$E$82*'ENG_OPS'!$E$20,0)</f>
        <v/>
      </c>
      <c r="F17" s="33">
        <f>IFERROR('ENG_LEV'!$F$16/'ENG_OPS'!$F$82*'ENG_OPS'!$F$20,0)</f>
        <v/>
      </c>
      <c r="G17" s="33">
        <f>IFERROR('ENG_LEV'!$G$16/'ENG_OPS'!$G$82*'ENG_OPS'!$G$20,0)</f>
        <v/>
      </c>
      <c r="H17" s="33">
        <f>IFERROR('ENG_LEV'!$H$16/'ENG_OPS'!$H$82*'ENG_OPS'!$H$20,0)</f>
        <v/>
      </c>
      <c r="I17" s="33">
        <f>IFERROR('ENG_LEV'!$I$16/'ENG_OPS'!$I$82*'ENG_OPS'!$I$20,0)</f>
        <v/>
      </c>
      <c r="J17" s="33">
        <f>IFERROR('ENG_LEV'!$J$16/'ENG_OPS'!$J$82*'ENG_OPS'!$J$20,0)</f>
        <v/>
      </c>
      <c r="K17" s="33">
        <f>IFERROR('ENG_LEV'!$K$16/'ENG_OPS'!$K$82*'ENG_OPS'!$K$20,0)</f>
        <v/>
      </c>
      <c r="L17" s="33">
        <f>IFERROR('ENG_LEV'!$L$16/'ENG_OPS'!$L$82*'ENG_OPS'!$L$20,0)</f>
        <v/>
      </c>
      <c r="M17" s="33">
        <f>IFERROR('ENG_LEV'!$M$16/'ENG_OPS'!$M$82*'ENG_OPS'!$M$20,0)</f>
        <v/>
      </c>
      <c r="N17" s="33">
        <f>IFERROR('ENG_LEV'!$N$16/'ENG_OPS'!$N$82*'ENG_OPS'!$N$20,0)</f>
        <v/>
      </c>
      <c r="O17" s="33">
        <f>IFERROR('ENG_LEV'!$O$16/'ENG_OPS'!$O$82*'ENG_OPS'!$O$20,0)</f>
        <v/>
      </c>
      <c r="P17" s="33">
        <f>IFERROR('ENG_LEV'!$P$16/'ENG_OPS'!$P$82*'ENG_OPS'!$P$20,0)</f>
        <v/>
      </c>
    </row>
    <row r="18">
      <c r="A18" s="15" t="inlineStr">
        <is>
          <t>حاشیه ایمنی</t>
        </is>
      </c>
      <c r="B18" s="16" t="inlineStr">
        <is>
          <t>LEV.mos</t>
        </is>
      </c>
      <c r="C18" s="17" t="inlineStr">
        <is>
          <t>درصد</t>
        </is>
      </c>
      <c r="D18" s="32">
        <f>IFERROR(1-'ENG_LEV'!$D$16/'ENG_OPS'!$D$82,0)</f>
        <v/>
      </c>
      <c r="E18" s="32">
        <f>IFERROR(1-'ENG_LEV'!$E$16/'ENG_OPS'!$E$82,0)</f>
        <v/>
      </c>
      <c r="F18" s="32">
        <f>IFERROR(1-'ENG_LEV'!$F$16/'ENG_OPS'!$F$82,0)</f>
        <v/>
      </c>
      <c r="G18" s="32">
        <f>IFERROR(1-'ENG_LEV'!$G$16/'ENG_OPS'!$G$82,0)</f>
        <v/>
      </c>
      <c r="H18" s="32">
        <f>IFERROR(1-'ENG_LEV'!$H$16/'ENG_OPS'!$H$82,0)</f>
        <v/>
      </c>
      <c r="I18" s="32">
        <f>IFERROR(1-'ENG_LEV'!$I$16/'ENG_OPS'!$I$82,0)</f>
        <v/>
      </c>
      <c r="J18" s="32">
        <f>IFERROR(1-'ENG_LEV'!$J$16/'ENG_OPS'!$J$82,0)</f>
        <v/>
      </c>
      <c r="K18" s="32">
        <f>IFERROR(1-'ENG_LEV'!$K$16/'ENG_OPS'!$K$82,0)</f>
        <v/>
      </c>
      <c r="L18" s="32">
        <f>IFERROR(1-'ENG_LEV'!$L$16/'ENG_OPS'!$L$82,0)</f>
        <v/>
      </c>
      <c r="M18" s="32">
        <f>IFERROR(1-'ENG_LEV'!$M$16/'ENG_OPS'!$M$82,0)</f>
        <v/>
      </c>
      <c r="N18" s="32">
        <f>IFERROR(1-'ENG_LEV'!$N$16/'ENG_OPS'!$N$82,0)</f>
        <v/>
      </c>
      <c r="O18" s="32">
        <f>IFERROR(1-'ENG_LEV'!$O$16/'ENG_OPS'!$O$82,0)</f>
        <v/>
      </c>
      <c r="P18" s="32">
        <f>IFERROR(1-'ENG_LEV'!$P$16/'ENG_OPS'!$P$82,0)</f>
        <v/>
      </c>
    </row>
    <row r="19"/>
    <row r="20">
      <c r="A20" s="4" t="inlineStr">
        <is>
          <t>ب) درجات اهرم</t>
        </is>
      </c>
      <c r="B20" s="5" t="n"/>
      <c r="C20" s="5" t="n"/>
      <c r="D20" s="5" t="n"/>
      <c r="E20" s="5" t="n"/>
      <c r="F20" s="5" t="n"/>
      <c r="G20" s="5" t="n"/>
      <c r="H20" s="5" t="n"/>
      <c r="I20" s="5" t="n"/>
      <c r="J20" s="5" t="n"/>
      <c r="K20" s="5" t="n"/>
      <c r="L20" s="5" t="n"/>
      <c r="M20" s="5" t="n"/>
      <c r="N20" s="5" t="n"/>
      <c r="O20" s="5" t="n"/>
      <c r="P20" s="5" t="n"/>
      <c r="Q20" s="5" t="n"/>
    </row>
    <row r="21">
      <c r="A21" s="15" t="inlineStr">
        <is>
          <t>درجه اهرم عملیاتی (DOL)</t>
        </is>
      </c>
      <c r="B21" s="16" t="inlineStr">
        <is>
          <t>LEV.dol</t>
        </is>
      </c>
      <c r="C21" s="17" t="inlineStr">
        <is>
          <t>ضریب</t>
        </is>
      </c>
      <c r="D21" s="35">
        <f>IFERROR('ENG_LEV'!$D$12/'ENG_FCF'!$D$17,0)</f>
        <v/>
      </c>
      <c r="E21" s="35">
        <f>IFERROR('ENG_LEV'!$E$12/'ENG_FCF'!$E$17,0)</f>
        <v/>
      </c>
      <c r="F21" s="35">
        <f>IFERROR('ENG_LEV'!$F$12/'ENG_FCF'!$F$17,0)</f>
        <v/>
      </c>
      <c r="G21" s="35">
        <f>IFERROR('ENG_LEV'!$G$12/'ENG_FCF'!$G$17,0)</f>
        <v/>
      </c>
      <c r="H21" s="35">
        <f>IFERROR('ENG_LEV'!$H$12/'ENG_FCF'!$H$17,0)</f>
        <v/>
      </c>
      <c r="I21" s="35">
        <f>IFERROR('ENG_LEV'!$I$12/'ENG_FCF'!$I$17,0)</f>
        <v/>
      </c>
      <c r="J21" s="35">
        <f>IFERROR('ENG_LEV'!$J$12/'ENG_FCF'!$J$17,0)</f>
        <v/>
      </c>
      <c r="K21" s="35">
        <f>IFERROR('ENG_LEV'!$K$12/'ENG_FCF'!$K$17,0)</f>
        <v/>
      </c>
      <c r="L21" s="35">
        <f>IFERROR('ENG_LEV'!$L$12/'ENG_FCF'!$L$17,0)</f>
        <v/>
      </c>
      <c r="M21" s="35">
        <f>IFERROR('ENG_LEV'!$M$12/'ENG_FCF'!$M$17,0)</f>
        <v/>
      </c>
      <c r="N21" s="35">
        <f>IFERROR('ENG_LEV'!$N$12/'ENG_FCF'!$N$17,0)</f>
        <v/>
      </c>
      <c r="O21" s="35">
        <f>IFERROR('ENG_LEV'!$O$12/'ENG_FCF'!$O$17,0)</f>
        <v/>
      </c>
      <c r="P21" s="35">
        <f>IFERROR('ENG_LEV'!$P$12/'ENG_FCF'!$P$17,0)</f>
        <v/>
      </c>
    </row>
    <row r="22">
      <c r="A22" s="15" t="inlineStr">
        <is>
          <t>درجه اهرم مالی (DFL)</t>
        </is>
      </c>
      <c r="B22" s="16" t="inlineStr">
        <is>
          <t>LEV.dfl</t>
        </is>
      </c>
      <c r="C22" s="17" t="inlineStr">
        <is>
          <t>ضریب</t>
        </is>
      </c>
      <c r="D22" s="35">
        <f>IFERROR('ENG_FCF'!$D$17/'ENG_FCF'!$D$30,0)</f>
        <v/>
      </c>
      <c r="E22" s="35">
        <f>IFERROR('ENG_FCF'!$E$17/'ENG_FCF'!$E$30,0)</f>
        <v/>
      </c>
      <c r="F22" s="35">
        <f>IFERROR('ENG_FCF'!$F$17/'ENG_FCF'!$F$30,0)</f>
        <v/>
      </c>
      <c r="G22" s="35">
        <f>IFERROR('ENG_FCF'!$G$17/'ENG_FCF'!$G$30,0)</f>
        <v/>
      </c>
      <c r="H22" s="35">
        <f>IFERROR('ENG_FCF'!$H$17/'ENG_FCF'!$H$30,0)</f>
        <v/>
      </c>
      <c r="I22" s="35">
        <f>IFERROR('ENG_FCF'!$I$17/'ENG_FCF'!$I$30,0)</f>
        <v/>
      </c>
      <c r="J22" s="35">
        <f>IFERROR('ENG_FCF'!$J$17/'ENG_FCF'!$J$30,0)</f>
        <v/>
      </c>
      <c r="K22" s="35">
        <f>IFERROR('ENG_FCF'!$K$17/'ENG_FCF'!$K$30,0)</f>
        <v/>
      </c>
      <c r="L22" s="35">
        <f>IFERROR('ENG_FCF'!$L$17/'ENG_FCF'!$L$30,0)</f>
        <v/>
      </c>
      <c r="M22" s="35">
        <f>IFERROR('ENG_FCF'!$M$17/'ENG_FCF'!$M$30,0)</f>
        <v/>
      </c>
      <c r="N22" s="35">
        <f>IFERROR('ENG_FCF'!$N$17/'ENG_FCF'!$N$30,0)</f>
        <v/>
      </c>
      <c r="O22" s="35">
        <f>IFERROR('ENG_FCF'!$O$17/'ENG_FCF'!$O$30,0)</f>
        <v/>
      </c>
      <c r="P22" s="35">
        <f>IFERROR('ENG_FCF'!$P$17/'ENG_FCF'!$P$30,0)</f>
        <v/>
      </c>
    </row>
    <row r="23">
      <c r="A23" s="8" t="inlineStr">
        <is>
          <t>درجه اهرم ترکیبی (DTL)</t>
        </is>
      </c>
      <c r="B23" s="16" t="inlineStr">
        <is>
          <t>LEV.dtl</t>
        </is>
      </c>
      <c r="C23" s="17" t="inlineStr">
        <is>
          <t>ضریب</t>
        </is>
      </c>
      <c r="D23" s="35">
        <f>'ENG_LEV'!$D$21*'ENG_LEV'!$D$22</f>
        <v/>
      </c>
      <c r="E23" s="35">
        <f>'ENG_LEV'!$E$21*'ENG_LEV'!$E$22</f>
        <v/>
      </c>
      <c r="F23" s="35">
        <f>'ENG_LEV'!$F$21*'ENG_LEV'!$F$22</f>
        <v/>
      </c>
      <c r="G23" s="35">
        <f>'ENG_LEV'!$G$21*'ENG_LEV'!$G$22</f>
        <v/>
      </c>
      <c r="H23" s="35">
        <f>'ENG_LEV'!$H$21*'ENG_LEV'!$H$22</f>
        <v/>
      </c>
      <c r="I23" s="35">
        <f>'ENG_LEV'!$I$21*'ENG_LEV'!$I$22</f>
        <v/>
      </c>
      <c r="J23" s="35">
        <f>'ENG_LEV'!$J$21*'ENG_LEV'!$J$22</f>
        <v/>
      </c>
      <c r="K23" s="35">
        <f>'ENG_LEV'!$K$21*'ENG_LEV'!$K$22</f>
        <v/>
      </c>
      <c r="L23" s="35">
        <f>'ENG_LEV'!$L$21*'ENG_LEV'!$L$22</f>
        <v/>
      </c>
      <c r="M23" s="35">
        <f>'ENG_LEV'!$M$21*'ENG_LEV'!$M$22</f>
        <v/>
      </c>
      <c r="N23" s="35">
        <f>'ENG_LEV'!$N$21*'ENG_LEV'!$N$22</f>
        <v/>
      </c>
      <c r="O23" s="35">
        <f>'ENG_LEV'!$O$21*'ENG_LEV'!$O$22</f>
        <v/>
      </c>
      <c r="P23" s="35">
        <f>'ENG_LEV'!$P$21*'ENG_LEV'!$P$22</f>
        <v/>
      </c>
    </row>
    <row r="24">
      <c r="A24" s="15" t="inlineStr">
        <is>
          <t>تغییر سود خالص به ازای ۱٪ تغییر فروش</t>
        </is>
      </c>
      <c r="B24" s="16" t="inlineStr">
        <is>
          <t>LEV.sens_ni</t>
        </is>
      </c>
      <c r="C24" s="17" t="inlineStr">
        <is>
          <t>درصد</t>
        </is>
      </c>
      <c r="D24" s="32">
        <f>'ENG_LEV'!$D$23</f>
        <v/>
      </c>
      <c r="E24" s="32">
        <f>'ENG_LEV'!$E$23</f>
        <v/>
      </c>
      <c r="F24" s="32">
        <f>'ENG_LEV'!$F$23</f>
        <v/>
      </c>
      <c r="G24" s="32">
        <f>'ENG_LEV'!$G$23</f>
        <v/>
      </c>
      <c r="H24" s="32">
        <f>'ENG_LEV'!$H$23</f>
        <v/>
      </c>
      <c r="I24" s="32">
        <f>'ENG_LEV'!$I$23</f>
        <v/>
      </c>
      <c r="J24" s="32">
        <f>'ENG_LEV'!$J$23</f>
        <v/>
      </c>
      <c r="K24" s="32">
        <f>'ENG_LEV'!$K$23</f>
        <v/>
      </c>
      <c r="L24" s="32">
        <f>'ENG_LEV'!$L$23</f>
        <v/>
      </c>
      <c r="M24" s="32">
        <f>'ENG_LEV'!$M$23</f>
        <v/>
      </c>
      <c r="N24" s="32">
        <f>'ENG_LEV'!$N$23</f>
        <v/>
      </c>
      <c r="O24" s="32">
        <f>'ENG_LEV'!$O$23</f>
        <v/>
      </c>
      <c r="P24" s="32">
        <f>'ENG_LEV'!$P$23</f>
        <v/>
      </c>
    </row>
    <row r="25"/>
    <row r="26">
      <c r="A26" s="4" t="inlineStr">
        <is>
          <t>ج) بازدهی و ساختار سرمایه</t>
        </is>
      </c>
      <c r="B26" s="5" t="n"/>
      <c r="C26" s="5" t="n"/>
      <c r="D26" s="5" t="n"/>
      <c r="E26" s="5" t="n"/>
      <c r="F26" s="5" t="n"/>
      <c r="G26" s="5" t="n"/>
      <c r="H26" s="5" t="n"/>
      <c r="I26" s="5" t="n"/>
      <c r="J26" s="5" t="n"/>
      <c r="K26" s="5" t="n"/>
      <c r="L26" s="5" t="n"/>
      <c r="M26" s="5" t="n"/>
      <c r="N26" s="5" t="n"/>
      <c r="O26" s="5" t="n"/>
      <c r="P26" s="5" t="n"/>
      <c r="Q26" s="5" t="n"/>
    </row>
    <row r="27">
      <c r="A27" s="15" t="inlineStr">
        <is>
          <t>بازده حقوق صاحبان سهام (ROE)</t>
        </is>
      </c>
      <c r="B27" s="16" t="inlineStr">
        <is>
          <t>LEV.roe</t>
        </is>
      </c>
      <c r="C27" s="17" t="inlineStr">
        <is>
          <t>درصد</t>
        </is>
      </c>
      <c r="D27" s="32">
        <f>IFERROR('ENG_FCF'!$D$32/'ENG_FCF'!$D$59,0)</f>
        <v/>
      </c>
      <c r="E27" s="32">
        <f>IFERROR('ENG_FCF'!$E$32/'ENG_FCF'!$E$59,0)</f>
        <v/>
      </c>
      <c r="F27" s="32">
        <f>IFERROR('ENG_FCF'!$F$32/'ENG_FCF'!$F$59,0)</f>
        <v/>
      </c>
      <c r="G27" s="32">
        <f>IFERROR('ENG_FCF'!$G$32/'ENG_FCF'!$G$59,0)</f>
        <v/>
      </c>
      <c r="H27" s="32">
        <f>IFERROR('ENG_FCF'!$H$32/'ENG_FCF'!$H$59,0)</f>
        <v/>
      </c>
      <c r="I27" s="32">
        <f>IFERROR('ENG_FCF'!$I$32/'ENG_FCF'!$I$59,0)</f>
        <v/>
      </c>
      <c r="J27" s="32">
        <f>IFERROR('ENG_FCF'!$J$32/'ENG_FCF'!$J$59,0)</f>
        <v/>
      </c>
      <c r="K27" s="32">
        <f>IFERROR('ENG_FCF'!$K$32/'ENG_FCF'!$K$59,0)</f>
        <v/>
      </c>
      <c r="L27" s="32">
        <f>IFERROR('ENG_FCF'!$L$32/'ENG_FCF'!$L$59,0)</f>
        <v/>
      </c>
      <c r="M27" s="32">
        <f>IFERROR('ENG_FCF'!$M$32/'ENG_FCF'!$M$59,0)</f>
        <v/>
      </c>
      <c r="N27" s="32">
        <f>IFERROR('ENG_FCF'!$N$32/'ENG_FCF'!$N$59,0)</f>
        <v/>
      </c>
      <c r="O27" s="32">
        <f>IFERROR('ENG_FCF'!$O$32/'ENG_FCF'!$O$59,0)</f>
        <v/>
      </c>
      <c r="P27" s="32">
        <f>IFERROR('ENG_FCF'!$P$32/'ENG_FCF'!$P$59,0)</f>
        <v/>
      </c>
    </row>
    <row r="28">
      <c r="A28" s="15" t="inlineStr">
        <is>
          <t>بازده دارایی‌ها (ROA)</t>
        </is>
      </c>
      <c r="B28" s="16" t="inlineStr">
        <is>
          <t>LEV.roa</t>
        </is>
      </c>
      <c r="C28" s="17" t="inlineStr">
        <is>
          <t>درصد</t>
        </is>
      </c>
      <c r="D28" s="32">
        <f>IFERROR('ENG_FCF'!$D$32/'ENG_FCF'!$D$65,0)</f>
        <v/>
      </c>
      <c r="E28" s="32">
        <f>IFERROR('ENG_FCF'!$E$32/'ENG_FCF'!$E$65,0)</f>
        <v/>
      </c>
      <c r="F28" s="32">
        <f>IFERROR('ENG_FCF'!$F$32/'ENG_FCF'!$F$65,0)</f>
        <v/>
      </c>
      <c r="G28" s="32">
        <f>IFERROR('ENG_FCF'!$G$32/'ENG_FCF'!$G$65,0)</f>
        <v/>
      </c>
      <c r="H28" s="32">
        <f>IFERROR('ENG_FCF'!$H$32/'ENG_FCF'!$H$65,0)</f>
        <v/>
      </c>
      <c r="I28" s="32">
        <f>IFERROR('ENG_FCF'!$I$32/'ENG_FCF'!$I$65,0)</f>
        <v/>
      </c>
      <c r="J28" s="32">
        <f>IFERROR('ENG_FCF'!$J$32/'ENG_FCF'!$J$65,0)</f>
        <v/>
      </c>
      <c r="K28" s="32">
        <f>IFERROR('ENG_FCF'!$K$32/'ENG_FCF'!$K$65,0)</f>
        <v/>
      </c>
      <c r="L28" s="32">
        <f>IFERROR('ENG_FCF'!$L$32/'ENG_FCF'!$L$65,0)</f>
        <v/>
      </c>
      <c r="M28" s="32">
        <f>IFERROR('ENG_FCF'!$M$32/'ENG_FCF'!$M$65,0)</f>
        <v/>
      </c>
      <c r="N28" s="32">
        <f>IFERROR('ENG_FCF'!$N$32/'ENG_FCF'!$N$65,0)</f>
        <v/>
      </c>
      <c r="O28" s="32">
        <f>IFERROR('ENG_FCF'!$O$32/'ENG_FCF'!$O$65,0)</f>
        <v/>
      </c>
      <c r="P28" s="32">
        <f>IFERROR('ENG_FCF'!$P$32/'ENG_FCF'!$P$65,0)</f>
        <v/>
      </c>
    </row>
    <row r="29">
      <c r="A29" s="15" t="inlineStr">
        <is>
          <t>بازده سرمایه به‌کارگرفته‌شده (ROIC)</t>
        </is>
      </c>
      <c r="B29" s="16" t="inlineStr">
        <is>
          <t>LEV.roic</t>
        </is>
      </c>
      <c r="C29" s="17" t="inlineStr">
        <is>
          <t>درصد</t>
        </is>
      </c>
      <c r="D29" s="32">
        <f>IFERROR('ENG_FCF'!$D$35/('ENG_FCF'!$D$67+'ENG_FCF'!$D$59),0)</f>
        <v/>
      </c>
      <c r="E29" s="32">
        <f>IFERROR('ENG_FCF'!$E$35/('ENG_FCF'!$E$67+'ENG_FCF'!$E$59),0)</f>
        <v/>
      </c>
      <c r="F29" s="32">
        <f>IFERROR('ENG_FCF'!$F$35/('ENG_FCF'!$F$67+'ENG_FCF'!$F$59),0)</f>
        <v/>
      </c>
      <c r="G29" s="32">
        <f>IFERROR('ENG_FCF'!$G$35/('ENG_FCF'!$G$67+'ENG_FCF'!$G$59),0)</f>
        <v/>
      </c>
      <c r="H29" s="32">
        <f>IFERROR('ENG_FCF'!$H$35/('ENG_FCF'!$H$67+'ENG_FCF'!$H$59),0)</f>
        <v/>
      </c>
      <c r="I29" s="32">
        <f>IFERROR('ENG_FCF'!$I$35/('ENG_FCF'!$I$67+'ENG_FCF'!$I$59),0)</f>
        <v/>
      </c>
      <c r="J29" s="32">
        <f>IFERROR('ENG_FCF'!$J$35/('ENG_FCF'!$J$67+'ENG_FCF'!$J$59),0)</f>
        <v/>
      </c>
      <c r="K29" s="32">
        <f>IFERROR('ENG_FCF'!$K$35/('ENG_FCF'!$K$67+'ENG_FCF'!$K$59),0)</f>
        <v/>
      </c>
      <c r="L29" s="32">
        <f>IFERROR('ENG_FCF'!$L$35/('ENG_FCF'!$L$67+'ENG_FCF'!$L$59),0)</f>
        <v/>
      </c>
      <c r="M29" s="32">
        <f>IFERROR('ENG_FCF'!$M$35/('ENG_FCF'!$M$67+'ENG_FCF'!$M$59),0)</f>
        <v/>
      </c>
      <c r="N29" s="32">
        <f>IFERROR('ENG_FCF'!$N$35/('ENG_FCF'!$N$67+'ENG_FCF'!$N$59),0)</f>
        <v/>
      </c>
      <c r="O29" s="32">
        <f>IFERROR('ENG_FCF'!$O$35/('ENG_FCF'!$O$67+'ENG_FCF'!$O$59),0)</f>
        <v/>
      </c>
      <c r="P29" s="32">
        <f>IFERROR('ENG_FCF'!$P$35/('ENG_FCF'!$P$67+'ENG_FCF'!$P$59),0)</f>
        <v/>
      </c>
    </row>
    <row r="30">
      <c r="A30" s="15" t="inlineStr">
        <is>
          <t>نسبت بدهی به حقوق صاحبان سهام</t>
        </is>
      </c>
      <c r="B30" s="16" t="inlineStr">
        <is>
          <t>LEV.de</t>
        </is>
      </c>
      <c r="C30" s="17" t="inlineStr">
        <is>
          <t>ضریب</t>
        </is>
      </c>
      <c r="D30" s="35">
        <f>IFERROR('ENG_FCF'!$D$67/'ENG_FCF'!$D$59,0)</f>
        <v/>
      </c>
      <c r="E30" s="35">
        <f>IFERROR('ENG_FCF'!$E$67/'ENG_FCF'!$E$59,0)</f>
        <v/>
      </c>
      <c r="F30" s="35">
        <f>IFERROR('ENG_FCF'!$F$67/'ENG_FCF'!$F$59,0)</f>
        <v/>
      </c>
      <c r="G30" s="35">
        <f>IFERROR('ENG_FCF'!$G$67/'ENG_FCF'!$G$59,0)</f>
        <v/>
      </c>
      <c r="H30" s="35">
        <f>IFERROR('ENG_FCF'!$H$67/'ENG_FCF'!$H$59,0)</f>
        <v/>
      </c>
      <c r="I30" s="35">
        <f>IFERROR('ENG_FCF'!$I$67/'ENG_FCF'!$I$59,0)</f>
        <v/>
      </c>
      <c r="J30" s="35">
        <f>IFERROR('ENG_FCF'!$J$67/'ENG_FCF'!$J$59,0)</f>
        <v/>
      </c>
      <c r="K30" s="35">
        <f>IFERROR('ENG_FCF'!$K$67/'ENG_FCF'!$K$59,0)</f>
        <v/>
      </c>
      <c r="L30" s="35">
        <f>IFERROR('ENG_FCF'!$L$67/'ENG_FCF'!$L$59,0)</f>
        <v/>
      </c>
      <c r="M30" s="35">
        <f>IFERROR('ENG_FCF'!$M$67/'ENG_FCF'!$M$59,0)</f>
        <v/>
      </c>
      <c r="N30" s="35">
        <f>IFERROR('ENG_FCF'!$N$67/'ENG_FCF'!$N$59,0)</f>
        <v/>
      </c>
      <c r="O30" s="35">
        <f>IFERROR('ENG_FCF'!$O$67/'ENG_FCF'!$O$59,0)</f>
        <v/>
      </c>
      <c r="P30" s="35">
        <f>IFERROR('ENG_FCF'!$P$67/'ENG_FCF'!$P$59,0)</f>
        <v/>
      </c>
    </row>
    <row r="31">
      <c r="A31" s="15" t="inlineStr">
        <is>
          <t>نسبت بدهی به EBITDA</t>
        </is>
      </c>
      <c r="B31" s="16" t="inlineStr">
        <is>
          <t>LEV.debt_ebitda</t>
        </is>
      </c>
      <c r="C31" s="17" t="inlineStr">
        <is>
          <t>ضریب</t>
        </is>
      </c>
      <c r="D31" s="35">
        <f>IFERROR('ENG_FCF'!$D$67/'ENG_FCF'!$D$15,0)</f>
        <v/>
      </c>
      <c r="E31" s="35">
        <f>IFERROR('ENG_FCF'!$E$67/'ENG_FCF'!$E$15,0)</f>
        <v/>
      </c>
      <c r="F31" s="35">
        <f>IFERROR('ENG_FCF'!$F$67/'ENG_FCF'!$F$15,0)</f>
        <v/>
      </c>
      <c r="G31" s="35">
        <f>IFERROR('ENG_FCF'!$G$67/'ENG_FCF'!$G$15,0)</f>
        <v/>
      </c>
      <c r="H31" s="35">
        <f>IFERROR('ENG_FCF'!$H$67/'ENG_FCF'!$H$15,0)</f>
        <v/>
      </c>
      <c r="I31" s="35">
        <f>IFERROR('ENG_FCF'!$I$67/'ENG_FCF'!$I$15,0)</f>
        <v/>
      </c>
      <c r="J31" s="35">
        <f>IFERROR('ENG_FCF'!$J$67/'ENG_FCF'!$J$15,0)</f>
        <v/>
      </c>
      <c r="K31" s="35">
        <f>IFERROR('ENG_FCF'!$K$67/'ENG_FCF'!$K$15,0)</f>
        <v/>
      </c>
      <c r="L31" s="35">
        <f>IFERROR('ENG_FCF'!$L$67/'ENG_FCF'!$L$15,0)</f>
        <v/>
      </c>
      <c r="M31" s="35">
        <f>IFERROR('ENG_FCF'!$M$67/'ENG_FCF'!$M$15,0)</f>
        <v/>
      </c>
      <c r="N31" s="35">
        <f>IFERROR('ENG_FCF'!$N$67/'ENG_FCF'!$N$15,0)</f>
        <v/>
      </c>
      <c r="O31" s="35">
        <f>IFERROR('ENG_FCF'!$O$67/'ENG_FCF'!$O$15,0)</f>
        <v/>
      </c>
      <c r="P31" s="35">
        <f>IFERROR('ENG_FCF'!$P$67/'ENG_FCF'!$P$15,0)</f>
        <v/>
      </c>
    </row>
    <row r="32">
      <c r="A32" s="15" t="inlineStr">
        <is>
          <t>بدهی خالص به EBITDA</t>
        </is>
      </c>
      <c r="B32" s="16" t="inlineStr">
        <is>
          <t>LEV.net_debt_ebitda</t>
        </is>
      </c>
      <c r="C32" s="17" t="inlineStr">
        <is>
          <t>ضریب</t>
        </is>
      </c>
      <c r="D32" s="35">
        <f>IFERROR(('ENG_FCF'!$D$67-'ENG_FCF'!$D$56)/'ENG_FCF'!$D$15,0)</f>
        <v/>
      </c>
      <c r="E32" s="35">
        <f>IFERROR(('ENG_FCF'!$E$67-'ENG_FCF'!$E$56)/'ENG_FCF'!$E$15,0)</f>
        <v/>
      </c>
      <c r="F32" s="35">
        <f>IFERROR(('ENG_FCF'!$F$67-'ENG_FCF'!$F$56)/'ENG_FCF'!$F$15,0)</f>
        <v/>
      </c>
      <c r="G32" s="35">
        <f>IFERROR(('ENG_FCF'!$G$67-'ENG_FCF'!$G$56)/'ENG_FCF'!$G$15,0)</f>
        <v/>
      </c>
      <c r="H32" s="35">
        <f>IFERROR(('ENG_FCF'!$H$67-'ENG_FCF'!$H$56)/'ENG_FCF'!$H$15,0)</f>
        <v/>
      </c>
      <c r="I32" s="35">
        <f>IFERROR(('ENG_FCF'!$I$67-'ENG_FCF'!$I$56)/'ENG_FCF'!$I$15,0)</f>
        <v/>
      </c>
      <c r="J32" s="35">
        <f>IFERROR(('ENG_FCF'!$J$67-'ENG_FCF'!$J$56)/'ENG_FCF'!$J$15,0)</f>
        <v/>
      </c>
      <c r="K32" s="35">
        <f>IFERROR(('ENG_FCF'!$K$67-'ENG_FCF'!$K$56)/'ENG_FCF'!$K$15,0)</f>
        <v/>
      </c>
      <c r="L32" s="35">
        <f>IFERROR(('ENG_FCF'!$L$67-'ENG_FCF'!$L$56)/'ENG_FCF'!$L$15,0)</f>
        <v/>
      </c>
      <c r="M32" s="35">
        <f>IFERROR(('ENG_FCF'!$M$67-'ENG_FCF'!$M$56)/'ENG_FCF'!$M$15,0)</f>
        <v/>
      </c>
      <c r="N32" s="35">
        <f>IFERROR(('ENG_FCF'!$N$67-'ENG_FCF'!$N$56)/'ENG_FCF'!$N$15,0)</f>
        <v/>
      </c>
      <c r="O32" s="35">
        <f>IFERROR(('ENG_FCF'!$O$67-'ENG_FCF'!$O$56)/'ENG_FCF'!$O$15,0)</f>
        <v/>
      </c>
      <c r="P32" s="35">
        <f>IFERROR(('ENG_FCF'!$P$67-'ENG_FCF'!$P$56)/'ENG_FCF'!$P$15,0)</f>
        <v/>
      </c>
    </row>
  </sheetData>
  <pageMargins left="0.75" right="0.75" top="1" bottom="1" header="0.5" footer="0.5"/>
</worksheet>
</file>

<file path=xl/worksheets/sheet18.xml><?xml version="1.0" encoding="utf-8"?>
<worksheet xmlns="http://schemas.openxmlformats.org/spreadsheetml/2006/main">
  <sheetPr>
    <tabColor rgb="00A6A6A6"/>
    <outlinePr summaryBelow="1" summaryRight="1"/>
    <pageSetUpPr/>
  </sheetPr>
  <dimension ref="A1:AG55"/>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1" t="inlineStr">
        <is>
          <t>موتور سناریو و حساسیت - ماتریس‌های FCF</t>
        </is>
      </c>
      <c r="B1" s="2" t="inlineStr">
        <is>
          <t>موتور محاسبات</t>
        </is>
      </c>
    </row>
    <row r="2">
      <c r="A2" s="3" t="inlineStr">
        <is>
          <t>بازمحاسبهٔ جریان نقد آزاد و NPV برای شبکهٔ دوبعدی نرخ بهره × نرخ ارز و نرخ بهره × قیمت فروش.</t>
        </is>
      </c>
    </row>
    <row r="3"/>
    <row r="4">
      <c r="A4" s="8" t="inlineStr">
        <is>
          <t>کلید</t>
        </is>
      </c>
      <c r="D4" s="8" t="inlineStr">
        <is>
          <t>انحراف نرخ بهره</t>
        </is>
      </c>
      <c r="E4" s="8" t="inlineStr">
        <is>
          <t>انحراف نرخ ارز</t>
        </is>
      </c>
      <c r="F4" s="8" t="inlineStr">
        <is>
          <t>انحراف قیمت فروش</t>
        </is>
      </c>
      <c r="G4" s="8" t="inlineStr">
        <is>
          <t>FCF t=0</t>
        </is>
      </c>
      <c r="H4" s="8" t="inlineStr">
        <is>
          <t>FCF t=1</t>
        </is>
      </c>
      <c r="I4" s="8" t="inlineStr">
        <is>
          <t>FCF t=2</t>
        </is>
      </c>
      <c r="J4" s="8" t="inlineStr">
        <is>
          <t>FCF t=3</t>
        </is>
      </c>
      <c r="K4" s="8" t="inlineStr">
        <is>
          <t>FCF t=4</t>
        </is>
      </c>
      <c r="L4" s="8" t="inlineStr">
        <is>
          <t>FCF t=5</t>
        </is>
      </c>
      <c r="M4" s="8" t="inlineStr">
        <is>
          <t>FCF t=6</t>
        </is>
      </c>
      <c r="N4" s="8" t="inlineStr">
        <is>
          <t>FCF t=7</t>
        </is>
      </c>
      <c r="O4" s="8" t="inlineStr">
        <is>
          <t>FCF t=8</t>
        </is>
      </c>
      <c r="P4" s="8" t="inlineStr">
        <is>
          <t>FCF t=9</t>
        </is>
      </c>
      <c r="Q4" s="8" t="inlineStr">
        <is>
          <t>FCF t=10</t>
        </is>
      </c>
      <c r="R4" s="8" t="inlineStr">
        <is>
          <t>FCF t=11</t>
        </is>
      </c>
      <c r="S4" s="8" t="inlineStr">
        <is>
          <t>FCF t=12</t>
        </is>
      </c>
      <c r="T4" s="8" t="inlineStr">
        <is>
          <t>ضریب تنزیل t=0</t>
        </is>
      </c>
      <c r="U4" s="8" t="inlineStr">
        <is>
          <t>ضریب تنزیل t=1</t>
        </is>
      </c>
      <c r="V4" s="8" t="inlineStr">
        <is>
          <t>ضریب تنزیل t=2</t>
        </is>
      </c>
      <c r="W4" s="8" t="inlineStr">
        <is>
          <t>ضریب تنزیل t=3</t>
        </is>
      </c>
      <c r="X4" s="8" t="inlineStr">
        <is>
          <t>ضریب تنزیل t=4</t>
        </is>
      </c>
      <c r="Y4" s="8" t="inlineStr">
        <is>
          <t>ضریب تنزیل t=5</t>
        </is>
      </c>
      <c r="Z4" s="8" t="inlineStr">
        <is>
          <t>ضریب تنزیل t=6</t>
        </is>
      </c>
      <c r="AA4" s="8" t="inlineStr">
        <is>
          <t>ضریب تنزیل t=7</t>
        </is>
      </c>
      <c r="AB4" s="8" t="inlineStr">
        <is>
          <t>ضریب تنزیل t=8</t>
        </is>
      </c>
      <c r="AC4" s="8" t="inlineStr">
        <is>
          <t>ضریب تنزیل t=9</t>
        </is>
      </c>
      <c r="AD4" s="8" t="inlineStr">
        <is>
          <t>ضریب تنزیل t=10</t>
        </is>
      </c>
      <c r="AE4" s="8" t="inlineStr">
        <is>
          <t>ضریب تنزیل t=11</t>
        </is>
      </c>
      <c r="AF4" s="8" t="inlineStr">
        <is>
          <t>ضریب تنزیل t=12</t>
        </is>
      </c>
      <c r="AG4" s="8" t="inlineStr">
        <is>
          <t>NPV</t>
        </is>
      </c>
    </row>
    <row r="5"/>
    <row r="6">
      <c r="A6" t="inlineStr">
        <is>
          <t>FX|0|0</t>
        </is>
      </c>
      <c r="D6" s="38">
        <f>'IN_SCEN'!$D$24</f>
        <v/>
      </c>
      <c r="E6" s="38">
        <f>'IN_SCEN'!$D$25</f>
        <v/>
      </c>
      <c r="F6" s="38">
        <f>0</f>
        <v/>
      </c>
      <c r="G6" s="36">
        <f>(('ENG_OPS'!$D$81*(1+AVERAGE('ENG_OPS'!$D$84:$P$84)*E6)*(1+F6))-('ENG_COST'!$D$266*(1+'IN_COST'!$D$8*E6))-('ENG_COST'!$D$268*(1+'IN_COST'!$D$9*E6))-('ENG_CAPEX'!$D$81*(1+'ENG_CAPEX'!$D$23*E6)))-MAX(0,(('ENG_OPS'!$D$81*(1+AVERAGE('ENG_OPS'!$D$84:$P$84)*E6)*(1+F6))-('ENG_COST'!$D$266*(1+'IN_COST'!$D$8*E6))-('ENG_COST'!$D$268*(1+'IN_COST'!$D$9*E6))-('ENG_CAPEX'!$D$81*(1+'ENG_CAPEX'!$D$23*E6))))*'IN_MACRO'!$D$14+('ENG_CAPEX'!$D$81*(1+'ENG_CAPEX'!$D$23*E6))-(('ENG_CAPEX'!$D$21+'ENG_CAPEX'!$D$42)*(1+'ENG_CAPEX'!$D$23*E6))-('ENG_WC'!$D$19*(1+AVERAGE('ENG_OPS'!$D$84:$P$84)*E6)*(1+F6))</f>
        <v/>
      </c>
      <c r="H6" s="36">
        <f>(('ENG_OPS'!$E$81*(1+AVERAGE('ENG_OPS'!$D$84:$P$84)*E6)*(1+F6))-('ENG_COST'!$E$266*(1+'IN_COST'!$D$8*E6))-('ENG_COST'!$E$268*(1+'IN_COST'!$D$9*E6))-('ENG_CAPEX'!$E$81*(1+'ENG_CAPEX'!$D$23*E6)))-MAX(0,(('ENG_OPS'!$E$81*(1+AVERAGE('ENG_OPS'!$D$84:$P$84)*E6)*(1+F6))-('ENG_COST'!$E$266*(1+'IN_COST'!$D$8*E6))-('ENG_COST'!$E$268*(1+'IN_COST'!$D$9*E6))-('ENG_CAPEX'!$E$81*(1+'ENG_CAPEX'!$D$23*E6))))*'IN_MACRO'!$D$14+('ENG_CAPEX'!$E$81*(1+'ENG_CAPEX'!$D$23*E6))-(('ENG_CAPEX'!$E$21+'ENG_CAPEX'!$E$42)*(1+'ENG_CAPEX'!$D$23*E6))-('ENG_WC'!$E$19*(1+AVERAGE('ENG_OPS'!$D$84:$P$84)*E6)*(1+F6))</f>
        <v/>
      </c>
      <c r="I6" s="36">
        <f>(('ENG_OPS'!$F$81*(1+AVERAGE('ENG_OPS'!$D$84:$P$84)*E6)*(1+F6))-('ENG_COST'!$F$266*(1+'IN_COST'!$D$8*E6))-('ENG_COST'!$F$268*(1+'IN_COST'!$D$9*E6))-('ENG_CAPEX'!$F$81*(1+'ENG_CAPEX'!$D$23*E6)))-MAX(0,(('ENG_OPS'!$F$81*(1+AVERAGE('ENG_OPS'!$D$84:$P$84)*E6)*(1+F6))-('ENG_COST'!$F$266*(1+'IN_COST'!$D$8*E6))-('ENG_COST'!$F$268*(1+'IN_COST'!$D$9*E6))-('ENG_CAPEX'!$F$81*(1+'ENG_CAPEX'!$D$23*E6))))*'IN_MACRO'!$D$14+('ENG_CAPEX'!$F$81*(1+'ENG_CAPEX'!$D$23*E6))-(('ENG_CAPEX'!$F$21+'ENG_CAPEX'!$F$42)*(1+'ENG_CAPEX'!$D$23*E6))-('ENG_WC'!$F$19*(1+AVERAGE('ENG_OPS'!$D$84:$P$84)*E6)*(1+F6))</f>
        <v/>
      </c>
      <c r="J6" s="36">
        <f>(('ENG_OPS'!$G$81*(1+AVERAGE('ENG_OPS'!$D$84:$P$84)*E6)*(1+F6))-('ENG_COST'!$G$266*(1+'IN_COST'!$D$8*E6))-('ENG_COST'!$G$268*(1+'IN_COST'!$D$9*E6))-('ENG_CAPEX'!$G$81*(1+'ENG_CAPEX'!$D$23*E6)))-MAX(0,(('ENG_OPS'!$G$81*(1+AVERAGE('ENG_OPS'!$D$84:$P$84)*E6)*(1+F6))-('ENG_COST'!$G$266*(1+'IN_COST'!$D$8*E6))-('ENG_COST'!$G$268*(1+'IN_COST'!$D$9*E6))-('ENG_CAPEX'!$G$81*(1+'ENG_CAPEX'!$D$23*E6))))*'IN_MACRO'!$D$14+('ENG_CAPEX'!$G$81*(1+'ENG_CAPEX'!$D$23*E6))-(('ENG_CAPEX'!$G$21+'ENG_CAPEX'!$G$42)*(1+'ENG_CAPEX'!$D$23*E6))-('ENG_WC'!$G$19*(1+AVERAGE('ENG_OPS'!$D$84:$P$84)*E6)*(1+F6))</f>
        <v/>
      </c>
      <c r="K6" s="36">
        <f>(('ENG_OPS'!$H$81*(1+AVERAGE('ENG_OPS'!$D$84:$P$84)*E6)*(1+F6))-('ENG_COST'!$H$266*(1+'IN_COST'!$D$8*E6))-('ENG_COST'!$H$268*(1+'IN_COST'!$D$9*E6))-('ENG_CAPEX'!$H$81*(1+'ENG_CAPEX'!$D$23*E6)))-MAX(0,(('ENG_OPS'!$H$81*(1+AVERAGE('ENG_OPS'!$D$84:$P$84)*E6)*(1+F6))-('ENG_COST'!$H$266*(1+'IN_COST'!$D$8*E6))-('ENG_COST'!$H$268*(1+'IN_COST'!$D$9*E6))-('ENG_CAPEX'!$H$81*(1+'ENG_CAPEX'!$D$23*E6))))*'IN_MACRO'!$D$14+('ENG_CAPEX'!$H$81*(1+'ENG_CAPEX'!$D$23*E6))-(('ENG_CAPEX'!$H$21+'ENG_CAPEX'!$H$42)*(1+'ENG_CAPEX'!$D$23*E6))-('ENG_WC'!$H$19*(1+AVERAGE('ENG_OPS'!$D$84:$P$84)*E6)*(1+F6))</f>
        <v/>
      </c>
      <c r="L6" s="36">
        <f>(('ENG_OPS'!$I$81*(1+AVERAGE('ENG_OPS'!$D$84:$P$84)*E6)*(1+F6))-('ENG_COST'!$I$266*(1+'IN_COST'!$D$8*E6))-('ENG_COST'!$I$268*(1+'IN_COST'!$D$9*E6))-('ENG_CAPEX'!$I$81*(1+'ENG_CAPEX'!$D$23*E6)))-MAX(0,(('ENG_OPS'!$I$81*(1+AVERAGE('ENG_OPS'!$D$84:$P$84)*E6)*(1+F6))-('ENG_COST'!$I$266*(1+'IN_COST'!$D$8*E6))-('ENG_COST'!$I$268*(1+'IN_COST'!$D$9*E6))-('ENG_CAPEX'!$I$81*(1+'ENG_CAPEX'!$D$23*E6))))*'IN_MACRO'!$D$14+('ENG_CAPEX'!$I$81*(1+'ENG_CAPEX'!$D$23*E6))-(('ENG_CAPEX'!$I$21+'ENG_CAPEX'!$I$42)*(1+'ENG_CAPEX'!$D$23*E6))-('ENG_WC'!$I$19*(1+AVERAGE('ENG_OPS'!$D$84:$P$84)*E6)*(1+F6))</f>
        <v/>
      </c>
      <c r="M6" s="36">
        <f>(('ENG_OPS'!$J$81*(1+AVERAGE('ENG_OPS'!$D$84:$P$84)*E6)*(1+F6))-('ENG_COST'!$J$266*(1+'IN_COST'!$D$8*E6))-('ENG_COST'!$J$268*(1+'IN_COST'!$D$9*E6))-('ENG_CAPEX'!$J$81*(1+'ENG_CAPEX'!$D$23*E6)))-MAX(0,(('ENG_OPS'!$J$81*(1+AVERAGE('ENG_OPS'!$D$84:$P$84)*E6)*(1+F6))-('ENG_COST'!$J$266*(1+'IN_COST'!$D$8*E6))-('ENG_COST'!$J$268*(1+'IN_COST'!$D$9*E6))-('ENG_CAPEX'!$J$81*(1+'ENG_CAPEX'!$D$23*E6))))*'IN_MACRO'!$D$14+('ENG_CAPEX'!$J$81*(1+'ENG_CAPEX'!$D$23*E6))-(('ENG_CAPEX'!$J$21+'ENG_CAPEX'!$J$42)*(1+'ENG_CAPEX'!$D$23*E6))-('ENG_WC'!$J$19*(1+AVERAGE('ENG_OPS'!$D$84:$P$84)*E6)*(1+F6))</f>
        <v/>
      </c>
      <c r="N6" s="36">
        <f>(('ENG_OPS'!$K$81*(1+AVERAGE('ENG_OPS'!$D$84:$P$84)*E6)*(1+F6))-('ENG_COST'!$K$266*(1+'IN_COST'!$D$8*E6))-('ENG_COST'!$K$268*(1+'IN_COST'!$D$9*E6))-('ENG_CAPEX'!$K$81*(1+'ENG_CAPEX'!$D$23*E6)))-MAX(0,(('ENG_OPS'!$K$81*(1+AVERAGE('ENG_OPS'!$D$84:$P$84)*E6)*(1+F6))-('ENG_COST'!$K$266*(1+'IN_COST'!$D$8*E6))-('ENG_COST'!$K$268*(1+'IN_COST'!$D$9*E6))-('ENG_CAPEX'!$K$81*(1+'ENG_CAPEX'!$D$23*E6))))*'IN_MACRO'!$D$14+('ENG_CAPEX'!$K$81*(1+'ENG_CAPEX'!$D$23*E6))-(('ENG_CAPEX'!$K$21+'ENG_CAPEX'!$K$42)*(1+'ENG_CAPEX'!$D$23*E6))-('ENG_WC'!$K$19*(1+AVERAGE('ENG_OPS'!$D$84:$P$84)*E6)*(1+F6))</f>
        <v/>
      </c>
      <c r="O6" s="36">
        <f>(('ENG_OPS'!$L$81*(1+AVERAGE('ENG_OPS'!$D$84:$P$84)*E6)*(1+F6))-('ENG_COST'!$L$266*(1+'IN_COST'!$D$8*E6))-('ENG_COST'!$L$268*(1+'IN_COST'!$D$9*E6))-('ENG_CAPEX'!$L$81*(1+'ENG_CAPEX'!$D$23*E6)))-MAX(0,(('ENG_OPS'!$L$81*(1+AVERAGE('ENG_OPS'!$D$84:$P$84)*E6)*(1+F6))-('ENG_COST'!$L$266*(1+'IN_COST'!$D$8*E6))-('ENG_COST'!$L$268*(1+'IN_COST'!$D$9*E6))-('ENG_CAPEX'!$L$81*(1+'ENG_CAPEX'!$D$23*E6))))*'IN_MACRO'!$D$14+('ENG_CAPEX'!$L$81*(1+'ENG_CAPEX'!$D$23*E6))-(('ENG_CAPEX'!$L$21+'ENG_CAPEX'!$L$42)*(1+'ENG_CAPEX'!$D$23*E6))-('ENG_WC'!$L$19*(1+AVERAGE('ENG_OPS'!$D$84:$P$84)*E6)*(1+F6))</f>
        <v/>
      </c>
      <c r="P6" s="36">
        <f>(('ENG_OPS'!$M$81*(1+AVERAGE('ENG_OPS'!$D$84:$P$84)*E6)*(1+F6))-('ENG_COST'!$M$266*(1+'IN_COST'!$D$8*E6))-('ENG_COST'!$M$268*(1+'IN_COST'!$D$9*E6))-('ENG_CAPEX'!$M$81*(1+'ENG_CAPEX'!$D$23*E6)))-MAX(0,(('ENG_OPS'!$M$81*(1+AVERAGE('ENG_OPS'!$D$84:$P$84)*E6)*(1+F6))-('ENG_COST'!$M$266*(1+'IN_COST'!$D$8*E6))-('ENG_COST'!$M$268*(1+'IN_COST'!$D$9*E6))-('ENG_CAPEX'!$M$81*(1+'ENG_CAPEX'!$D$23*E6))))*'IN_MACRO'!$D$14+('ENG_CAPEX'!$M$81*(1+'ENG_CAPEX'!$D$23*E6))-(('ENG_CAPEX'!$M$21+'ENG_CAPEX'!$M$42)*(1+'ENG_CAPEX'!$D$23*E6))-('ENG_WC'!$M$19*(1+AVERAGE('ENG_OPS'!$D$84:$P$84)*E6)*(1+F6))</f>
        <v/>
      </c>
      <c r="Q6" s="36">
        <f>(('ENG_OPS'!$N$81*(1+AVERAGE('ENG_OPS'!$D$84:$P$84)*E6)*(1+F6))-('ENG_COST'!$N$266*(1+'IN_COST'!$D$8*E6))-('ENG_COST'!$N$268*(1+'IN_COST'!$D$9*E6))-('ENG_CAPEX'!$N$81*(1+'ENG_CAPEX'!$D$23*E6)))-MAX(0,(('ENG_OPS'!$N$81*(1+AVERAGE('ENG_OPS'!$D$84:$P$84)*E6)*(1+F6))-('ENG_COST'!$N$266*(1+'IN_COST'!$D$8*E6))-('ENG_COST'!$N$268*(1+'IN_COST'!$D$9*E6))-('ENG_CAPEX'!$N$81*(1+'ENG_CAPEX'!$D$23*E6))))*'IN_MACRO'!$D$14+('ENG_CAPEX'!$N$81*(1+'ENG_CAPEX'!$D$23*E6))-(('ENG_CAPEX'!$N$21+'ENG_CAPEX'!$N$42)*(1+'ENG_CAPEX'!$D$23*E6))-('ENG_WC'!$N$19*(1+AVERAGE('ENG_OPS'!$D$84:$P$84)*E6)*(1+F6))</f>
        <v/>
      </c>
      <c r="R6" s="36">
        <f>(('ENG_OPS'!$O$81*(1+AVERAGE('ENG_OPS'!$D$84:$P$84)*E6)*(1+F6))-('ENG_COST'!$O$266*(1+'IN_COST'!$D$8*E6))-('ENG_COST'!$O$268*(1+'IN_COST'!$D$9*E6))-('ENG_CAPEX'!$O$81*(1+'ENG_CAPEX'!$D$23*E6)))-MAX(0,(('ENG_OPS'!$O$81*(1+AVERAGE('ENG_OPS'!$D$84:$P$84)*E6)*(1+F6))-('ENG_COST'!$O$266*(1+'IN_COST'!$D$8*E6))-('ENG_COST'!$O$268*(1+'IN_COST'!$D$9*E6))-('ENG_CAPEX'!$O$81*(1+'ENG_CAPEX'!$D$23*E6))))*'IN_MACRO'!$D$14+('ENG_CAPEX'!$O$81*(1+'ENG_CAPEX'!$D$23*E6))-(('ENG_CAPEX'!$O$21+'ENG_CAPEX'!$O$42)*(1+'ENG_CAPEX'!$D$23*E6))-('ENG_WC'!$O$19*(1+AVERAGE('ENG_OPS'!$D$84:$P$84)*E6)*(1+F6))</f>
        <v/>
      </c>
      <c r="S6" s="36">
        <f>(('ENG_OPS'!$P$81*(1+AVERAGE('ENG_OPS'!$D$84:$P$84)*E6)*(1+F6))-('ENG_COST'!$P$266*(1+'IN_COST'!$D$8*E6))-('ENG_COST'!$P$268*(1+'IN_COST'!$D$9*E6))-('ENG_CAPEX'!$P$81*(1+'ENG_CAPEX'!$D$23*E6)))-MAX(0,(('ENG_OPS'!$P$81*(1+AVERAGE('ENG_OPS'!$D$84:$P$84)*E6)*(1+F6))-('ENG_COST'!$P$266*(1+'IN_COST'!$D$8*E6))-('ENG_COST'!$P$268*(1+'IN_COST'!$D$9*E6))-('ENG_CAPEX'!$P$81*(1+'ENG_CAPEX'!$D$23*E6))))*'IN_MACRO'!$D$14+('ENG_CAPEX'!$P$81*(1+'ENG_CAPEX'!$D$23*E6))-(('ENG_CAPEX'!$P$21+'ENG_CAPEX'!$P$42)*(1+'ENG_CAPEX'!$D$23*E6))-('ENG_WC'!$P$19*(1+AVERAGE('ENG_OPS'!$D$84:$P$84)*E6)*(1+F6))</f>
        <v/>
      </c>
      <c r="T6" s="30">
        <f>1</f>
        <v/>
      </c>
      <c r="U6" s="30">
        <f>T6/(1+'ENG_DCF'!$E$14+D6)</f>
        <v/>
      </c>
      <c r="V6" s="30">
        <f>U6/(1+'ENG_DCF'!$F$14+D6)</f>
        <v/>
      </c>
      <c r="W6" s="30">
        <f>V6/(1+'ENG_DCF'!$G$14+D6)</f>
        <v/>
      </c>
      <c r="X6" s="30">
        <f>W6/(1+'ENG_DCF'!$H$14+D6)</f>
        <v/>
      </c>
      <c r="Y6" s="30">
        <f>X6/(1+'ENG_DCF'!$I$14+D6)</f>
        <v/>
      </c>
      <c r="Z6" s="30">
        <f>Y6/(1+'ENG_DCF'!$J$14+D6)</f>
        <v/>
      </c>
      <c r="AA6" s="30">
        <f>Z6/(1+'ENG_DCF'!$K$14+D6)</f>
        <v/>
      </c>
      <c r="AB6" s="30">
        <f>AA6/(1+'ENG_DCF'!$L$14+D6)</f>
        <v/>
      </c>
      <c r="AC6" s="30">
        <f>AB6/(1+'ENG_DCF'!$M$14+D6)</f>
        <v/>
      </c>
      <c r="AD6" s="30">
        <f>AC6/(1+'ENG_DCF'!$N$14+D6)</f>
        <v/>
      </c>
      <c r="AE6" s="30">
        <f>AD6/(1+'ENG_DCF'!$O$14+D6)</f>
        <v/>
      </c>
      <c r="AF6" s="30">
        <f>AE6/(1+'ENG_DCF'!$P$14+D6)</f>
        <v/>
      </c>
      <c r="AG6" s="36">
        <f>(G6*T6+H6*U6+I6*V6+J6*W6+K6*X6+L6*Y6+M6*Z6+N6*AA6+O6*AB6+P6*AC6+Q6*AD6+R6*AE6+S6*AF6)+(IF('IN_MACRO'!$D$19=1,MAX(0,(S6+(('ENG_CAPEX'!$P$21+'ENG_CAPEX'!$P$42)*(1+'ENG_CAPEX'!$D$23*E6))))*(1+'IN_MACRO'!$D$18)/MAX(0.005,'ENG_DCF'!$P$14+D6-'IN_MACRO'!$D$18),(('ENG_OPS'!$P$81*(1+AVERAGE('ENG_OPS'!$D$84:$P$84)*E6)*(1+F6))-('ENG_COST'!$P$266*(1+'IN_COST'!$D$8*E6))-('ENG_COST'!$P$268*(1+'IN_COST'!$D$9*E6)))*'IN_MACRO'!$D$20))*AF6</f>
        <v/>
      </c>
    </row>
    <row r="7">
      <c r="A7" t="inlineStr">
        <is>
          <t>PR|0|0</t>
        </is>
      </c>
      <c r="D7" s="38">
        <f>'IN_SCEN'!$D$24</f>
        <v/>
      </c>
      <c r="E7" s="38">
        <f>0</f>
        <v/>
      </c>
      <c r="F7" s="38">
        <f>'IN_SCEN'!$D$26</f>
        <v/>
      </c>
      <c r="G7" s="36">
        <f>(('ENG_OPS'!$D$81*(1+AVERAGE('ENG_OPS'!$D$84:$P$84)*E7)*(1+F7))-('ENG_COST'!$D$266*(1+'IN_COST'!$D$8*E7))-('ENG_COST'!$D$268*(1+'IN_COST'!$D$9*E7))-('ENG_CAPEX'!$D$81*(1+'ENG_CAPEX'!$D$23*E7)))-MAX(0,(('ENG_OPS'!$D$81*(1+AVERAGE('ENG_OPS'!$D$84:$P$84)*E7)*(1+F7))-('ENG_COST'!$D$266*(1+'IN_COST'!$D$8*E7))-('ENG_COST'!$D$268*(1+'IN_COST'!$D$9*E7))-('ENG_CAPEX'!$D$81*(1+'ENG_CAPEX'!$D$23*E7))))*'IN_MACRO'!$D$14+('ENG_CAPEX'!$D$81*(1+'ENG_CAPEX'!$D$23*E7))-(('ENG_CAPEX'!$D$21+'ENG_CAPEX'!$D$42)*(1+'ENG_CAPEX'!$D$23*E7))-('ENG_WC'!$D$19*(1+AVERAGE('ENG_OPS'!$D$84:$P$84)*E7)*(1+F7))</f>
        <v/>
      </c>
      <c r="H7" s="36">
        <f>(('ENG_OPS'!$E$81*(1+AVERAGE('ENG_OPS'!$D$84:$P$84)*E7)*(1+F7))-('ENG_COST'!$E$266*(1+'IN_COST'!$D$8*E7))-('ENG_COST'!$E$268*(1+'IN_COST'!$D$9*E7))-('ENG_CAPEX'!$E$81*(1+'ENG_CAPEX'!$D$23*E7)))-MAX(0,(('ENG_OPS'!$E$81*(1+AVERAGE('ENG_OPS'!$D$84:$P$84)*E7)*(1+F7))-('ENG_COST'!$E$266*(1+'IN_COST'!$D$8*E7))-('ENG_COST'!$E$268*(1+'IN_COST'!$D$9*E7))-('ENG_CAPEX'!$E$81*(1+'ENG_CAPEX'!$D$23*E7))))*'IN_MACRO'!$D$14+('ENG_CAPEX'!$E$81*(1+'ENG_CAPEX'!$D$23*E7))-(('ENG_CAPEX'!$E$21+'ENG_CAPEX'!$E$42)*(1+'ENG_CAPEX'!$D$23*E7))-('ENG_WC'!$E$19*(1+AVERAGE('ENG_OPS'!$D$84:$P$84)*E7)*(1+F7))</f>
        <v/>
      </c>
      <c r="I7" s="36">
        <f>(('ENG_OPS'!$F$81*(1+AVERAGE('ENG_OPS'!$D$84:$P$84)*E7)*(1+F7))-('ENG_COST'!$F$266*(1+'IN_COST'!$D$8*E7))-('ENG_COST'!$F$268*(1+'IN_COST'!$D$9*E7))-('ENG_CAPEX'!$F$81*(1+'ENG_CAPEX'!$D$23*E7)))-MAX(0,(('ENG_OPS'!$F$81*(1+AVERAGE('ENG_OPS'!$D$84:$P$84)*E7)*(1+F7))-('ENG_COST'!$F$266*(1+'IN_COST'!$D$8*E7))-('ENG_COST'!$F$268*(1+'IN_COST'!$D$9*E7))-('ENG_CAPEX'!$F$81*(1+'ENG_CAPEX'!$D$23*E7))))*'IN_MACRO'!$D$14+('ENG_CAPEX'!$F$81*(1+'ENG_CAPEX'!$D$23*E7))-(('ENG_CAPEX'!$F$21+'ENG_CAPEX'!$F$42)*(1+'ENG_CAPEX'!$D$23*E7))-('ENG_WC'!$F$19*(1+AVERAGE('ENG_OPS'!$D$84:$P$84)*E7)*(1+F7))</f>
        <v/>
      </c>
      <c r="J7" s="36">
        <f>(('ENG_OPS'!$G$81*(1+AVERAGE('ENG_OPS'!$D$84:$P$84)*E7)*(1+F7))-('ENG_COST'!$G$266*(1+'IN_COST'!$D$8*E7))-('ENG_COST'!$G$268*(1+'IN_COST'!$D$9*E7))-('ENG_CAPEX'!$G$81*(1+'ENG_CAPEX'!$D$23*E7)))-MAX(0,(('ENG_OPS'!$G$81*(1+AVERAGE('ENG_OPS'!$D$84:$P$84)*E7)*(1+F7))-('ENG_COST'!$G$266*(1+'IN_COST'!$D$8*E7))-('ENG_COST'!$G$268*(1+'IN_COST'!$D$9*E7))-('ENG_CAPEX'!$G$81*(1+'ENG_CAPEX'!$D$23*E7))))*'IN_MACRO'!$D$14+('ENG_CAPEX'!$G$81*(1+'ENG_CAPEX'!$D$23*E7))-(('ENG_CAPEX'!$G$21+'ENG_CAPEX'!$G$42)*(1+'ENG_CAPEX'!$D$23*E7))-('ENG_WC'!$G$19*(1+AVERAGE('ENG_OPS'!$D$84:$P$84)*E7)*(1+F7))</f>
        <v/>
      </c>
      <c r="K7" s="36">
        <f>(('ENG_OPS'!$H$81*(1+AVERAGE('ENG_OPS'!$D$84:$P$84)*E7)*(1+F7))-('ENG_COST'!$H$266*(1+'IN_COST'!$D$8*E7))-('ENG_COST'!$H$268*(1+'IN_COST'!$D$9*E7))-('ENG_CAPEX'!$H$81*(1+'ENG_CAPEX'!$D$23*E7)))-MAX(0,(('ENG_OPS'!$H$81*(1+AVERAGE('ENG_OPS'!$D$84:$P$84)*E7)*(1+F7))-('ENG_COST'!$H$266*(1+'IN_COST'!$D$8*E7))-('ENG_COST'!$H$268*(1+'IN_COST'!$D$9*E7))-('ENG_CAPEX'!$H$81*(1+'ENG_CAPEX'!$D$23*E7))))*'IN_MACRO'!$D$14+('ENG_CAPEX'!$H$81*(1+'ENG_CAPEX'!$D$23*E7))-(('ENG_CAPEX'!$H$21+'ENG_CAPEX'!$H$42)*(1+'ENG_CAPEX'!$D$23*E7))-('ENG_WC'!$H$19*(1+AVERAGE('ENG_OPS'!$D$84:$P$84)*E7)*(1+F7))</f>
        <v/>
      </c>
      <c r="L7" s="36">
        <f>(('ENG_OPS'!$I$81*(1+AVERAGE('ENG_OPS'!$D$84:$P$84)*E7)*(1+F7))-('ENG_COST'!$I$266*(1+'IN_COST'!$D$8*E7))-('ENG_COST'!$I$268*(1+'IN_COST'!$D$9*E7))-('ENG_CAPEX'!$I$81*(1+'ENG_CAPEX'!$D$23*E7)))-MAX(0,(('ENG_OPS'!$I$81*(1+AVERAGE('ENG_OPS'!$D$84:$P$84)*E7)*(1+F7))-('ENG_COST'!$I$266*(1+'IN_COST'!$D$8*E7))-('ENG_COST'!$I$268*(1+'IN_COST'!$D$9*E7))-('ENG_CAPEX'!$I$81*(1+'ENG_CAPEX'!$D$23*E7))))*'IN_MACRO'!$D$14+('ENG_CAPEX'!$I$81*(1+'ENG_CAPEX'!$D$23*E7))-(('ENG_CAPEX'!$I$21+'ENG_CAPEX'!$I$42)*(1+'ENG_CAPEX'!$D$23*E7))-('ENG_WC'!$I$19*(1+AVERAGE('ENG_OPS'!$D$84:$P$84)*E7)*(1+F7))</f>
        <v/>
      </c>
      <c r="M7" s="36">
        <f>(('ENG_OPS'!$J$81*(1+AVERAGE('ENG_OPS'!$D$84:$P$84)*E7)*(1+F7))-('ENG_COST'!$J$266*(1+'IN_COST'!$D$8*E7))-('ENG_COST'!$J$268*(1+'IN_COST'!$D$9*E7))-('ENG_CAPEX'!$J$81*(1+'ENG_CAPEX'!$D$23*E7)))-MAX(0,(('ENG_OPS'!$J$81*(1+AVERAGE('ENG_OPS'!$D$84:$P$84)*E7)*(1+F7))-('ENG_COST'!$J$266*(1+'IN_COST'!$D$8*E7))-('ENG_COST'!$J$268*(1+'IN_COST'!$D$9*E7))-('ENG_CAPEX'!$J$81*(1+'ENG_CAPEX'!$D$23*E7))))*'IN_MACRO'!$D$14+('ENG_CAPEX'!$J$81*(1+'ENG_CAPEX'!$D$23*E7))-(('ENG_CAPEX'!$J$21+'ENG_CAPEX'!$J$42)*(1+'ENG_CAPEX'!$D$23*E7))-('ENG_WC'!$J$19*(1+AVERAGE('ENG_OPS'!$D$84:$P$84)*E7)*(1+F7))</f>
        <v/>
      </c>
      <c r="N7" s="36">
        <f>(('ENG_OPS'!$K$81*(1+AVERAGE('ENG_OPS'!$D$84:$P$84)*E7)*(1+F7))-('ENG_COST'!$K$266*(1+'IN_COST'!$D$8*E7))-('ENG_COST'!$K$268*(1+'IN_COST'!$D$9*E7))-('ENG_CAPEX'!$K$81*(1+'ENG_CAPEX'!$D$23*E7)))-MAX(0,(('ENG_OPS'!$K$81*(1+AVERAGE('ENG_OPS'!$D$84:$P$84)*E7)*(1+F7))-('ENG_COST'!$K$266*(1+'IN_COST'!$D$8*E7))-('ENG_COST'!$K$268*(1+'IN_COST'!$D$9*E7))-('ENG_CAPEX'!$K$81*(1+'ENG_CAPEX'!$D$23*E7))))*'IN_MACRO'!$D$14+('ENG_CAPEX'!$K$81*(1+'ENG_CAPEX'!$D$23*E7))-(('ENG_CAPEX'!$K$21+'ENG_CAPEX'!$K$42)*(1+'ENG_CAPEX'!$D$23*E7))-('ENG_WC'!$K$19*(1+AVERAGE('ENG_OPS'!$D$84:$P$84)*E7)*(1+F7))</f>
        <v/>
      </c>
      <c r="O7" s="36">
        <f>(('ENG_OPS'!$L$81*(1+AVERAGE('ENG_OPS'!$D$84:$P$84)*E7)*(1+F7))-('ENG_COST'!$L$266*(1+'IN_COST'!$D$8*E7))-('ENG_COST'!$L$268*(1+'IN_COST'!$D$9*E7))-('ENG_CAPEX'!$L$81*(1+'ENG_CAPEX'!$D$23*E7)))-MAX(0,(('ENG_OPS'!$L$81*(1+AVERAGE('ENG_OPS'!$D$84:$P$84)*E7)*(1+F7))-('ENG_COST'!$L$266*(1+'IN_COST'!$D$8*E7))-('ENG_COST'!$L$268*(1+'IN_COST'!$D$9*E7))-('ENG_CAPEX'!$L$81*(1+'ENG_CAPEX'!$D$23*E7))))*'IN_MACRO'!$D$14+('ENG_CAPEX'!$L$81*(1+'ENG_CAPEX'!$D$23*E7))-(('ENG_CAPEX'!$L$21+'ENG_CAPEX'!$L$42)*(1+'ENG_CAPEX'!$D$23*E7))-('ENG_WC'!$L$19*(1+AVERAGE('ENG_OPS'!$D$84:$P$84)*E7)*(1+F7))</f>
        <v/>
      </c>
      <c r="P7" s="36">
        <f>(('ENG_OPS'!$M$81*(1+AVERAGE('ENG_OPS'!$D$84:$P$84)*E7)*(1+F7))-('ENG_COST'!$M$266*(1+'IN_COST'!$D$8*E7))-('ENG_COST'!$M$268*(1+'IN_COST'!$D$9*E7))-('ENG_CAPEX'!$M$81*(1+'ENG_CAPEX'!$D$23*E7)))-MAX(0,(('ENG_OPS'!$M$81*(1+AVERAGE('ENG_OPS'!$D$84:$P$84)*E7)*(1+F7))-('ENG_COST'!$M$266*(1+'IN_COST'!$D$8*E7))-('ENG_COST'!$M$268*(1+'IN_COST'!$D$9*E7))-('ENG_CAPEX'!$M$81*(1+'ENG_CAPEX'!$D$23*E7))))*'IN_MACRO'!$D$14+('ENG_CAPEX'!$M$81*(1+'ENG_CAPEX'!$D$23*E7))-(('ENG_CAPEX'!$M$21+'ENG_CAPEX'!$M$42)*(1+'ENG_CAPEX'!$D$23*E7))-('ENG_WC'!$M$19*(1+AVERAGE('ENG_OPS'!$D$84:$P$84)*E7)*(1+F7))</f>
        <v/>
      </c>
      <c r="Q7" s="36">
        <f>(('ENG_OPS'!$N$81*(1+AVERAGE('ENG_OPS'!$D$84:$P$84)*E7)*(1+F7))-('ENG_COST'!$N$266*(1+'IN_COST'!$D$8*E7))-('ENG_COST'!$N$268*(1+'IN_COST'!$D$9*E7))-('ENG_CAPEX'!$N$81*(1+'ENG_CAPEX'!$D$23*E7)))-MAX(0,(('ENG_OPS'!$N$81*(1+AVERAGE('ENG_OPS'!$D$84:$P$84)*E7)*(1+F7))-('ENG_COST'!$N$266*(1+'IN_COST'!$D$8*E7))-('ENG_COST'!$N$268*(1+'IN_COST'!$D$9*E7))-('ENG_CAPEX'!$N$81*(1+'ENG_CAPEX'!$D$23*E7))))*'IN_MACRO'!$D$14+('ENG_CAPEX'!$N$81*(1+'ENG_CAPEX'!$D$23*E7))-(('ENG_CAPEX'!$N$21+'ENG_CAPEX'!$N$42)*(1+'ENG_CAPEX'!$D$23*E7))-('ENG_WC'!$N$19*(1+AVERAGE('ENG_OPS'!$D$84:$P$84)*E7)*(1+F7))</f>
        <v/>
      </c>
      <c r="R7" s="36">
        <f>(('ENG_OPS'!$O$81*(1+AVERAGE('ENG_OPS'!$D$84:$P$84)*E7)*(1+F7))-('ENG_COST'!$O$266*(1+'IN_COST'!$D$8*E7))-('ENG_COST'!$O$268*(1+'IN_COST'!$D$9*E7))-('ENG_CAPEX'!$O$81*(1+'ENG_CAPEX'!$D$23*E7)))-MAX(0,(('ENG_OPS'!$O$81*(1+AVERAGE('ENG_OPS'!$D$84:$P$84)*E7)*(1+F7))-('ENG_COST'!$O$266*(1+'IN_COST'!$D$8*E7))-('ENG_COST'!$O$268*(1+'IN_COST'!$D$9*E7))-('ENG_CAPEX'!$O$81*(1+'ENG_CAPEX'!$D$23*E7))))*'IN_MACRO'!$D$14+('ENG_CAPEX'!$O$81*(1+'ENG_CAPEX'!$D$23*E7))-(('ENG_CAPEX'!$O$21+'ENG_CAPEX'!$O$42)*(1+'ENG_CAPEX'!$D$23*E7))-('ENG_WC'!$O$19*(1+AVERAGE('ENG_OPS'!$D$84:$P$84)*E7)*(1+F7))</f>
        <v/>
      </c>
      <c r="S7" s="36">
        <f>(('ENG_OPS'!$P$81*(1+AVERAGE('ENG_OPS'!$D$84:$P$84)*E7)*(1+F7))-('ENG_COST'!$P$266*(1+'IN_COST'!$D$8*E7))-('ENG_COST'!$P$268*(1+'IN_COST'!$D$9*E7))-('ENG_CAPEX'!$P$81*(1+'ENG_CAPEX'!$D$23*E7)))-MAX(0,(('ENG_OPS'!$P$81*(1+AVERAGE('ENG_OPS'!$D$84:$P$84)*E7)*(1+F7))-('ENG_COST'!$P$266*(1+'IN_COST'!$D$8*E7))-('ENG_COST'!$P$268*(1+'IN_COST'!$D$9*E7))-('ENG_CAPEX'!$P$81*(1+'ENG_CAPEX'!$D$23*E7))))*'IN_MACRO'!$D$14+('ENG_CAPEX'!$P$81*(1+'ENG_CAPEX'!$D$23*E7))-(('ENG_CAPEX'!$P$21+'ENG_CAPEX'!$P$42)*(1+'ENG_CAPEX'!$D$23*E7))-('ENG_WC'!$P$19*(1+AVERAGE('ENG_OPS'!$D$84:$P$84)*E7)*(1+F7))</f>
        <v/>
      </c>
      <c r="T7" s="30">
        <f>1</f>
        <v/>
      </c>
      <c r="U7" s="30">
        <f>T7/(1+'ENG_DCF'!$E$14+D7)</f>
        <v/>
      </c>
      <c r="V7" s="30">
        <f>U7/(1+'ENG_DCF'!$F$14+D7)</f>
        <v/>
      </c>
      <c r="W7" s="30">
        <f>V7/(1+'ENG_DCF'!$G$14+D7)</f>
        <v/>
      </c>
      <c r="X7" s="30">
        <f>W7/(1+'ENG_DCF'!$H$14+D7)</f>
        <v/>
      </c>
      <c r="Y7" s="30">
        <f>X7/(1+'ENG_DCF'!$I$14+D7)</f>
        <v/>
      </c>
      <c r="Z7" s="30">
        <f>Y7/(1+'ENG_DCF'!$J$14+D7)</f>
        <v/>
      </c>
      <c r="AA7" s="30">
        <f>Z7/(1+'ENG_DCF'!$K$14+D7)</f>
        <v/>
      </c>
      <c r="AB7" s="30">
        <f>AA7/(1+'ENG_DCF'!$L$14+D7)</f>
        <v/>
      </c>
      <c r="AC7" s="30">
        <f>AB7/(1+'ENG_DCF'!$M$14+D7)</f>
        <v/>
      </c>
      <c r="AD7" s="30">
        <f>AC7/(1+'ENG_DCF'!$N$14+D7)</f>
        <v/>
      </c>
      <c r="AE7" s="30">
        <f>AD7/(1+'ENG_DCF'!$O$14+D7)</f>
        <v/>
      </c>
      <c r="AF7" s="30">
        <f>AE7/(1+'ENG_DCF'!$P$14+D7)</f>
        <v/>
      </c>
      <c r="AG7" s="36">
        <f>(G7*T7+H7*U7+I7*V7+J7*W7+K7*X7+L7*Y7+M7*Z7+N7*AA7+O7*AB7+P7*AC7+Q7*AD7+R7*AE7+S7*AF7)+(IF('IN_MACRO'!$D$19=1,MAX(0,(S7+(('ENG_CAPEX'!$P$21+'ENG_CAPEX'!$P$42)*(1+'ENG_CAPEX'!$D$23*E7))))*(1+'IN_MACRO'!$D$18)/MAX(0.005,'ENG_DCF'!$P$14+D7-'IN_MACRO'!$D$18),(('ENG_OPS'!$P$81*(1+AVERAGE('ENG_OPS'!$D$84:$P$84)*E7)*(1+F7))-('ENG_COST'!$P$266*(1+'IN_COST'!$D$8*E7))-('ENG_COST'!$P$268*(1+'IN_COST'!$D$9*E7)))*'IN_MACRO'!$D$20))*AF7</f>
        <v/>
      </c>
    </row>
    <row r="8">
      <c r="A8" t="inlineStr">
        <is>
          <t>FX|0|1</t>
        </is>
      </c>
      <c r="D8" s="38">
        <f>'IN_SCEN'!$D$24</f>
        <v/>
      </c>
      <c r="E8" s="38">
        <f>'IN_SCEN'!$E$25</f>
        <v/>
      </c>
      <c r="F8" s="38">
        <f>0</f>
        <v/>
      </c>
      <c r="G8" s="36">
        <f>(('ENG_OPS'!$D$81*(1+AVERAGE('ENG_OPS'!$D$84:$P$84)*E8)*(1+F8))-('ENG_COST'!$D$266*(1+'IN_COST'!$D$8*E8))-('ENG_COST'!$D$268*(1+'IN_COST'!$D$9*E8))-('ENG_CAPEX'!$D$81*(1+'ENG_CAPEX'!$D$23*E8)))-MAX(0,(('ENG_OPS'!$D$81*(1+AVERAGE('ENG_OPS'!$D$84:$P$84)*E8)*(1+F8))-('ENG_COST'!$D$266*(1+'IN_COST'!$D$8*E8))-('ENG_COST'!$D$268*(1+'IN_COST'!$D$9*E8))-('ENG_CAPEX'!$D$81*(1+'ENG_CAPEX'!$D$23*E8))))*'IN_MACRO'!$D$14+('ENG_CAPEX'!$D$81*(1+'ENG_CAPEX'!$D$23*E8))-(('ENG_CAPEX'!$D$21+'ENG_CAPEX'!$D$42)*(1+'ENG_CAPEX'!$D$23*E8))-('ENG_WC'!$D$19*(1+AVERAGE('ENG_OPS'!$D$84:$P$84)*E8)*(1+F8))</f>
        <v/>
      </c>
      <c r="H8" s="36">
        <f>(('ENG_OPS'!$E$81*(1+AVERAGE('ENG_OPS'!$D$84:$P$84)*E8)*(1+F8))-('ENG_COST'!$E$266*(1+'IN_COST'!$D$8*E8))-('ENG_COST'!$E$268*(1+'IN_COST'!$D$9*E8))-('ENG_CAPEX'!$E$81*(1+'ENG_CAPEX'!$D$23*E8)))-MAX(0,(('ENG_OPS'!$E$81*(1+AVERAGE('ENG_OPS'!$D$84:$P$84)*E8)*(1+F8))-('ENG_COST'!$E$266*(1+'IN_COST'!$D$8*E8))-('ENG_COST'!$E$268*(1+'IN_COST'!$D$9*E8))-('ENG_CAPEX'!$E$81*(1+'ENG_CAPEX'!$D$23*E8))))*'IN_MACRO'!$D$14+('ENG_CAPEX'!$E$81*(1+'ENG_CAPEX'!$D$23*E8))-(('ENG_CAPEX'!$E$21+'ENG_CAPEX'!$E$42)*(1+'ENG_CAPEX'!$D$23*E8))-('ENG_WC'!$E$19*(1+AVERAGE('ENG_OPS'!$D$84:$P$84)*E8)*(1+F8))</f>
        <v/>
      </c>
      <c r="I8" s="36">
        <f>(('ENG_OPS'!$F$81*(1+AVERAGE('ENG_OPS'!$D$84:$P$84)*E8)*(1+F8))-('ENG_COST'!$F$266*(1+'IN_COST'!$D$8*E8))-('ENG_COST'!$F$268*(1+'IN_COST'!$D$9*E8))-('ENG_CAPEX'!$F$81*(1+'ENG_CAPEX'!$D$23*E8)))-MAX(0,(('ENG_OPS'!$F$81*(1+AVERAGE('ENG_OPS'!$D$84:$P$84)*E8)*(1+F8))-('ENG_COST'!$F$266*(1+'IN_COST'!$D$8*E8))-('ENG_COST'!$F$268*(1+'IN_COST'!$D$9*E8))-('ENG_CAPEX'!$F$81*(1+'ENG_CAPEX'!$D$23*E8))))*'IN_MACRO'!$D$14+('ENG_CAPEX'!$F$81*(1+'ENG_CAPEX'!$D$23*E8))-(('ENG_CAPEX'!$F$21+'ENG_CAPEX'!$F$42)*(1+'ENG_CAPEX'!$D$23*E8))-('ENG_WC'!$F$19*(1+AVERAGE('ENG_OPS'!$D$84:$P$84)*E8)*(1+F8))</f>
        <v/>
      </c>
      <c r="J8" s="36">
        <f>(('ENG_OPS'!$G$81*(1+AVERAGE('ENG_OPS'!$D$84:$P$84)*E8)*(1+F8))-('ENG_COST'!$G$266*(1+'IN_COST'!$D$8*E8))-('ENG_COST'!$G$268*(1+'IN_COST'!$D$9*E8))-('ENG_CAPEX'!$G$81*(1+'ENG_CAPEX'!$D$23*E8)))-MAX(0,(('ENG_OPS'!$G$81*(1+AVERAGE('ENG_OPS'!$D$84:$P$84)*E8)*(1+F8))-('ENG_COST'!$G$266*(1+'IN_COST'!$D$8*E8))-('ENG_COST'!$G$268*(1+'IN_COST'!$D$9*E8))-('ENG_CAPEX'!$G$81*(1+'ENG_CAPEX'!$D$23*E8))))*'IN_MACRO'!$D$14+('ENG_CAPEX'!$G$81*(1+'ENG_CAPEX'!$D$23*E8))-(('ENG_CAPEX'!$G$21+'ENG_CAPEX'!$G$42)*(1+'ENG_CAPEX'!$D$23*E8))-('ENG_WC'!$G$19*(1+AVERAGE('ENG_OPS'!$D$84:$P$84)*E8)*(1+F8))</f>
        <v/>
      </c>
      <c r="K8" s="36">
        <f>(('ENG_OPS'!$H$81*(1+AVERAGE('ENG_OPS'!$D$84:$P$84)*E8)*(1+F8))-('ENG_COST'!$H$266*(1+'IN_COST'!$D$8*E8))-('ENG_COST'!$H$268*(1+'IN_COST'!$D$9*E8))-('ENG_CAPEX'!$H$81*(1+'ENG_CAPEX'!$D$23*E8)))-MAX(0,(('ENG_OPS'!$H$81*(1+AVERAGE('ENG_OPS'!$D$84:$P$84)*E8)*(1+F8))-('ENG_COST'!$H$266*(1+'IN_COST'!$D$8*E8))-('ENG_COST'!$H$268*(1+'IN_COST'!$D$9*E8))-('ENG_CAPEX'!$H$81*(1+'ENG_CAPEX'!$D$23*E8))))*'IN_MACRO'!$D$14+('ENG_CAPEX'!$H$81*(1+'ENG_CAPEX'!$D$23*E8))-(('ENG_CAPEX'!$H$21+'ENG_CAPEX'!$H$42)*(1+'ENG_CAPEX'!$D$23*E8))-('ENG_WC'!$H$19*(1+AVERAGE('ENG_OPS'!$D$84:$P$84)*E8)*(1+F8))</f>
        <v/>
      </c>
      <c r="L8" s="36">
        <f>(('ENG_OPS'!$I$81*(1+AVERAGE('ENG_OPS'!$D$84:$P$84)*E8)*(1+F8))-('ENG_COST'!$I$266*(1+'IN_COST'!$D$8*E8))-('ENG_COST'!$I$268*(1+'IN_COST'!$D$9*E8))-('ENG_CAPEX'!$I$81*(1+'ENG_CAPEX'!$D$23*E8)))-MAX(0,(('ENG_OPS'!$I$81*(1+AVERAGE('ENG_OPS'!$D$84:$P$84)*E8)*(1+F8))-('ENG_COST'!$I$266*(1+'IN_COST'!$D$8*E8))-('ENG_COST'!$I$268*(1+'IN_COST'!$D$9*E8))-('ENG_CAPEX'!$I$81*(1+'ENG_CAPEX'!$D$23*E8))))*'IN_MACRO'!$D$14+('ENG_CAPEX'!$I$81*(1+'ENG_CAPEX'!$D$23*E8))-(('ENG_CAPEX'!$I$21+'ENG_CAPEX'!$I$42)*(1+'ENG_CAPEX'!$D$23*E8))-('ENG_WC'!$I$19*(1+AVERAGE('ENG_OPS'!$D$84:$P$84)*E8)*(1+F8))</f>
        <v/>
      </c>
      <c r="M8" s="36">
        <f>(('ENG_OPS'!$J$81*(1+AVERAGE('ENG_OPS'!$D$84:$P$84)*E8)*(1+F8))-('ENG_COST'!$J$266*(1+'IN_COST'!$D$8*E8))-('ENG_COST'!$J$268*(1+'IN_COST'!$D$9*E8))-('ENG_CAPEX'!$J$81*(1+'ENG_CAPEX'!$D$23*E8)))-MAX(0,(('ENG_OPS'!$J$81*(1+AVERAGE('ENG_OPS'!$D$84:$P$84)*E8)*(1+F8))-('ENG_COST'!$J$266*(1+'IN_COST'!$D$8*E8))-('ENG_COST'!$J$268*(1+'IN_COST'!$D$9*E8))-('ENG_CAPEX'!$J$81*(1+'ENG_CAPEX'!$D$23*E8))))*'IN_MACRO'!$D$14+('ENG_CAPEX'!$J$81*(1+'ENG_CAPEX'!$D$23*E8))-(('ENG_CAPEX'!$J$21+'ENG_CAPEX'!$J$42)*(1+'ENG_CAPEX'!$D$23*E8))-('ENG_WC'!$J$19*(1+AVERAGE('ENG_OPS'!$D$84:$P$84)*E8)*(1+F8))</f>
        <v/>
      </c>
      <c r="N8" s="36">
        <f>(('ENG_OPS'!$K$81*(1+AVERAGE('ENG_OPS'!$D$84:$P$84)*E8)*(1+F8))-('ENG_COST'!$K$266*(1+'IN_COST'!$D$8*E8))-('ENG_COST'!$K$268*(1+'IN_COST'!$D$9*E8))-('ENG_CAPEX'!$K$81*(1+'ENG_CAPEX'!$D$23*E8)))-MAX(0,(('ENG_OPS'!$K$81*(1+AVERAGE('ENG_OPS'!$D$84:$P$84)*E8)*(1+F8))-('ENG_COST'!$K$266*(1+'IN_COST'!$D$8*E8))-('ENG_COST'!$K$268*(1+'IN_COST'!$D$9*E8))-('ENG_CAPEX'!$K$81*(1+'ENG_CAPEX'!$D$23*E8))))*'IN_MACRO'!$D$14+('ENG_CAPEX'!$K$81*(1+'ENG_CAPEX'!$D$23*E8))-(('ENG_CAPEX'!$K$21+'ENG_CAPEX'!$K$42)*(1+'ENG_CAPEX'!$D$23*E8))-('ENG_WC'!$K$19*(1+AVERAGE('ENG_OPS'!$D$84:$P$84)*E8)*(1+F8))</f>
        <v/>
      </c>
      <c r="O8" s="36">
        <f>(('ENG_OPS'!$L$81*(1+AVERAGE('ENG_OPS'!$D$84:$P$84)*E8)*(1+F8))-('ENG_COST'!$L$266*(1+'IN_COST'!$D$8*E8))-('ENG_COST'!$L$268*(1+'IN_COST'!$D$9*E8))-('ENG_CAPEX'!$L$81*(1+'ENG_CAPEX'!$D$23*E8)))-MAX(0,(('ENG_OPS'!$L$81*(1+AVERAGE('ENG_OPS'!$D$84:$P$84)*E8)*(1+F8))-('ENG_COST'!$L$266*(1+'IN_COST'!$D$8*E8))-('ENG_COST'!$L$268*(1+'IN_COST'!$D$9*E8))-('ENG_CAPEX'!$L$81*(1+'ENG_CAPEX'!$D$23*E8))))*'IN_MACRO'!$D$14+('ENG_CAPEX'!$L$81*(1+'ENG_CAPEX'!$D$23*E8))-(('ENG_CAPEX'!$L$21+'ENG_CAPEX'!$L$42)*(1+'ENG_CAPEX'!$D$23*E8))-('ENG_WC'!$L$19*(1+AVERAGE('ENG_OPS'!$D$84:$P$84)*E8)*(1+F8))</f>
        <v/>
      </c>
      <c r="P8" s="36">
        <f>(('ENG_OPS'!$M$81*(1+AVERAGE('ENG_OPS'!$D$84:$P$84)*E8)*(1+F8))-('ENG_COST'!$M$266*(1+'IN_COST'!$D$8*E8))-('ENG_COST'!$M$268*(1+'IN_COST'!$D$9*E8))-('ENG_CAPEX'!$M$81*(1+'ENG_CAPEX'!$D$23*E8)))-MAX(0,(('ENG_OPS'!$M$81*(1+AVERAGE('ENG_OPS'!$D$84:$P$84)*E8)*(1+F8))-('ENG_COST'!$M$266*(1+'IN_COST'!$D$8*E8))-('ENG_COST'!$M$268*(1+'IN_COST'!$D$9*E8))-('ENG_CAPEX'!$M$81*(1+'ENG_CAPEX'!$D$23*E8))))*'IN_MACRO'!$D$14+('ENG_CAPEX'!$M$81*(1+'ENG_CAPEX'!$D$23*E8))-(('ENG_CAPEX'!$M$21+'ENG_CAPEX'!$M$42)*(1+'ENG_CAPEX'!$D$23*E8))-('ENG_WC'!$M$19*(1+AVERAGE('ENG_OPS'!$D$84:$P$84)*E8)*(1+F8))</f>
        <v/>
      </c>
      <c r="Q8" s="36">
        <f>(('ENG_OPS'!$N$81*(1+AVERAGE('ENG_OPS'!$D$84:$P$84)*E8)*(1+F8))-('ENG_COST'!$N$266*(1+'IN_COST'!$D$8*E8))-('ENG_COST'!$N$268*(1+'IN_COST'!$D$9*E8))-('ENG_CAPEX'!$N$81*(1+'ENG_CAPEX'!$D$23*E8)))-MAX(0,(('ENG_OPS'!$N$81*(1+AVERAGE('ENG_OPS'!$D$84:$P$84)*E8)*(1+F8))-('ENG_COST'!$N$266*(1+'IN_COST'!$D$8*E8))-('ENG_COST'!$N$268*(1+'IN_COST'!$D$9*E8))-('ENG_CAPEX'!$N$81*(1+'ENG_CAPEX'!$D$23*E8))))*'IN_MACRO'!$D$14+('ENG_CAPEX'!$N$81*(1+'ENG_CAPEX'!$D$23*E8))-(('ENG_CAPEX'!$N$21+'ENG_CAPEX'!$N$42)*(1+'ENG_CAPEX'!$D$23*E8))-('ENG_WC'!$N$19*(1+AVERAGE('ENG_OPS'!$D$84:$P$84)*E8)*(1+F8))</f>
        <v/>
      </c>
      <c r="R8" s="36">
        <f>(('ENG_OPS'!$O$81*(1+AVERAGE('ENG_OPS'!$D$84:$P$84)*E8)*(1+F8))-('ENG_COST'!$O$266*(1+'IN_COST'!$D$8*E8))-('ENG_COST'!$O$268*(1+'IN_COST'!$D$9*E8))-('ENG_CAPEX'!$O$81*(1+'ENG_CAPEX'!$D$23*E8)))-MAX(0,(('ENG_OPS'!$O$81*(1+AVERAGE('ENG_OPS'!$D$84:$P$84)*E8)*(1+F8))-('ENG_COST'!$O$266*(1+'IN_COST'!$D$8*E8))-('ENG_COST'!$O$268*(1+'IN_COST'!$D$9*E8))-('ENG_CAPEX'!$O$81*(1+'ENG_CAPEX'!$D$23*E8))))*'IN_MACRO'!$D$14+('ENG_CAPEX'!$O$81*(1+'ENG_CAPEX'!$D$23*E8))-(('ENG_CAPEX'!$O$21+'ENG_CAPEX'!$O$42)*(1+'ENG_CAPEX'!$D$23*E8))-('ENG_WC'!$O$19*(1+AVERAGE('ENG_OPS'!$D$84:$P$84)*E8)*(1+F8))</f>
        <v/>
      </c>
      <c r="S8" s="36">
        <f>(('ENG_OPS'!$P$81*(1+AVERAGE('ENG_OPS'!$D$84:$P$84)*E8)*(1+F8))-('ENG_COST'!$P$266*(1+'IN_COST'!$D$8*E8))-('ENG_COST'!$P$268*(1+'IN_COST'!$D$9*E8))-('ENG_CAPEX'!$P$81*(1+'ENG_CAPEX'!$D$23*E8)))-MAX(0,(('ENG_OPS'!$P$81*(1+AVERAGE('ENG_OPS'!$D$84:$P$84)*E8)*(1+F8))-('ENG_COST'!$P$266*(1+'IN_COST'!$D$8*E8))-('ENG_COST'!$P$268*(1+'IN_COST'!$D$9*E8))-('ENG_CAPEX'!$P$81*(1+'ENG_CAPEX'!$D$23*E8))))*'IN_MACRO'!$D$14+('ENG_CAPEX'!$P$81*(1+'ENG_CAPEX'!$D$23*E8))-(('ENG_CAPEX'!$P$21+'ENG_CAPEX'!$P$42)*(1+'ENG_CAPEX'!$D$23*E8))-('ENG_WC'!$P$19*(1+AVERAGE('ENG_OPS'!$D$84:$P$84)*E8)*(1+F8))</f>
        <v/>
      </c>
      <c r="T8" s="30">
        <f>1</f>
        <v/>
      </c>
      <c r="U8" s="30">
        <f>T8/(1+'ENG_DCF'!$E$14+D8)</f>
        <v/>
      </c>
      <c r="V8" s="30">
        <f>U8/(1+'ENG_DCF'!$F$14+D8)</f>
        <v/>
      </c>
      <c r="W8" s="30">
        <f>V8/(1+'ENG_DCF'!$G$14+D8)</f>
        <v/>
      </c>
      <c r="X8" s="30">
        <f>W8/(1+'ENG_DCF'!$H$14+D8)</f>
        <v/>
      </c>
      <c r="Y8" s="30">
        <f>X8/(1+'ENG_DCF'!$I$14+D8)</f>
        <v/>
      </c>
      <c r="Z8" s="30">
        <f>Y8/(1+'ENG_DCF'!$J$14+D8)</f>
        <v/>
      </c>
      <c r="AA8" s="30">
        <f>Z8/(1+'ENG_DCF'!$K$14+D8)</f>
        <v/>
      </c>
      <c r="AB8" s="30">
        <f>AA8/(1+'ENG_DCF'!$L$14+D8)</f>
        <v/>
      </c>
      <c r="AC8" s="30">
        <f>AB8/(1+'ENG_DCF'!$M$14+D8)</f>
        <v/>
      </c>
      <c r="AD8" s="30">
        <f>AC8/(1+'ENG_DCF'!$N$14+D8)</f>
        <v/>
      </c>
      <c r="AE8" s="30">
        <f>AD8/(1+'ENG_DCF'!$O$14+D8)</f>
        <v/>
      </c>
      <c r="AF8" s="30">
        <f>AE8/(1+'ENG_DCF'!$P$14+D8)</f>
        <v/>
      </c>
      <c r="AG8" s="36">
        <f>(G8*T8+H8*U8+I8*V8+J8*W8+K8*X8+L8*Y8+M8*Z8+N8*AA8+O8*AB8+P8*AC8+Q8*AD8+R8*AE8+S8*AF8)+(IF('IN_MACRO'!$D$19=1,MAX(0,(S8+(('ENG_CAPEX'!$P$21+'ENG_CAPEX'!$P$42)*(1+'ENG_CAPEX'!$D$23*E8))))*(1+'IN_MACRO'!$D$18)/MAX(0.005,'ENG_DCF'!$P$14+D8-'IN_MACRO'!$D$18),(('ENG_OPS'!$P$81*(1+AVERAGE('ENG_OPS'!$D$84:$P$84)*E8)*(1+F8))-('ENG_COST'!$P$266*(1+'IN_COST'!$D$8*E8))-('ENG_COST'!$P$268*(1+'IN_COST'!$D$9*E8)))*'IN_MACRO'!$D$20))*AF8</f>
        <v/>
      </c>
    </row>
    <row r="9">
      <c r="A9" t="inlineStr">
        <is>
          <t>PR|0|1</t>
        </is>
      </c>
      <c r="D9" s="38">
        <f>'IN_SCEN'!$D$24</f>
        <v/>
      </c>
      <c r="E9" s="38">
        <f>0</f>
        <v/>
      </c>
      <c r="F9" s="38">
        <f>'IN_SCEN'!$E$26</f>
        <v/>
      </c>
      <c r="G9" s="36">
        <f>(('ENG_OPS'!$D$81*(1+AVERAGE('ENG_OPS'!$D$84:$P$84)*E9)*(1+F9))-('ENG_COST'!$D$266*(1+'IN_COST'!$D$8*E9))-('ENG_COST'!$D$268*(1+'IN_COST'!$D$9*E9))-('ENG_CAPEX'!$D$81*(1+'ENG_CAPEX'!$D$23*E9)))-MAX(0,(('ENG_OPS'!$D$81*(1+AVERAGE('ENG_OPS'!$D$84:$P$84)*E9)*(1+F9))-('ENG_COST'!$D$266*(1+'IN_COST'!$D$8*E9))-('ENG_COST'!$D$268*(1+'IN_COST'!$D$9*E9))-('ENG_CAPEX'!$D$81*(1+'ENG_CAPEX'!$D$23*E9))))*'IN_MACRO'!$D$14+('ENG_CAPEX'!$D$81*(1+'ENG_CAPEX'!$D$23*E9))-(('ENG_CAPEX'!$D$21+'ENG_CAPEX'!$D$42)*(1+'ENG_CAPEX'!$D$23*E9))-('ENG_WC'!$D$19*(1+AVERAGE('ENG_OPS'!$D$84:$P$84)*E9)*(1+F9))</f>
        <v/>
      </c>
      <c r="H9" s="36">
        <f>(('ENG_OPS'!$E$81*(1+AVERAGE('ENG_OPS'!$D$84:$P$84)*E9)*(1+F9))-('ENG_COST'!$E$266*(1+'IN_COST'!$D$8*E9))-('ENG_COST'!$E$268*(1+'IN_COST'!$D$9*E9))-('ENG_CAPEX'!$E$81*(1+'ENG_CAPEX'!$D$23*E9)))-MAX(0,(('ENG_OPS'!$E$81*(1+AVERAGE('ENG_OPS'!$D$84:$P$84)*E9)*(1+F9))-('ENG_COST'!$E$266*(1+'IN_COST'!$D$8*E9))-('ENG_COST'!$E$268*(1+'IN_COST'!$D$9*E9))-('ENG_CAPEX'!$E$81*(1+'ENG_CAPEX'!$D$23*E9))))*'IN_MACRO'!$D$14+('ENG_CAPEX'!$E$81*(1+'ENG_CAPEX'!$D$23*E9))-(('ENG_CAPEX'!$E$21+'ENG_CAPEX'!$E$42)*(1+'ENG_CAPEX'!$D$23*E9))-('ENG_WC'!$E$19*(1+AVERAGE('ENG_OPS'!$D$84:$P$84)*E9)*(1+F9))</f>
        <v/>
      </c>
      <c r="I9" s="36">
        <f>(('ENG_OPS'!$F$81*(1+AVERAGE('ENG_OPS'!$D$84:$P$84)*E9)*(1+F9))-('ENG_COST'!$F$266*(1+'IN_COST'!$D$8*E9))-('ENG_COST'!$F$268*(1+'IN_COST'!$D$9*E9))-('ENG_CAPEX'!$F$81*(1+'ENG_CAPEX'!$D$23*E9)))-MAX(0,(('ENG_OPS'!$F$81*(1+AVERAGE('ENG_OPS'!$D$84:$P$84)*E9)*(1+F9))-('ENG_COST'!$F$266*(1+'IN_COST'!$D$8*E9))-('ENG_COST'!$F$268*(1+'IN_COST'!$D$9*E9))-('ENG_CAPEX'!$F$81*(1+'ENG_CAPEX'!$D$23*E9))))*'IN_MACRO'!$D$14+('ENG_CAPEX'!$F$81*(1+'ENG_CAPEX'!$D$23*E9))-(('ENG_CAPEX'!$F$21+'ENG_CAPEX'!$F$42)*(1+'ENG_CAPEX'!$D$23*E9))-('ENG_WC'!$F$19*(1+AVERAGE('ENG_OPS'!$D$84:$P$84)*E9)*(1+F9))</f>
        <v/>
      </c>
      <c r="J9" s="36">
        <f>(('ENG_OPS'!$G$81*(1+AVERAGE('ENG_OPS'!$D$84:$P$84)*E9)*(1+F9))-('ENG_COST'!$G$266*(1+'IN_COST'!$D$8*E9))-('ENG_COST'!$G$268*(1+'IN_COST'!$D$9*E9))-('ENG_CAPEX'!$G$81*(1+'ENG_CAPEX'!$D$23*E9)))-MAX(0,(('ENG_OPS'!$G$81*(1+AVERAGE('ENG_OPS'!$D$84:$P$84)*E9)*(1+F9))-('ENG_COST'!$G$266*(1+'IN_COST'!$D$8*E9))-('ENG_COST'!$G$268*(1+'IN_COST'!$D$9*E9))-('ENG_CAPEX'!$G$81*(1+'ENG_CAPEX'!$D$23*E9))))*'IN_MACRO'!$D$14+('ENG_CAPEX'!$G$81*(1+'ENG_CAPEX'!$D$23*E9))-(('ENG_CAPEX'!$G$21+'ENG_CAPEX'!$G$42)*(1+'ENG_CAPEX'!$D$23*E9))-('ENG_WC'!$G$19*(1+AVERAGE('ENG_OPS'!$D$84:$P$84)*E9)*(1+F9))</f>
        <v/>
      </c>
      <c r="K9" s="36">
        <f>(('ENG_OPS'!$H$81*(1+AVERAGE('ENG_OPS'!$D$84:$P$84)*E9)*(1+F9))-('ENG_COST'!$H$266*(1+'IN_COST'!$D$8*E9))-('ENG_COST'!$H$268*(1+'IN_COST'!$D$9*E9))-('ENG_CAPEX'!$H$81*(1+'ENG_CAPEX'!$D$23*E9)))-MAX(0,(('ENG_OPS'!$H$81*(1+AVERAGE('ENG_OPS'!$D$84:$P$84)*E9)*(1+F9))-('ENG_COST'!$H$266*(1+'IN_COST'!$D$8*E9))-('ENG_COST'!$H$268*(1+'IN_COST'!$D$9*E9))-('ENG_CAPEX'!$H$81*(1+'ENG_CAPEX'!$D$23*E9))))*'IN_MACRO'!$D$14+('ENG_CAPEX'!$H$81*(1+'ENG_CAPEX'!$D$23*E9))-(('ENG_CAPEX'!$H$21+'ENG_CAPEX'!$H$42)*(1+'ENG_CAPEX'!$D$23*E9))-('ENG_WC'!$H$19*(1+AVERAGE('ENG_OPS'!$D$84:$P$84)*E9)*(1+F9))</f>
        <v/>
      </c>
      <c r="L9" s="36">
        <f>(('ENG_OPS'!$I$81*(1+AVERAGE('ENG_OPS'!$D$84:$P$84)*E9)*(1+F9))-('ENG_COST'!$I$266*(1+'IN_COST'!$D$8*E9))-('ENG_COST'!$I$268*(1+'IN_COST'!$D$9*E9))-('ENG_CAPEX'!$I$81*(1+'ENG_CAPEX'!$D$23*E9)))-MAX(0,(('ENG_OPS'!$I$81*(1+AVERAGE('ENG_OPS'!$D$84:$P$84)*E9)*(1+F9))-('ENG_COST'!$I$266*(1+'IN_COST'!$D$8*E9))-('ENG_COST'!$I$268*(1+'IN_COST'!$D$9*E9))-('ENG_CAPEX'!$I$81*(1+'ENG_CAPEX'!$D$23*E9))))*'IN_MACRO'!$D$14+('ENG_CAPEX'!$I$81*(1+'ENG_CAPEX'!$D$23*E9))-(('ENG_CAPEX'!$I$21+'ENG_CAPEX'!$I$42)*(1+'ENG_CAPEX'!$D$23*E9))-('ENG_WC'!$I$19*(1+AVERAGE('ENG_OPS'!$D$84:$P$84)*E9)*(1+F9))</f>
        <v/>
      </c>
      <c r="M9" s="36">
        <f>(('ENG_OPS'!$J$81*(1+AVERAGE('ENG_OPS'!$D$84:$P$84)*E9)*(1+F9))-('ENG_COST'!$J$266*(1+'IN_COST'!$D$8*E9))-('ENG_COST'!$J$268*(1+'IN_COST'!$D$9*E9))-('ENG_CAPEX'!$J$81*(1+'ENG_CAPEX'!$D$23*E9)))-MAX(0,(('ENG_OPS'!$J$81*(1+AVERAGE('ENG_OPS'!$D$84:$P$84)*E9)*(1+F9))-('ENG_COST'!$J$266*(1+'IN_COST'!$D$8*E9))-('ENG_COST'!$J$268*(1+'IN_COST'!$D$9*E9))-('ENG_CAPEX'!$J$81*(1+'ENG_CAPEX'!$D$23*E9))))*'IN_MACRO'!$D$14+('ENG_CAPEX'!$J$81*(1+'ENG_CAPEX'!$D$23*E9))-(('ENG_CAPEX'!$J$21+'ENG_CAPEX'!$J$42)*(1+'ENG_CAPEX'!$D$23*E9))-('ENG_WC'!$J$19*(1+AVERAGE('ENG_OPS'!$D$84:$P$84)*E9)*(1+F9))</f>
        <v/>
      </c>
      <c r="N9" s="36">
        <f>(('ENG_OPS'!$K$81*(1+AVERAGE('ENG_OPS'!$D$84:$P$84)*E9)*(1+F9))-('ENG_COST'!$K$266*(1+'IN_COST'!$D$8*E9))-('ENG_COST'!$K$268*(1+'IN_COST'!$D$9*E9))-('ENG_CAPEX'!$K$81*(1+'ENG_CAPEX'!$D$23*E9)))-MAX(0,(('ENG_OPS'!$K$81*(1+AVERAGE('ENG_OPS'!$D$84:$P$84)*E9)*(1+F9))-('ENG_COST'!$K$266*(1+'IN_COST'!$D$8*E9))-('ENG_COST'!$K$268*(1+'IN_COST'!$D$9*E9))-('ENG_CAPEX'!$K$81*(1+'ENG_CAPEX'!$D$23*E9))))*'IN_MACRO'!$D$14+('ENG_CAPEX'!$K$81*(1+'ENG_CAPEX'!$D$23*E9))-(('ENG_CAPEX'!$K$21+'ENG_CAPEX'!$K$42)*(1+'ENG_CAPEX'!$D$23*E9))-('ENG_WC'!$K$19*(1+AVERAGE('ENG_OPS'!$D$84:$P$84)*E9)*(1+F9))</f>
        <v/>
      </c>
      <c r="O9" s="36">
        <f>(('ENG_OPS'!$L$81*(1+AVERAGE('ENG_OPS'!$D$84:$P$84)*E9)*(1+F9))-('ENG_COST'!$L$266*(1+'IN_COST'!$D$8*E9))-('ENG_COST'!$L$268*(1+'IN_COST'!$D$9*E9))-('ENG_CAPEX'!$L$81*(1+'ENG_CAPEX'!$D$23*E9)))-MAX(0,(('ENG_OPS'!$L$81*(1+AVERAGE('ENG_OPS'!$D$84:$P$84)*E9)*(1+F9))-('ENG_COST'!$L$266*(1+'IN_COST'!$D$8*E9))-('ENG_COST'!$L$268*(1+'IN_COST'!$D$9*E9))-('ENG_CAPEX'!$L$81*(1+'ENG_CAPEX'!$D$23*E9))))*'IN_MACRO'!$D$14+('ENG_CAPEX'!$L$81*(1+'ENG_CAPEX'!$D$23*E9))-(('ENG_CAPEX'!$L$21+'ENG_CAPEX'!$L$42)*(1+'ENG_CAPEX'!$D$23*E9))-('ENG_WC'!$L$19*(1+AVERAGE('ENG_OPS'!$D$84:$P$84)*E9)*(1+F9))</f>
        <v/>
      </c>
      <c r="P9" s="36">
        <f>(('ENG_OPS'!$M$81*(1+AVERAGE('ENG_OPS'!$D$84:$P$84)*E9)*(1+F9))-('ENG_COST'!$M$266*(1+'IN_COST'!$D$8*E9))-('ENG_COST'!$M$268*(1+'IN_COST'!$D$9*E9))-('ENG_CAPEX'!$M$81*(1+'ENG_CAPEX'!$D$23*E9)))-MAX(0,(('ENG_OPS'!$M$81*(1+AVERAGE('ENG_OPS'!$D$84:$P$84)*E9)*(1+F9))-('ENG_COST'!$M$266*(1+'IN_COST'!$D$8*E9))-('ENG_COST'!$M$268*(1+'IN_COST'!$D$9*E9))-('ENG_CAPEX'!$M$81*(1+'ENG_CAPEX'!$D$23*E9))))*'IN_MACRO'!$D$14+('ENG_CAPEX'!$M$81*(1+'ENG_CAPEX'!$D$23*E9))-(('ENG_CAPEX'!$M$21+'ENG_CAPEX'!$M$42)*(1+'ENG_CAPEX'!$D$23*E9))-('ENG_WC'!$M$19*(1+AVERAGE('ENG_OPS'!$D$84:$P$84)*E9)*(1+F9))</f>
        <v/>
      </c>
      <c r="Q9" s="36">
        <f>(('ENG_OPS'!$N$81*(1+AVERAGE('ENG_OPS'!$D$84:$P$84)*E9)*(1+F9))-('ENG_COST'!$N$266*(1+'IN_COST'!$D$8*E9))-('ENG_COST'!$N$268*(1+'IN_COST'!$D$9*E9))-('ENG_CAPEX'!$N$81*(1+'ENG_CAPEX'!$D$23*E9)))-MAX(0,(('ENG_OPS'!$N$81*(1+AVERAGE('ENG_OPS'!$D$84:$P$84)*E9)*(1+F9))-('ENG_COST'!$N$266*(1+'IN_COST'!$D$8*E9))-('ENG_COST'!$N$268*(1+'IN_COST'!$D$9*E9))-('ENG_CAPEX'!$N$81*(1+'ENG_CAPEX'!$D$23*E9))))*'IN_MACRO'!$D$14+('ENG_CAPEX'!$N$81*(1+'ENG_CAPEX'!$D$23*E9))-(('ENG_CAPEX'!$N$21+'ENG_CAPEX'!$N$42)*(1+'ENG_CAPEX'!$D$23*E9))-('ENG_WC'!$N$19*(1+AVERAGE('ENG_OPS'!$D$84:$P$84)*E9)*(1+F9))</f>
        <v/>
      </c>
      <c r="R9" s="36">
        <f>(('ENG_OPS'!$O$81*(1+AVERAGE('ENG_OPS'!$D$84:$P$84)*E9)*(1+F9))-('ENG_COST'!$O$266*(1+'IN_COST'!$D$8*E9))-('ENG_COST'!$O$268*(1+'IN_COST'!$D$9*E9))-('ENG_CAPEX'!$O$81*(1+'ENG_CAPEX'!$D$23*E9)))-MAX(0,(('ENG_OPS'!$O$81*(1+AVERAGE('ENG_OPS'!$D$84:$P$84)*E9)*(1+F9))-('ENG_COST'!$O$266*(1+'IN_COST'!$D$8*E9))-('ENG_COST'!$O$268*(1+'IN_COST'!$D$9*E9))-('ENG_CAPEX'!$O$81*(1+'ENG_CAPEX'!$D$23*E9))))*'IN_MACRO'!$D$14+('ENG_CAPEX'!$O$81*(1+'ENG_CAPEX'!$D$23*E9))-(('ENG_CAPEX'!$O$21+'ENG_CAPEX'!$O$42)*(1+'ENG_CAPEX'!$D$23*E9))-('ENG_WC'!$O$19*(1+AVERAGE('ENG_OPS'!$D$84:$P$84)*E9)*(1+F9))</f>
        <v/>
      </c>
      <c r="S9" s="36">
        <f>(('ENG_OPS'!$P$81*(1+AVERAGE('ENG_OPS'!$D$84:$P$84)*E9)*(1+F9))-('ENG_COST'!$P$266*(1+'IN_COST'!$D$8*E9))-('ENG_COST'!$P$268*(1+'IN_COST'!$D$9*E9))-('ENG_CAPEX'!$P$81*(1+'ENG_CAPEX'!$D$23*E9)))-MAX(0,(('ENG_OPS'!$P$81*(1+AVERAGE('ENG_OPS'!$D$84:$P$84)*E9)*(1+F9))-('ENG_COST'!$P$266*(1+'IN_COST'!$D$8*E9))-('ENG_COST'!$P$268*(1+'IN_COST'!$D$9*E9))-('ENG_CAPEX'!$P$81*(1+'ENG_CAPEX'!$D$23*E9))))*'IN_MACRO'!$D$14+('ENG_CAPEX'!$P$81*(1+'ENG_CAPEX'!$D$23*E9))-(('ENG_CAPEX'!$P$21+'ENG_CAPEX'!$P$42)*(1+'ENG_CAPEX'!$D$23*E9))-('ENG_WC'!$P$19*(1+AVERAGE('ENG_OPS'!$D$84:$P$84)*E9)*(1+F9))</f>
        <v/>
      </c>
      <c r="T9" s="30">
        <f>1</f>
        <v/>
      </c>
      <c r="U9" s="30">
        <f>T9/(1+'ENG_DCF'!$E$14+D9)</f>
        <v/>
      </c>
      <c r="V9" s="30">
        <f>U9/(1+'ENG_DCF'!$F$14+D9)</f>
        <v/>
      </c>
      <c r="W9" s="30">
        <f>V9/(1+'ENG_DCF'!$G$14+D9)</f>
        <v/>
      </c>
      <c r="X9" s="30">
        <f>W9/(1+'ENG_DCF'!$H$14+D9)</f>
        <v/>
      </c>
      <c r="Y9" s="30">
        <f>X9/(1+'ENG_DCF'!$I$14+D9)</f>
        <v/>
      </c>
      <c r="Z9" s="30">
        <f>Y9/(1+'ENG_DCF'!$J$14+D9)</f>
        <v/>
      </c>
      <c r="AA9" s="30">
        <f>Z9/(1+'ENG_DCF'!$K$14+D9)</f>
        <v/>
      </c>
      <c r="AB9" s="30">
        <f>AA9/(1+'ENG_DCF'!$L$14+D9)</f>
        <v/>
      </c>
      <c r="AC9" s="30">
        <f>AB9/(1+'ENG_DCF'!$M$14+D9)</f>
        <v/>
      </c>
      <c r="AD9" s="30">
        <f>AC9/(1+'ENG_DCF'!$N$14+D9)</f>
        <v/>
      </c>
      <c r="AE9" s="30">
        <f>AD9/(1+'ENG_DCF'!$O$14+D9)</f>
        <v/>
      </c>
      <c r="AF9" s="30">
        <f>AE9/(1+'ENG_DCF'!$P$14+D9)</f>
        <v/>
      </c>
      <c r="AG9" s="36">
        <f>(G9*T9+H9*U9+I9*V9+J9*W9+K9*X9+L9*Y9+M9*Z9+N9*AA9+O9*AB9+P9*AC9+Q9*AD9+R9*AE9+S9*AF9)+(IF('IN_MACRO'!$D$19=1,MAX(0,(S9+(('ENG_CAPEX'!$P$21+'ENG_CAPEX'!$P$42)*(1+'ENG_CAPEX'!$D$23*E9))))*(1+'IN_MACRO'!$D$18)/MAX(0.005,'ENG_DCF'!$P$14+D9-'IN_MACRO'!$D$18),(('ENG_OPS'!$P$81*(1+AVERAGE('ENG_OPS'!$D$84:$P$84)*E9)*(1+F9))-('ENG_COST'!$P$266*(1+'IN_COST'!$D$8*E9))-('ENG_COST'!$P$268*(1+'IN_COST'!$D$9*E9)))*'IN_MACRO'!$D$20))*AF9</f>
        <v/>
      </c>
    </row>
    <row r="10">
      <c r="A10" t="inlineStr">
        <is>
          <t>FX|0|2</t>
        </is>
      </c>
      <c r="D10" s="38">
        <f>'IN_SCEN'!$D$24</f>
        <v/>
      </c>
      <c r="E10" s="38">
        <f>'IN_SCEN'!$F$25</f>
        <v/>
      </c>
      <c r="F10" s="38">
        <f>0</f>
        <v/>
      </c>
      <c r="G10" s="36">
        <f>(('ENG_OPS'!$D$81*(1+AVERAGE('ENG_OPS'!$D$84:$P$84)*E10)*(1+F10))-('ENG_COST'!$D$266*(1+'IN_COST'!$D$8*E10))-('ENG_COST'!$D$268*(1+'IN_COST'!$D$9*E10))-('ENG_CAPEX'!$D$81*(1+'ENG_CAPEX'!$D$23*E10)))-MAX(0,(('ENG_OPS'!$D$81*(1+AVERAGE('ENG_OPS'!$D$84:$P$84)*E10)*(1+F10))-('ENG_COST'!$D$266*(1+'IN_COST'!$D$8*E10))-('ENG_COST'!$D$268*(1+'IN_COST'!$D$9*E10))-('ENG_CAPEX'!$D$81*(1+'ENG_CAPEX'!$D$23*E10))))*'IN_MACRO'!$D$14+('ENG_CAPEX'!$D$81*(1+'ENG_CAPEX'!$D$23*E10))-(('ENG_CAPEX'!$D$21+'ENG_CAPEX'!$D$42)*(1+'ENG_CAPEX'!$D$23*E10))-('ENG_WC'!$D$19*(1+AVERAGE('ENG_OPS'!$D$84:$P$84)*E10)*(1+F10))</f>
        <v/>
      </c>
      <c r="H10" s="36">
        <f>(('ENG_OPS'!$E$81*(1+AVERAGE('ENG_OPS'!$D$84:$P$84)*E10)*(1+F10))-('ENG_COST'!$E$266*(1+'IN_COST'!$D$8*E10))-('ENG_COST'!$E$268*(1+'IN_COST'!$D$9*E10))-('ENG_CAPEX'!$E$81*(1+'ENG_CAPEX'!$D$23*E10)))-MAX(0,(('ENG_OPS'!$E$81*(1+AVERAGE('ENG_OPS'!$D$84:$P$84)*E10)*(1+F10))-('ENG_COST'!$E$266*(1+'IN_COST'!$D$8*E10))-('ENG_COST'!$E$268*(1+'IN_COST'!$D$9*E10))-('ENG_CAPEX'!$E$81*(1+'ENG_CAPEX'!$D$23*E10))))*'IN_MACRO'!$D$14+('ENG_CAPEX'!$E$81*(1+'ENG_CAPEX'!$D$23*E10))-(('ENG_CAPEX'!$E$21+'ENG_CAPEX'!$E$42)*(1+'ENG_CAPEX'!$D$23*E10))-('ENG_WC'!$E$19*(1+AVERAGE('ENG_OPS'!$D$84:$P$84)*E10)*(1+F10))</f>
        <v/>
      </c>
      <c r="I10" s="36">
        <f>(('ENG_OPS'!$F$81*(1+AVERAGE('ENG_OPS'!$D$84:$P$84)*E10)*(1+F10))-('ENG_COST'!$F$266*(1+'IN_COST'!$D$8*E10))-('ENG_COST'!$F$268*(1+'IN_COST'!$D$9*E10))-('ENG_CAPEX'!$F$81*(1+'ENG_CAPEX'!$D$23*E10)))-MAX(0,(('ENG_OPS'!$F$81*(1+AVERAGE('ENG_OPS'!$D$84:$P$84)*E10)*(1+F10))-('ENG_COST'!$F$266*(1+'IN_COST'!$D$8*E10))-('ENG_COST'!$F$268*(1+'IN_COST'!$D$9*E10))-('ENG_CAPEX'!$F$81*(1+'ENG_CAPEX'!$D$23*E10))))*'IN_MACRO'!$D$14+('ENG_CAPEX'!$F$81*(1+'ENG_CAPEX'!$D$23*E10))-(('ENG_CAPEX'!$F$21+'ENG_CAPEX'!$F$42)*(1+'ENG_CAPEX'!$D$23*E10))-('ENG_WC'!$F$19*(1+AVERAGE('ENG_OPS'!$D$84:$P$84)*E10)*(1+F10))</f>
        <v/>
      </c>
      <c r="J10" s="36">
        <f>(('ENG_OPS'!$G$81*(1+AVERAGE('ENG_OPS'!$D$84:$P$84)*E10)*(1+F10))-('ENG_COST'!$G$266*(1+'IN_COST'!$D$8*E10))-('ENG_COST'!$G$268*(1+'IN_COST'!$D$9*E10))-('ENG_CAPEX'!$G$81*(1+'ENG_CAPEX'!$D$23*E10)))-MAX(0,(('ENG_OPS'!$G$81*(1+AVERAGE('ENG_OPS'!$D$84:$P$84)*E10)*(1+F10))-('ENG_COST'!$G$266*(1+'IN_COST'!$D$8*E10))-('ENG_COST'!$G$268*(1+'IN_COST'!$D$9*E10))-('ENG_CAPEX'!$G$81*(1+'ENG_CAPEX'!$D$23*E10))))*'IN_MACRO'!$D$14+('ENG_CAPEX'!$G$81*(1+'ENG_CAPEX'!$D$23*E10))-(('ENG_CAPEX'!$G$21+'ENG_CAPEX'!$G$42)*(1+'ENG_CAPEX'!$D$23*E10))-('ENG_WC'!$G$19*(1+AVERAGE('ENG_OPS'!$D$84:$P$84)*E10)*(1+F10))</f>
        <v/>
      </c>
      <c r="K10" s="36">
        <f>(('ENG_OPS'!$H$81*(1+AVERAGE('ENG_OPS'!$D$84:$P$84)*E10)*(1+F10))-('ENG_COST'!$H$266*(1+'IN_COST'!$D$8*E10))-('ENG_COST'!$H$268*(1+'IN_COST'!$D$9*E10))-('ENG_CAPEX'!$H$81*(1+'ENG_CAPEX'!$D$23*E10)))-MAX(0,(('ENG_OPS'!$H$81*(1+AVERAGE('ENG_OPS'!$D$84:$P$84)*E10)*(1+F10))-('ENG_COST'!$H$266*(1+'IN_COST'!$D$8*E10))-('ENG_COST'!$H$268*(1+'IN_COST'!$D$9*E10))-('ENG_CAPEX'!$H$81*(1+'ENG_CAPEX'!$D$23*E10))))*'IN_MACRO'!$D$14+('ENG_CAPEX'!$H$81*(1+'ENG_CAPEX'!$D$23*E10))-(('ENG_CAPEX'!$H$21+'ENG_CAPEX'!$H$42)*(1+'ENG_CAPEX'!$D$23*E10))-('ENG_WC'!$H$19*(1+AVERAGE('ENG_OPS'!$D$84:$P$84)*E10)*(1+F10))</f>
        <v/>
      </c>
      <c r="L10" s="36">
        <f>(('ENG_OPS'!$I$81*(1+AVERAGE('ENG_OPS'!$D$84:$P$84)*E10)*(1+F10))-('ENG_COST'!$I$266*(1+'IN_COST'!$D$8*E10))-('ENG_COST'!$I$268*(1+'IN_COST'!$D$9*E10))-('ENG_CAPEX'!$I$81*(1+'ENG_CAPEX'!$D$23*E10)))-MAX(0,(('ENG_OPS'!$I$81*(1+AVERAGE('ENG_OPS'!$D$84:$P$84)*E10)*(1+F10))-('ENG_COST'!$I$266*(1+'IN_COST'!$D$8*E10))-('ENG_COST'!$I$268*(1+'IN_COST'!$D$9*E10))-('ENG_CAPEX'!$I$81*(1+'ENG_CAPEX'!$D$23*E10))))*'IN_MACRO'!$D$14+('ENG_CAPEX'!$I$81*(1+'ENG_CAPEX'!$D$23*E10))-(('ENG_CAPEX'!$I$21+'ENG_CAPEX'!$I$42)*(1+'ENG_CAPEX'!$D$23*E10))-('ENG_WC'!$I$19*(1+AVERAGE('ENG_OPS'!$D$84:$P$84)*E10)*(1+F10))</f>
        <v/>
      </c>
      <c r="M10" s="36">
        <f>(('ENG_OPS'!$J$81*(1+AVERAGE('ENG_OPS'!$D$84:$P$84)*E10)*(1+F10))-('ENG_COST'!$J$266*(1+'IN_COST'!$D$8*E10))-('ENG_COST'!$J$268*(1+'IN_COST'!$D$9*E10))-('ENG_CAPEX'!$J$81*(1+'ENG_CAPEX'!$D$23*E10)))-MAX(0,(('ENG_OPS'!$J$81*(1+AVERAGE('ENG_OPS'!$D$84:$P$84)*E10)*(1+F10))-('ENG_COST'!$J$266*(1+'IN_COST'!$D$8*E10))-('ENG_COST'!$J$268*(1+'IN_COST'!$D$9*E10))-('ENG_CAPEX'!$J$81*(1+'ENG_CAPEX'!$D$23*E10))))*'IN_MACRO'!$D$14+('ENG_CAPEX'!$J$81*(1+'ENG_CAPEX'!$D$23*E10))-(('ENG_CAPEX'!$J$21+'ENG_CAPEX'!$J$42)*(1+'ENG_CAPEX'!$D$23*E10))-('ENG_WC'!$J$19*(1+AVERAGE('ENG_OPS'!$D$84:$P$84)*E10)*(1+F10))</f>
        <v/>
      </c>
      <c r="N10" s="36">
        <f>(('ENG_OPS'!$K$81*(1+AVERAGE('ENG_OPS'!$D$84:$P$84)*E10)*(1+F10))-('ENG_COST'!$K$266*(1+'IN_COST'!$D$8*E10))-('ENG_COST'!$K$268*(1+'IN_COST'!$D$9*E10))-('ENG_CAPEX'!$K$81*(1+'ENG_CAPEX'!$D$23*E10)))-MAX(0,(('ENG_OPS'!$K$81*(1+AVERAGE('ENG_OPS'!$D$84:$P$84)*E10)*(1+F10))-('ENG_COST'!$K$266*(1+'IN_COST'!$D$8*E10))-('ENG_COST'!$K$268*(1+'IN_COST'!$D$9*E10))-('ENG_CAPEX'!$K$81*(1+'ENG_CAPEX'!$D$23*E10))))*'IN_MACRO'!$D$14+('ENG_CAPEX'!$K$81*(1+'ENG_CAPEX'!$D$23*E10))-(('ENG_CAPEX'!$K$21+'ENG_CAPEX'!$K$42)*(1+'ENG_CAPEX'!$D$23*E10))-('ENG_WC'!$K$19*(1+AVERAGE('ENG_OPS'!$D$84:$P$84)*E10)*(1+F10))</f>
        <v/>
      </c>
      <c r="O10" s="36">
        <f>(('ENG_OPS'!$L$81*(1+AVERAGE('ENG_OPS'!$D$84:$P$84)*E10)*(1+F10))-('ENG_COST'!$L$266*(1+'IN_COST'!$D$8*E10))-('ENG_COST'!$L$268*(1+'IN_COST'!$D$9*E10))-('ENG_CAPEX'!$L$81*(1+'ENG_CAPEX'!$D$23*E10)))-MAX(0,(('ENG_OPS'!$L$81*(1+AVERAGE('ENG_OPS'!$D$84:$P$84)*E10)*(1+F10))-('ENG_COST'!$L$266*(1+'IN_COST'!$D$8*E10))-('ENG_COST'!$L$268*(1+'IN_COST'!$D$9*E10))-('ENG_CAPEX'!$L$81*(1+'ENG_CAPEX'!$D$23*E10))))*'IN_MACRO'!$D$14+('ENG_CAPEX'!$L$81*(1+'ENG_CAPEX'!$D$23*E10))-(('ENG_CAPEX'!$L$21+'ENG_CAPEX'!$L$42)*(1+'ENG_CAPEX'!$D$23*E10))-('ENG_WC'!$L$19*(1+AVERAGE('ENG_OPS'!$D$84:$P$84)*E10)*(1+F10))</f>
        <v/>
      </c>
      <c r="P10" s="36">
        <f>(('ENG_OPS'!$M$81*(1+AVERAGE('ENG_OPS'!$D$84:$P$84)*E10)*(1+F10))-('ENG_COST'!$M$266*(1+'IN_COST'!$D$8*E10))-('ENG_COST'!$M$268*(1+'IN_COST'!$D$9*E10))-('ENG_CAPEX'!$M$81*(1+'ENG_CAPEX'!$D$23*E10)))-MAX(0,(('ENG_OPS'!$M$81*(1+AVERAGE('ENG_OPS'!$D$84:$P$84)*E10)*(1+F10))-('ENG_COST'!$M$266*(1+'IN_COST'!$D$8*E10))-('ENG_COST'!$M$268*(1+'IN_COST'!$D$9*E10))-('ENG_CAPEX'!$M$81*(1+'ENG_CAPEX'!$D$23*E10))))*'IN_MACRO'!$D$14+('ENG_CAPEX'!$M$81*(1+'ENG_CAPEX'!$D$23*E10))-(('ENG_CAPEX'!$M$21+'ENG_CAPEX'!$M$42)*(1+'ENG_CAPEX'!$D$23*E10))-('ENG_WC'!$M$19*(1+AVERAGE('ENG_OPS'!$D$84:$P$84)*E10)*(1+F10))</f>
        <v/>
      </c>
      <c r="Q10" s="36">
        <f>(('ENG_OPS'!$N$81*(1+AVERAGE('ENG_OPS'!$D$84:$P$84)*E10)*(1+F10))-('ENG_COST'!$N$266*(1+'IN_COST'!$D$8*E10))-('ENG_COST'!$N$268*(1+'IN_COST'!$D$9*E10))-('ENG_CAPEX'!$N$81*(1+'ENG_CAPEX'!$D$23*E10)))-MAX(0,(('ENG_OPS'!$N$81*(1+AVERAGE('ENG_OPS'!$D$84:$P$84)*E10)*(1+F10))-('ENG_COST'!$N$266*(1+'IN_COST'!$D$8*E10))-('ENG_COST'!$N$268*(1+'IN_COST'!$D$9*E10))-('ENG_CAPEX'!$N$81*(1+'ENG_CAPEX'!$D$23*E10))))*'IN_MACRO'!$D$14+('ENG_CAPEX'!$N$81*(1+'ENG_CAPEX'!$D$23*E10))-(('ENG_CAPEX'!$N$21+'ENG_CAPEX'!$N$42)*(1+'ENG_CAPEX'!$D$23*E10))-('ENG_WC'!$N$19*(1+AVERAGE('ENG_OPS'!$D$84:$P$84)*E10)*(1+F10))</f>
        <v/>
      </c>
      <c r="R10" s="36">
        <f>(('ENG_OPS'!$O$81*(1+AVERAGE('ENG_OPS'!$D$84:$P$84)*E10)*(1+F10))-('ENG_COST'!$O$266*(1+'IN_COST'!$D$8*E10))-('ENG_COST'!$O$268*(1+'IN_COST'!$D$9*E10))-('ENG_CAPEX'!$O$81*(1+'ENG_CAPEX'!$D$23*E10)))-MAX(0,(('ENG_OPS'!$O$81*(1+AVERAGE('ENG_OPS'!$D$84:$P$84)*E10)*(1+F10))-('ENG_COST'!$O$266*(1+'IN_COST'!$D$8*E10))-('ENG_COST'!$O$268*(1+'IN_COST'!$D$9*E10))-('ENG_CAPEX'!$O$81*(1+'ENG_CAPEX'!$D$23*E10))))*'IN_MACRO'!$D$14+('ENG_CAPEX'!$O$81*(1+'ENG_CAPEX'!$D$23*E10))-(('ENG_CAPEX'!$O$21+'ENG_CAPEX'!$O$42)*(1+'ENG_CAPEX'!$D$23*E10))-('ENG_WC'!$O$19*(1+AVERAGE('ENG_OPS'!$D$84:$P$84)*E10)*(1+F10))</f>
        <v/>
      </c>
      <c r="S10" s="36">
        <f>(('ENG_OPS'!$P$81*(1+AVERAGE('ENG_OPS'!$D$84:$P$84)*E10)*(1+F10))-('ENG_COST'!$P$266*(1+'IN_COST'!$D$8*E10))-('ENG_COST'!$P$268*(1+'IN_COST'!$D$9*E10))-('ENG_CAPEX'!$P$81*(1+'ENG_CAPEX'!$D$23*E10)))-MAX(0,(('ENG_OPS'!$P$81*(1+AVERAGE('ENG_OPS'!$D$84:$P$84)*E10)*(1+F10))-('ENG_COST'!$P$266*(1+'IN_COST'!$D$8*E10))-('ENG_COST'!$P$268*(1+'IN_COST'!$D$9*E10))-('ENG_CAPEX'!$P$81*(1+'ENG_CAPEX'!$D$23*E10))))*'IN_MACRO'!$D$14+('ENG_CAPEX'!$P$81*(1+'ENG_CAPEX'!$D$23*E10))-(('ENG_CAPEX'!$P$21+'ENG_CAPEX'!$P$42)*(1+'ENG_CAPEX'!$D$23*E10))-('ENG_WC'!$P$19*(1+AVERAGE('ENG_OPS'!$D$84:$P$84)*E10)*(1+F10))</f>
        <v/>
      </c>
      <c r="T10" s="30">
        <f>1</f>
        <v/>
      </c>
      <c r="U10" s="30">
        <f>T10/(1+'ENG_DCF'!$E$14+D10)</f>
        <v/>
      </c>
      <c r="V10" s="30">
        <f>U10/(1+'ENG_DCF'!$F$14+D10)</f>
        <v/>
      </c>
      <c r="W10" s="30">
        <f>V10/(1+'ENG_DCF'!$G$14+D10)</f>
        <v/>
      </c>
      <c r="X10" s="30">
        <f>W10/(1+'ENG_DCF'!$H$14+D10)</f>
        <v/>
      </c>
      <c r="Y10" s="30">
        <f>X10/(1+'ENG_DCF'!$I$14+D10)</f>
        <v/>
      </c>
      <c r="Z10" s="30">
        <f>Y10/(1+'ENG_DCF'!$J$14+D10)</f>
        <v/>
      </c>
      <c r="AA10" s="30">
        <f>Z10/(1+'ENG_DCF'!$K$14+D10)</f>
        <v/>
      </c>
      <c r="AB10" s="30">
        <f>AA10/(1+'ENG_DCF'!$L$14+D10)</f>
        <v/>
      </c>
      <c r="AC10" s="30">
        <f>AB10/(1+'ENG_DCF'!$M$14+D10)</f>
        <v/>
      </c>
      <c r="AD10" s="30">
        <f>AC10/(1+'ENG_DCF'!$N$14+D10)</f>
        <v/>
      </c>
      <c r="AE10" s="30">
        <f>AD10/(1+'ENG_DCF'!$O$14+D10)</f>
        <v/>
      </c>
      <c r="AF10" s="30">
        <f>AE10/(1+'ENG_DCF'!$P$14+D10)</f>
        <v/>
      </c>
      <c r="AG10" s="36">
        <f>(G10*T10+H10*U10+I10*V10+J10*W10+K10*X10+L10*Y10+M10*Z10+N10*AA10+O10*AB10+P10*AC10+Q10*AD10+R10*AE10+S10*AF10)+(IF('IN_MACRO'!$D$19=1,MAX(0,(S10+(('ENG_CAPEX'!$P$21+'ENG_CAPEX'!$P$42)*(1+'ENG_CAPEX'!$D$23*E10))))*(1+'IN_MACRO'!$D$18)/MAX(0.005,'ENG_DCF'!$P$14+D10-'IN_MACRO'!$D$18),(('ENG_OPS'!$P$81*(1+AVERAGE('ENG_OPS'!$D$84:$P$84)*E10)*(1+F10))-('ENG_COST'!$P$266*(1+'IN_COST'!$D$8*E10))-('ENG_COST'!$P$268*(1+'IN_COST'!$D$9*E10)))*'IN_MACRO'!$D$20))*AF10</f>
        <v/>
      </c>
    </row>
    <row r="11">
      <c r="A11" t="inlineStr">
        <is>
          <t>PR|0|2</t>
        </is>
      </c>
      <c r="D11" s="38">
        <f>'IN_SCEN'!$D$24</f>
        <v/>
      </c>
      <c r="E11" s="38">
        <f>0</f>
        <v/>
      </c>
      <c r="F11" s="38">
        <f>'IN_SCEN'!$F$26</f>
        <v/>
      </c>
      <c r="G11" s="36">
        <f>(('ENG_OPS'!$D$81*(1+AVERAGE('ENG_OPS'!$D$84:$P$84)*E11)*(1+F11))-('ENG_COST'!$D$266*(1+'IN_COST'!$D$8*E11))-('ENG_COST'!$D$268*(1+'IN_COST'!$D$9*E11))-('ENG_CAPEX'!$D$81*(1+'ENG_CAPEX'!$D$23*E11)))-MAX(0,(('ENG_OPS'!$D$81*(1+AVERAGE('ENG_OPS'!$D$84:$P$84)*E11)*(1+F11))-('ENG_COST'!$D$266*(1+'IN_COST'!$D$8*E11))-('ENG_COST'!$D$268*(1+'IN_COST'!$D$9*E11))-('ENG_CAPEX'!$D$81*(1+'ENG_CAPEX'!$D$23*E11))))*'IN_MACRO'!$D$14+('ENG_CAPEX'!$D$81*(1+'ENG_CAPEX'!$D$23*E11))-(('ENG_CAPEX'!$D$21+'ENG_CAPEX'!$D$42)*(1+'ENG_CAPEX'!$D$23*E11))-('ENG_WC'!$D$19*(1+AVERAGE('ENG_OPS'!$D$84:$P$84)*E11)*(1+F11))</f>
        <v/>
      </c>
      <c r="H11" s="36">
        <f>(('ENG_OPS'!$E$81*(1+AVERAGE('ENG_OPS'!$D$84:$P$84)*E11)*(1+F11))-('ENG_COST'!$E$266*(1+'IN_COST'!$D$8*E11))-('ENG_COST'!$E$268*(1+'IN_COST'!$D$9*E11))-('ENG_CAPEX'!$E$81*(1+'ENG_CAPEX'!$D$23*E11)))-MAX(0,(('ENG_OPS'!$E$81*(1+AVERAGE('ENG_OPS'!$D$84:$P$84)*E11)*(1+F11))-('ENG_COST'!$E$266*(1+'IN_COST'!$D$8*E11))-('ENG_COST'!$E$268*(1+'IN_COST'!$D$9*E11))-('ENG_CAPEX'!$E$81*(1+'ENG_CAPEX'!$D$23*E11))))*'IN_MACRO'!$D$14+('ENG_CAPEX'!$E$81*(1+'ENG_CAPEX'!$D$23*E11))-(('ENG_CAPEX'!$E$21+'ENG_CAPEX'!$E$42)*(1+'ENG_CAPEX'!$D$23*E11))-('ENG_WC'!$E$19*(1+AVERAGE('ENG_OPS'!$D$84:$P$84)*E11)*(1+F11))</f>
        <v/>
      </c>
      <c r="I11" s="36">
        <f>(('ENG_OPS'!$F$81*(1+AVERAGE('ENG_OPS'!$D$84:$P$84)*E11)*(1+F11))-('ENG_COST'!$F$266*(1+'IN_COST'!$D$8*E11))-('ENG_COST'!$F$268*(1+'IN_COST'!$D$9*E11))-('ENG_CAPEX'!$F$81*(1+'ENG_CAPEX'!$D$23*E11)))-MAX(0,(('ENG_OPS'!$F$81*(1+AVERAGE('ENG_OPS'!$D$84:$P$84)*E11)*(1+F11))-('ENG_COST'!$F$266*(1+'IN_COST'!$D$8*E11))-('ENG_COST'!$F$268*(1+'IN_COST'!$D$9*E11))-('ENG_CAPEX'!$F$81*(1+'ENG_CAPEX'!$D$23*E11))))*'IN_MACRO'!$D$14+('ENG_CAPEX'!$F$81*(1+'ENG_CAPEX'!$D$23*E11))-(('ENG_CAPEX'!$F$21+'ENG_CAPEX'!$F$42)*(1+'ENG_CAPEX'!$D$23*E11))-('ENG_WC'!$F$19*(1+AVERAGE('ENG_OPS'!$D$84:$P$84)*E11)*(1+F11))</f>
        <v/>
      </c>
      <c r="J11" s="36">
        <f>(('ENG_OPS'!$G$81*(1+AVERAGE('ENG_OPS'!$D$84:$P$84)*E11)*(1+F11))-('ENG_COST'!$G$266*(1+'IN_COST'!$D$8*E11))-('ENG_COST'!$G$268*(1+'IN_COST'!$D$9*E11))-('ENG_CAPEX'!$G$81*(1+'ENG_CAPEX'!$D$23*E11)))-MAX(0,(('ENG_OPS'!$G$81*(1+AVERAGE('ENG_OPS'!$D$84:$P$84)*E11)*(1+F11))-('ENG_COST'!$G$266*(1+'IN_COST'!$D$8*E11))-('ENG_COST'!$G$268*(1+'IN_COST'!$D$9*E11))-('ENG_CAPEX'!$G$81*(1+'ENG_CAPEX'!$D$23*E11))))*'IN_MACRO'!$D$14+('ENG_CAPEX'!$G$81*(1+'ENG_CAPEX'!$D$23*E11))-(('ENG_CAPEX'!$G$21+'ENG_CAPEX'!$G$42)*(1+'ENG_CAPEX'!$D$23*E11))-('ENG_WC'!$G$19*(1+AVERAGE('ENG_OPS'!$D$84:$P$84)*E11)*(1+F11))</f>
        <v/>
      </c>
      <c r="K11" s="36">
        <f>(('ENG_OPS'!$H$81*(1+AVERAGE('ENG_OPS'!$D$84:$P$84)*E11)*(1+F11))-('ENG_COST'!$H$266*(1+'IN_COST'!$D$8*E11))-('ENG_COST'!$H$268*(1+'IN_COST'!$D$9*E11))-('ENG_CAPEX'!$H$81*(1+'ENG_CAPEX'!$D$23*E11)))-MAX(0,(('ENG_OPS'!$H$81*(1+AVERAGE('ENG_OPS'!$D$84:$P$84)*E11)*(1+F11))-('ENG_COST'!$H$266*(1+'IN_COST'!$D$8*E11))-('ENG_COST'!$H$268*(1+'IN_COST'!$D$9*E11))-('ENG_CAPEX'!$H$81*(1+'ENG_CAPEX'!$D$23*E11))))*'IN_MACRO'!$D$14+('ENG_CAPEX'!$H$81*(1+'ENG_CAPEX'!$D$23*E11))-(('ENG_CAPEX'!$H$21+'ENG_CAPEX'!$H$42)*(1+'ENG_CAPEX'!$D$23*E11))-('ENG_WC'!$H$19*(1+AVERAGE('ENG_OPS'!$D$84:$P$84)*E11)*(1+F11))</f>
        <v/>
      </c>
      <c r="L11" s="36">
        <f>(('ENG_OPS'!$I$81*(1+AVERAGE('ENG_OPS'!$D$84:$P$84)*E11)*(1+F11))-('ENG_COST'!$I$266*(1+'IN_COST'!$D$8*E11))-('ENG_COST'!$I$268*(1+'IN_COST'!$D$9*E11))-('ENG_CAPEX'!$I$81*(1+'ENG_CAPEX'!$D$23*E11)))-MAX(0,(('ENG_OPS'!$I$81*(1+AVERAGE('ENG_OPS'!$D$84:$P$84)*E11)*(1+F11))-('ENG_COST'!$I$266*(1+'IN_COST'!$D$8*E11))-('ENG_COST'!$I$268*(1+'IN_COST'!$D$9*E11))-('ENG_CAPEX'!$I$81*(1+'ENG_CAPEX'!$D$23*E11))))*'IN_MACRO'!$D$14+('ENG_CAPEX'!$I$81*(1+'ENG_CAPEX'!$D$23*E11))-(('ENG_CAPEX'!$I$21+'ENG_CAPEX'!$I$42)*(1+'ENG_CAPEX'!$D$23*E11))-('ENG_WC'!$I$19*(1+AVERAGE('ENG_OPS'!$D$84:$P$84)*E11)*(1+F11))</f>
        <v/>
      </c>
      <c r="M11" s="36">
        <f>(('ENG_OPS'!$J$81*(1+AVERAGE('ENG_OPS'!$D$84:$P$84)*E11)*(1+F11))-('ENG_COST'!$J$266*(1+'IN_COST'!$D$8*E11))-('ENG_COST'!$J$268*(1+'IN_COST'!$D$9*E11))-('ENG_CAPEX'!$J$81*(1+'ENG_CAPEX'!$D$23*E11)))-MAX(0,(('ENG_OPS'!$J$81*(1+AVERAGE('ENG_OPS'!$D$84:$P$84)*E11)*(1+F11))-('ENG_COST'!$J$266*(1+'IN_COST'!$D$8*E11))-('ENG_COST'!$J$268*(1+'IN_COST'!$D$9*E11))-('ENG_CAPEX'!$J$81*(1+'ENG_CAPEX'!$D$23*E11))))*'IN_MACRO'!$D$14+('ENG_CAPEX'!$J$81*(1+'ENG_CAPEX'!$D$23*E11))-(('ENG_CAPEX'!$J$21+'ENG_CAPEX'!$J$42)*(1+'ENG_CAPEX'!$D$23*E11))-('ENG_WC'!$J$19*(1+AVERAGE('ENG_OPS'!$D$84:$P$84)*E11)*(1+F11))</f>
        <v/>
      </c>
      <c r="N11" s="36">
        <f>(('ENG_OPS'!$K$81*(1+AVERAGE('ENG_OPS'!$D$84:$P$84)*E11)*(1+F11))-('ENG_COST'!$K$266*(1+'IN_COST'!$D$8*E11))-('ENG_COST'!$K$268*(1+'IN_COST'!$D$9*E11))-('ENG_CAPEX'!$K$81*(1+'ENG_CAPEX'!$D$23*E11)))-MAX(0,(('ENG_OPS'!$K$81*(1+AVERAGE('ENG_OPS'!$D$84:$P$84)*E11)*(1+F11))-('ENG_COST'!$K$266*(1+'IN_COST'!$D$8*E11))-('ENG_COST'!$K$268*(1+'IN_COST'!$D$9*E11))-('ENG_CAPEX'!$K$81*(1+'ENG_CAPEX'!$D$23*E11))))*'IN_MACRO'!$D$14+('ENG_CAPEX'!$K$81*(1+'ENG_CAPEX'!$D$23*E11))-(('ENG_CAPEX'!$K$21+'ENG_CAPEX'!$K$42)*(1+'ENG_CAPEX'!$D$23*E11))-('ENG_WC'!$K$19*(1+AVERAGE('ENG_OPS'!$D$84:$P$84)*E11)*(1+F11))</f>
        <v/>
      </c>
      <c r="O11" s="36">
        <f>(('ENG_OPS'!$L$81*(1+AVERAGE('ENG_OPS'!$D$84:$P$84)*E11)*(1+F11))-('ENG_COST'!$L$266*(1+'IN_COST'!$D$8*E11))-('ENG_COST'!$L$268*(1+'IN_COST'!$D$9*E11))-('ENG_CAPEX'!$L$81*(1+'ENG_CAPEX'!$D$23*E11)))-MAX(0,(('ENG_OPS'!$L$81*(1+AVERAGE('ENG_OPS'!$D$84:$P$84)*E11)*(1+F11))-('ENG_COST'!$L$266*(1+'IN_COST'!$D$8*E11))-('ENG_COST'!$L$268*(1+'IN_COST'!$D$9*E11))-('ENG_CAPEX'!$L$81*(1+'ENG_CAPEX'!$D$23*E11))))*'IN_MACRO'!$D$14+('ENG_CAPEX'!$L$81*(1+'ENG_CAPEX'!$D$23*E11))-(('ENG_CAPEX'!$L$21+'ENG_CAPEX'!$L$42)*(1+'ENG_CAPEX'!$D$23*E11))-('ENG_WC'!$L$19*(1+AVERAGE('ENG_OPS'!$D$84:$P$84)*E11)*(1+F11))</f>
        <v/>
      </c>
      <c r="P11" s="36">
        <f>(('ENG_OPS'!$M$81*(1+AVERAGE('ENG_OPS'!$D$84:$P$84)*E11)*(1+F11))-('ENG_COST'!$M$266*(1+'IN_COST'!$D$8*E11))-('ENG_COST'!$M$268*(1+'IN_COST'!$D$9*E11))-('ENG_CAPEX'!$M$81*(1+'ENG_CAPEX'!$D$23*E11)))-MAX(0,(('ENG_OPS'!$M$81*(1+AVERAGE('ENG_OPS'!$D$84:$P$84)*E11)*(1+F11))-('ENG_COST'!$M$266*(1+'IN_COST'!$D$8*E11))-('ENG_COST'!$M$268*(1+'IN_COST'!$D$9*E11))-('ENG_CAPEX'!$M$81*(1+'ENG_CAPEX'!$D$23*E11))))*'IN_MACRO'!$D$14+('ENG_CAPEX'!$M$81*(1+'ENG_CAPEX'!$D$23*E11))-(('ENG_CAPEX'!$M$21+'ENG_CAPEX'!$M$42)*(1+'ENG_CAPEX'!$D$23*E11))-('ENG_WC'!$M$19*(1+AVERAGE('ENG_OPS'!$D$84:$P$84)*E11)*(1+F11))</f>
        <v/>
      </c>
      <c r="Q11" s="36">
        <f>(('ENG_OPS'!$N$81*(1+AVERAGE('ENG_OPS'!$D$84:$P$84)*E11)*(1+F11))-('ENG_COST'!$N$266*(1+'IN_COST'!$D$8*E11))-('ENG_COST'!$N$268*(1+'IN_COST'!$D$9*E11))-('ENG_CAPEX'!$N$81*(1+'ENG_CAPEX'!$D$23*E11)))-MAX(0,(('ENG_OPS'!$N$81*(1+AVERAGE('ENG_OPS'!$D$84:$P$84)*E11)*(1+F11))-('ENG_COST'!$N$266*(1+'IN_COST'!$D$8*E11))-('ENG_COST'!$N$268*(1+'IN_COST'!$D$9*E11))-('ENG_CAPEX'!$N$81*(1+'ENG_CAPEX'!$D$23*E11))))*'IN_MACRO'!$D$14+('ENG_CAPEX'!$N$81*(1+'ENG_CAPEX'!$D$23*E11))-(('ENG_CAPEX'!$N$21+'ENG_CAPEX'!$N$42)*(1+'ENG_CAPEX'!$D$23*E11))-('ENG_WC'!$N$19*(1+AVERAGE('ENG_OPS'!$D$84:$P$84)*E11)*(1+F11))</f>
        <v/>
      </c>
      <c r="R11" s="36">
        <f>(('ENG_OPS'!$O$81*(1+AVERAGE('ENG_OPS'!$D$84:$P$84)*E11)*(1+F11))-('ENG_COST'!$O$266*(1+'IN_COST'!$D$8*E11))-('ENG_COST'!$O$268*(1+'IN_COST'!$D$9*E11))-('ENG_CAPEX'!$O$81*(1+'ENG_CAPEX'!$D$23*E11)))-MAX(0,(('ENG_OPS'!$O$81*(1+AVERAGE('ENG_OPS'!$D$84:$P$84)*E11)*(1+F11))-('ENG_COST'!$O$266*(1+'IN_COST'!$D$8*E11))-('ENG_COST'!$O$268*(1+'IN_COST'!$D$9*E11))-('ENG_CAPEX'!$O$81*(1+'ENG_CAPEX'!$D$23*E11))))*'IN_MACRO'!$D$14+('ENG_CAPEX'!$O$81*(1+'ENG_CAPEX'!$D$23*E11))-(('ENG_CAPEX'!$O$21+'ENG_CAPEX'!$O$42)*(1+'ENG_CAPEX'!$D$23*E11))-('ENG_WC'!$O$19*(1+AVERAGE('ENG_OPS'!$D$84:$P$84)*E11)*(1+F11))</f>
        <v/>
      </c>
      <c r="S11" s="36">
        <f>(('ENG_OPS'!$P$81*(1+AVERAGE('ENG_OPS'!$D$84:$P$84)*E11)*(1+F11))-('ENG_COST'!$P$266*(1+'IN_COST'!$D$8*E11))-('ENG_COST'!$P$268*(1+'IN_COST'!$D$9*E11))-('ENG_CAPEX'!$P$81*(1+'ENG_CAPEX'!$D$23*E11)))-MAX(0,(('ENG_OPS'!$P$81*(1+AVERAGE('ENG_OPS'!$D$84:$P$84)*E11)*(1+F11))-('ENG_COST'!$P$266*(1+'IN_COST'!$D$8*E11))-('ENG_COST'!$P$268*(1+'IN_COST'!$D$9*E11))-('ENG_CAPEX'!$P$81*(1+'ENG_CAPEX'!$D$23*E11))))*'IN_MACRO'!$D$14+('ENG_CAPEX'!$P$81*(1+'ENG_CAPEX'!$D$23*E11))-(('ENG_CAPEX'!$P$21+'ENG_CAPEX'!$P$42)*(1+'ENG_CAPEX'!$D$23*E11))-('ENG_WC'!$P$19*(1+AVERAGE('ENG_OPS'!$D$84:$P$84)*E11)*(1+F11))</f>
        <v/>
      </c>
      <c r="T11" s="30">
        <f>1</f>
        <v/>
      </c>
      <c r="U11" s="30">
        <f>T11/(1+'ENG_DCF'!$E$14+D11)</f>
        <v/>
      </c>
      <c r="V11" s="30">
        <f>U11/(1+'ENG_DCF'!$F$14+D11)</f>
        <v/>
      </c>
      <c r="W11" s="30">
        <f>V11/(1+'ENG_DCF'!$G$14+D11)</f>
        <v/>
      </c>
      <c r="X11" s="30">
        <f>W11/(1+'ENG_DCF'!$H$14+D11)</f>
        <v/>
      </c>
      <c r="Y11" s="30">
        <f>X11/(1+'ENG_DCF'!$I$14+D11)</f>
        <v/>
      </c>
      <c r="Z11" s="30">
        <f>Y11/(1+'ENG_DCF'!$J$14+D11)</f>
        <v/>
      </c>
      <c r="AA11" s="30">
        <f>Z11/(1+'ENG_DCF'!$K$14+D11)</f>
        <v/>
      </c>
      <c r="AB11" s="30">
        <f>AA11/(1+'ENG_DCF'!$L$14+D11)</f>
        <v/>
      </c>
      <c r="AC11" s="30">
        <f>AB11/(1+'ENG_DCF'!$M$14+D11)</f>
        <v/>
      </c>
      <c r="AD11" s="30">
        <f>AC11/(1+'ENG_DCF'!$N$14+D11)</f>
        <v/>
      </c>
      <c r="AE11" s="30">
        <f>AD11/(1+'ENG_DCF'!$O$14+D11)</f>
        <v/>
      </c>
      <c r="AF11" s="30">
        <f>AE11/(1+'ENG_DCF'!$P$14+D11)</f>
        <v/>
      </c>
      <c r="AG11" s="36">
        <f>(G11*T11+H11*U11+I11*V11+J11*W11+K11*X11+L11*Y11+M11*Z11+N11*AA11+O11*AB11+P11*AC11+Q11*AD11+R11*AE11+S11*AF11)+(IF('IN_MACRO'!$D$19=1,MAX(0,(S11+(('ENG_CAPEX'!$P$21+'ENG_CAPEX'!$P$42)*(1+'ENG_CAPEX'!$D$23*E11))))*(1+'IN_MACRO'!$D$18)/MAX(0.005,'ENG_DCF'!$P$14+D11-'IN_MACRO'!$D$18),(('ENG_OPS'!$P$81*(1+AVERAGE('ENG_OPS'!$D$84:$P$84)*E11)*(1+F11))-('ENG_COST'!$P$266*(1+'IN_COST'!$D$8*E11))-('ENG_COST'!$P$268*(1+'IN_COST'!$D$9*E11)))*'IN_MACRO'!$D$20))*AF11</f>
        <v/>
      </c>
    </row>
    <row r="12">
      <c r="A12" t="inlineStr">
        <is>
          <t>FX|0|3</t>
        </is>
      </c>
      <c r="D12" s="38">
        <f>'IN_SCEN'!$D$24</f>
        <v/>
      </c>
      <c r="E12" s="38">
        <f>'IN_SCEN'!$G$25</f>
        <v/>
      </c>
      <c r="F12" s="38">
        <f>0</f>
        <v/>
      </c>
      <c r="G12" s="36">
        <f>(('ENG_OPS'!$D$81*(1+AVERAGE('ENG_OPS'!$D$84:$P$84)*E12)*(1+F12))-('ENG_COST'!$D$266*(1+'IN_COST'!$D$8*E12))-('ENG_COST'!$D$268*(1+'IN_COST'!$D$9*E12))-('ENG_CAPEX'!$D$81*(1+'ENG_CAPEX'!$D$23*E12)))-MAX(0,(('ENG_OPS'!$D$81*(1+AVERAGE('ENG_OPS'!$D$84:$P$84)*E12)*(1+F12))-('ENG_COST'!$D$266*(1+'IN_COST'!$D$8*E12))-('ENG_COST'!$D$268*(1+'IN_COST'!$D$9*E12))-('ENG_CAPEX'!$D$81*(1+'ENG_CAPEX'!$D$23*E12))))*'IN_MACRO'!$D$14+('ENG_CAPEX'!$D$81*(1+'ENG_CAPEX'!$D$23*E12))-(('ENG_CAPEX'!$D$21+'ENG_CAPEX'!$D$42)*(1+'ENG_CAPEX'!$D$23*E12))-('ENG_WC'!$D$19*(1+AVERAGE('ENG_OPS'!$D$84:$P$84)*E12)*(1+F12))</f>
        <v/>
      </c>
      <c r="H12" s="36">
        <f>(('ENG_OPS'!$E$81*(1+AVERAGE('ENG_OPS'!$D$84:$P$84)*E12)*(1+F12))-('ENG_COST'!$E$266*(1+'IN_COST'!$D$8*E12))-('ENG_COST'!$E$268*(1+'IN_COST'!$D$9*E12))-('ENG_CAPEX'!$E$81*(1+'ENG_CAPEX'!$D$23*E12)))-MAX(0,(('ENG_OPS'!$E$81*(1+AVERAGE('ENG_OPS'!$D$84:$P$84)*E12)*(1+F12))-('ENG_COST'!$E$266*(1+'IN_COST'!$D$8*E12))-('ENG_COST'!$E$268*(1+'IN_COST'!$D$9*E12))-('ENG_CAPEX'!$E$81*(1+'ENG_CAPEX'!$D$23*E12))))*'IN_MACRO'!$D$14+('ENG_CAPEX'!$E$81*(1+'ENG_CAPEX'!$D$23*E12))-(('ENG_CAPEX'!$E$21+'ENG_CAPEX'!$E$42)*(1+'ENG_CAPEX'!$D$23*E12))-('ENG_WC'!$E$19*(1+AVERAGE('ENG_OPS'!$D$84:$P$84)*E12)*(1+F12))</f>
        <v/>
      </c>
      <c r="I12" s="36">
        <f>(('ENG_OPS'!$F$81*(1+AVERAGE('ENG_OPS'!$D$84:$P$84)*E12)*(1+F12))-('ENG_COST'!$F$266*(1+'IN_COST'!$D$8*E12))-('ENG_COST'!$F$268*(1+'IN_COST'!$D$9*E12))-('ENG_CAPEX'!$F$81*(1+'ENG_CAPEX'!$D$23*E12)))-MAX(0,(('ENG_OPS'!$F$81*(1+AVERAGE('ENG_OPS'!$D$84:$P$84)*E12)*(1+F12))-('ENG_COST'!$F$266*(1+'IN_COST'!$D$8*E12))-('ENG_COST'!$F$268*(1+'IN_COST'!$D$9*E12))-('ENG_CAPEX'!$F$81*(1+'ENG_CAPEX'!$D$23*E12))))*'IN_MACRO'!$D$14+('ENG_CAPEX'!$F$81*(1+'ENG_CAPEX'!$D$23*E12))-(('ENG_CAPEX'!$F$21+'ENG_CAPEX'!$F$42)*(1+'ENG_CAPEX'!$D$23*E12))-('ENG_WC'!$F$19*(1+AVERAGE('ENG_OPS'!$D$84:$P$84)*E12)*(1+F12))</f>
        <v/>
      </c>
      <c r="J12" s="36">
        <f>(('ENG_OPS'!$G$81*(1+AVERAGE('ENG_OPS'!$D$84:$P$84)*E12)*(1+F12))-('ENG_COST'!$G$266*(1+'IN_COST'!$D$8*E12))-('ENG_COST'!$G$268*(1+'IN_COST'!$D$9*E12))-('ENG_CAPEX'!$G$81*(1+'ENG_CAPEX'!$D$23*E12)))-MAX(0,(('ENG_OPS'!$G$81*(1+AVERAGE('ENG_OPS'!$D$84:$P$84)*E12)*(1+F12))-('ENG_COST'!$G$266*(1+'IN_COST'!$D$8*E12))-('ENG_COST'!$G$268*(1+'IN_COST'!$D$9*E12))-('ENG_CAPEX'!$G$81*(1+'ENG_CAPEX'!$D$23*E12))))*'IN_MACRO'!$D$14+('ENG_CAPEX'!$G$81*(1+'ENG_CAPEX'!$D$23*E12))-(('ENG_CAPEX'!$G$21+'ENG_CAPEX'!$G$42)*(1+'ENG_CAPEX'!$D$23*E12))-('ENG_WC'!$G$19*(1+AVERAGE('ENG_OPS'!$D$84:$P$84)*E12)*(1+F12))</f>
        <v/>
      </c>
      <c r="K12" s="36">
        <f>(('ENG_OPS'!$H$81*(1+AVERAGE('ENG_OPS'!$D$84:$P$84)*E12)*(1+F12))-('ENG_COST'!$H$266*(1+'IN_COST'!$D$8*E12))-('ENG_COST'!$H$268*(1+'IN_COST'!$D$9*E12))-('ENG_CAPEX'!$H$81*(1+'ENG_CAPEX'!$D$23*E12)))-MAX(0,(('ENG_OPS'!$H$81*(1+AVERAGE('ENG_OPS'!$D$84:$P$84)*E12)*(1+F12))-('ENG_COST'!$H$266*(1+'IN_COST'!$D$8*E12))-('ENG_COST'!$H$268*(1+'IN_COST'!$D$9*E12))-('ENG_CAPEX'!$H$81*(1+'ENG_CAPEX'!$D$23*E12))))*'IN_MACRO'!$D$14+('ENG_CAPEX'!$H$81*(1+'ENG_CAPEX'!$D$23*E12))-(('ENG_CAPEX'!$H$21+'ENG_CAPEX'!$H$42)*(1+'ENG_CAPEX'!$D$23*E12))-('ENG_WC'!$H$19*(1+AVERAGE('ENG_OPS'!$D$84:$P$84)*E12)*(1+F12))</f>
        <v/>
      </c>
      <c r="L12" s="36">
        <f>(('ENG_OPS'!$I$81*(1+AVERAGE('ENG_OPS'!$D$84:$P$84)*E12)*(1+F12))-('ENG_COST'!$I$266*(1+'IN_COST'!$D$8*E12))-('ENG_COST'!$I$268*(1+'IN_COST'!$D$9*E12))-('ENG_CAPEX'!$I$81*(1+'ENG_CAPEX'!$D$23*E12)))-MAX(0,(('ENG_OPS'!$I$81*(1+AVERAGE('ENG_OPS'!$D$84:$P$84)*E12)*(1+F12))-('ENG_COST'!$I$266*(1+'IN_COST'!$D$8*E12))-('ENG_COST'!$I$268*(1+'IN_COST'!$D$9*E12))-('ENG_CAPEX'!$I$81*(1+'ENG_CAPEX'!$D$23*E12))))*'IN_MACRO'!$D$14+('ENG_CAPEX'!$I$81*(1+'ENG_CAPEX'!$D$23*E12))-(('ENG_CAPEX'!$I$21+'ENG_CAPEX'!$I$42)*(1+'ENG_CAPEX'!$D$23*E12))-('ENG_WC'!$I$19*(1+AVERAGE('ENG_OPS'!$D$84:$P$84)*E12)*(1+F12))</f>
        <v/>
      </c>
      <c r="M12" s="36">
        <f>(('ENG_OPS'!$J$81*(1+AVERAGE('ENG_OPS'!$D$84:$P$84)*E12)*(1+F12))-('ENG_COST'!$J$266*(1+'IN_COST'!$D$8*E12))-('ENG_COST'!$J$268*(1+'IN_COST'!$D$9*E12))-('ENG_CAPEX'!$J$81*(1+'ENG_CAPEX'!$D$23*E12)))-MAX(0,(('ENG_OPS'!$J$81*(1+AVERAGE('ENG_OPS'!$D$84:$P$84)*E12)*(1+F12))-('ENG_COST'!$J$266*(1+'IN_COST'!$D$8*E12))-('ENG_COST'!$J$268*(1+'IN_COST'!$D$9*E12))-('ENG_CAPEX'!$J$81*(1+'ENG_CAPEX'!$D$23*E12))))*'IN_MACRO'!$D$14+('ENG_CAPEX'!$J$81*(1+'ENG_CAPEX'!$D$23*E12))-(('ENG_CAPEX'!$J$21+'ENG_CAPEX'!$J$42)*(1+'ENG_CAPEX'!$D$23*E12))-('ENG_WC'!$J$19*(1+AVERAGE('ENG_OPS'!$D$84:$P$84)*E12)*(1+F12))</f>
        <v/>
      </c>
      <c r="N12" s="36">
        <f>(('ENG_OPS'!$K$81*(1+AVERAGE('ENG_OPS'!$D$84:$P$84)*E12)*(1+F12))-('ENG_COST'!$K$266*(1+'IN_COST'!$D$8*E12))-('ENG_COST'!$K$268*(1+'IN_COST'!$D$9*E12))-('ENG_CAPEX'!$K$81*(1+'ENG_CAPEX'!$D$23*E12)))-MAX(0,(('ENG_OPS'!$K$81*(1+AVERAGE('ENG_OPS'!$D$84:$P$84)*E12)*(1+F12))-('ENG_COST'!$K$266*(1+'IN_COST'!$D$8*E12))-('ENG_COST'!$K$268*(1+'IN_COST'!$D$9*E12))-('ENG_CAPEX'!$K$81*(1+'ENG_CAPEX'!$D$23*E12))))*'IN_MACRO'!$D$14+('ENG_CAPEX'!$K$81*(1+'ENG_CAPEX'!$D$23*E12))-(('ENG_CAPEX'!$K$21+'ENG_CAPEX'!$K$42)*(1+'ENG_CAPEX'!$D$23*E12))-('ENG_WC'!$K$19*(1+AVERAGE('ENG_OPS'!$D$84:$P$84)*E12)*(1+F12))</f>
        <v/>
      </c>
      <c r="O12" s="36">
        <f>(('ENG_OPS'!$L$81*(1+AVERAGE('ENG_OPS'!$D$84:$P$84)*E12)*(1+F12))-('ENG_COST'!$L$266*(1+'IN_COST'!$D$8*E12))-('ENG_COST'!$L$268*(1+'IN_COST'!$D$9*E12))-('ENG_CAPEX'!$L$81*(1+'ENG_CAPEX'!$D$23*E12)))-MAX(0,(('ENG_OPS'!$L$81*(1+AVERAGE('ENG_OPS'!$D$84:$P$84)*E12)*(1+F12))-('ENG_COST'!$L$266*(1+'IN_COST'!$D$8*E12))-('ENG_COST'!$L$268*(1+'IN_COST'!$D$9*E12))-('ENG_CAPEX'!$L$81*(1+'ENG_CAPEX'!$D$23*E12))))*'IN_MACRO'!$D$14+('ENG_CAPEX'!$L$81*(1+'ENG_CAPEX'!$D$23*E12))-(('ENG_CAPEX'!$L$21+'ENG_CAPEX'!$L$42)*(1+'ENG_CAPEX'!$D$23*E12))-('ENG_WC'!$L$19*(1+AVERAGE('ENG_OPS'!$D$84:$P$84)*E12)*(1+F12))</f>
        <v/>
      </c>
      <c r="P12" s="36">
        <f>(('ENG_OPS'!$M$81*(1+AVERAGE('ENG_OPS'!$D$84:$P$84)*E12)*(1+F12))-('ENG_COST'!$M$266*(1+'IN_COST'!$D$8*E12))-('ENG_COST'!$M$268*(1+'IN_COST'!$D$9*E12))-('ENG_CAPEX'!$M$81*(1+'ENG_CAPEX'!$D$23*E12)))-MAX(0,(('ENG_OPS'!$M$81*(1+AVERAGE('ENG_OPS'!$D$84:$P$84)*E12)*(1+F12))-('ENG_COST'!$M$266*(1+'IN_COST'!$D$8*E12))-('ENG_COST'!$M$268*(1+'IN_COST'!$D$9*E12))-('ENG_CAPEX'!$M$81*(1+'ENG_CAPEX'!$D$23*E12))))*'IN_MACRO'!$D$14+('ENG_CAPEX'!$M$81*(1+'ENG_CAPEX'!$D$23*E12))-(('ENG_CAPEX'!$M$21+'ENG_CAPEX'!$M$42)*(1+'ENG_CAPEX'!$D$23*E12))-('ENG_WC'!$M$19*(1+AVERAGE('ENG_OPS'!$D$84:$P$84)*E12)*(1+F12))</f>
        <v/>
      </c>
      <c r="Q12" s="36">
        <f>(('ENG_OPS'!$N$81*(1+AVERAGE('ENG_OPS'!$D$84:$P$84)*E12)*(1+F12))-('ENG_COST'!$N$266*(1+'IN_COST'!$D$8*E12))-('ENG_COST'!$N$268*(1+'IN_COST'!$D$9*E12))-('ENG_CAPEX'!$N$81*(1+'ENG_CAPEX'!$D$23*E12)))-MAX(0,(('ENG_OPS'!$N$81*(1+AVERAGE('ENG_OPS'!$D$84:$P$84)*E12)*(1+F12))-('ENG_COST'!$N$266*(1+'IN_COST'!$D$8*E12))-('ENG_COST'!$N$268*(1+'IN_COST'!$D$9*E12))-('ENG_CAPEX'!$N$81*(1+'ENG_CAPEX'!$D$23*E12))))*'IN_MACRO'!$D$14+('ENG_CAPEX'!$N$81*(1+'ENG_CAPEX'!$D$23*E12))-(('ENG_CAPEX'!$N$21+'ENG_CAPEX'!$N$42)*(1+'ENG_CAPEX'!$D$23*E12))-('ENG_WC'!$N$19*(1+AVERAGE('ENG_OPS'!$D$84:$P$84)*E12)*(1+F12))</f>
        <v/>
      </c>
      <c r="R12" s="36">
        <f>(('ENG_OPS'!$O$81*(1+AVERAGE('ENG_OPS'!$D$84:$P$84)*E12)*(1+F12))-('ENG_COST'!$O$266*(1+'IN_COST'!$D$8*E12))-('ENG_COST'!$O$268*(1+'IN_COST'!$D$9*E12))-('ENG_CAPEX'!$O$81*(1+'ENG_CAPEX'!$D$23*E12)))-MAX(0,(('ENG_OPS'!$O$81*(1+AVERAGE('ENG_OPS'!$D$84:$P$84)*E12)*(1+F12))-('ENG_COST'!$O$266*(1+'IN_COST'!$D$8*E12))-('ENG_COST'!$O$268*(1+'IN_COST'!$D$9*E12))-('ENG_CAPEX'!$O$81*(1+'ENG_CAPEX'!$D$23*E12))))*'IN_MACRO'!$D$14+('ENG_CAPEX'!$O$81*(1+'ENG_CAPEX'!$D$23*E12))-(('ENG_CAPEX'!$O$21+'ENG_CAPEX'!$O$42)*(1+'ENG_CAPEX'!$D$23*E12))-('ENG_WC'!$O$19*(1+AVERAGE('ENG_OPS'!$D$84:$P$84)*E12)*(1+F12))</f>
        <v/>
      </c>
      <c r="S12" s="36">
        <f>(('ENG_OPS'!$P$81*(1+AVERAGE('ENG_OPS'!$D$84:$P$84)*E12)*(1+F12))-('ENG_COST'!$P$266*(1+'IN_COST'!$D$8*E12))-('ENG_COST'!$P$268*(1+'IN_COST'!$D$9*E12))-('ENG_CAPEX'!$P$81*(1+'ENG_CAPEX'!$D$23*E12)))-MAX(0,(('ENG_OPS'!$P$81*(1+AVERAGE('ENG_OPS'!$D$84:$P$84)*E12)*(1+F12))-('ENG_COST'!$P$266*(1+'IN_COST'!$D$8*E12))-('ENG_COST'!$P$268*(1+'IN_COST'!$D$9*E12))-('ENG_CAPEX'!$P$81*(1+'ENG_CAPEX'!$D$23*E12))))*'IN_MACRO'!$D$14+('ENG_CAPEX'!$P$81*(1+'ENG_CAPEX'!$D$23*E12))-(('ENG_CAPEX'!$P$21+'ENG_CAPEX'!$P$42)*(1+'ENG_CAPEX'!$D$23*E12))-('ENG_WC'!$P$19*(1+AVERAGE('ENG_OPS'!$D$84:$P$84)*E12)*(1+F12))</f>
        <v/>
      </c>
      <c r="T12" s="30">
        <f>1</f>
        <v/>
      </c>
      <c r="U12" s="30">
        <f>T12/(1+'ENG_DCF'!$E$14+D12)</f>
        <v/>
      </c>
      <c r="V12" s="30">
        <f>U12/(1+'ENG_DCF'!$F$14+D12)</f>
        <v/>
      </c>
      <c r="W12" s="30">
        <f>V12/(1+'ENG_DCF'!$G$14+D12)</f>
        <v/>
      </c>
      <c r="X12" s="30">
        <f>W12/(1+'ENG_DCF'!$H$14+D12)</f>
        <v/>
      </c>
      <c r="Y12" s="30">
        <f>X12/(1+'ENG_DCF'!$I$14+D12)</f>
        <v/>
      </c>
      <c r="Z12" s="30">
        <f>Y12/(1+'ENG_DCF'!$J$14+D12)</f>
        <v/>
      </c>
      <c r="AA12" s="30">
        <f>Z12/(1+'ENG_DCF'!$K$14+D12)</f>
        <v/>
      </c>
      <c r="AB12" s="30">
        <f>AA12/(1+'ENG_DCF'!$L$14+D12)</f>
        <v/>
      </c>
      <c r="AC12" s="30">
        <f>AB12/(1+'ENG_DCF'!$M$14+D12)</f>
        <v/>
      </c>
      <c r="AD12" s="30">
        <f>AC12/(1+'ENG_DCF'!$N$14+D12)</f>
        <v/>
      </c>
      <c r="AE12" s="30">
        <f>AD12/(1+'ENG_DCF'!$O$14+D12)</f>
        <v/>
      </c>
      <c r="AF12" s="30">
        <f>AE12/(1+'ENG_DCF'!$P$14+D12)</f>
        <v/>
      </c>
      <c r="AG12" s="36">
        <f>(G12*T12+H12*U12+I12*V12+J12*W12+K12*X12+L12*Y12+M12*Z12+N12*AA12+O12*AB12+P12*AC12+Q12*AD12+R12*AE12+S12*AF12)+(IF('IN_MACRO'!$D$19=1,MAX(0,(S12+(('ENG_CAPEX'!$P$21+'ENG_CAPEX'!$P$42)*(1+'ENG_CAPEX'!$D$23*E12))))*(1+'IN_MACRO'!$D$18)/MAX(0.005,'ENG_DCF'!$P$14+D12-'IN_MACRO'!$D$18),(('ENG_OPS'!$P$81*(1+AVERAGE('ENG_OPS'!$D$84:$P$84)*E12)*(1+F12))-('ENG_COST'!$P$266*(1+'IN_COST'!$D$8*E12))-('ENG_COST'!$P$268*(1+'IN_COST'!$D$9*E12)))*'IN_MACRO'!$D$20))*AF12</f>
        <v/>
      </c>
    </row>
    <row r="13">
      <c r="A13" t="inlineStr">
        <is>
          <t>PR|0|3</t>
        </is>
      </c>
      <c r="D13" s="38">
        <f>'IN_SCEN'!$D$24</f>
        <v/>
      </c>
      <c r="E13" s="38">
        <f>0</f>
        <v/>
      </c>
      <c r="F13" s="38">
        <f>'IN_SCEN'!$G$26</f>
        <v/>
      </c>
      <c r="G13" s="36">
        <f>(('ENG_OPS'!$D$81*(1+AVERAGE('ENG_OPS'!$D$84:$P$84)*E13)*(1+F13))-('ENG_COST'!$D$266*(1+'IN_COST'!$D$8*E13))-('ENG_COST'!$D$268*(1+'IN_COST'!$D$9*E13))-('ENG_CAPEX'!$D$81*(1+'ENG_CAPEX'!$D$23*E13)))-MAX(0,(('ENG_OPS'!$D$81*(1+AVERAGE('ENG_OPS'!$D$84:$P$84)*E13)*(1+F13))-('ENG_COST'!$D$266*(1+'IN_COST'!$D$8*E13))-('ENG_COST'!$D$268*(1+'IN_COST'!$D$9*E13))-('ENG_CAPEX'!$D$81*(1+'ENG_CAPEX'!$D$23*E13))))*'IN_MACRO'!$D$14+('ENG_CAPEX'!$D$81*(1+'ENG_CAPEX'!$D$23*E13))-(('ENG_CAPEX'!$D$21+'ENG_CAPEX'!$D$42)*(1+'ENG_CAPEX'!$D$23*E13))-('ENG_WC'!$D$19*(1+AVERAGE('ENG_OPS'!$D$84:$P$84)*E13)*(1+F13))</f>
        <v/>
      </c>
      <c r="H13" s="36">
        <f>(('ENG_OPS'!$E$81*(1+AVERAGE('ENG_OPS'!$D$84:$P$84)*E13)*(1+F13))-('ENG_COST'!$E$266*(1+'IN_COST'!$D$8*E13))-('ENG_COST'!$E$268*(1+'IN_COST'!$D$9*E13))-('ENG_CAPEX'!$E$81*(1+'ENG_CAPEX'!$D$23*E13)))-MAX(0,(('ENG_OPS'!$E$81*(1+AVERAGE('ENG_OPS'!$D$84:$P$84)*E13)*(1+F13))-('ENG_COST'!$E$266*(1+'IN_COST'!$D$8*E13))-('ENG_COST'!$E$268*(1+'IN_COST'!$D$9*E13))-('ENG_CAPEX'!$E$81*(1+'ENG_CAPEX'!$D$23*E13))))*'IN_MACRO'!$D$14+('ENG_CAPEX'!$E$81*(1+'ENG_CAPEX'!$D$23*E13))-(('ENG_CAPEX'!$E$21+'ENG_CAPEX'!$E$42)*(1+'ENG_CAPEX'!$D$23*E13))-('ENG_WC'!$E$19*(1+AVERAGE('ENG_OPS'!$D$84:$P$84)*E13)*(1+F13))</f>
        <v/>
      </c>
      <c r="I13" s="36">
        <f>(('ENG_OPS'!$F$81*(1+AVERAGE('ENG_OPS'!$D$84:$P$84)*E13)*(1+F13))-('ENG_COST'!$F$266*(1+'IN_COST'!$D$8*E13))-('ENG_COST'!$F$268*(1+'IN_COST'!$D$9*E13))-('ENG_CAPEX'!$F$81*(1+'ENG_CAPEX'!$D$23*E13)))-MAX(0,(('ENG_OPS'!$F$81*(1+AVERAGE('ENG_OPS'!$D$84:$P$84)*E13)*(1+F13))-('ENG_COST'!$F$266*(1+'IN_COST'!$D$8*E13))-('ENG_COST'!$F$268*(1+'IN_COST'!$D$9*E13))-('ENG_CAPEX'!$F$81*(1+'ENG_CAPEX'!$D$23*E13))))*'IN_MACRO'!$D$14+('ENG_CAPEX'!$F$81*(1+'ENG_CAPEX'!$D$23*E13))-(('ENG_CAPEX'!$F$21+'ENG_CAPEX'!$F$42)*(1+'ENG_CAPEX'!$D$23*E13))-('ENG_WC'!$F$19*(1+AVERAGE('ENG_OPS'!$D$84:$P$84)*E13)*(1+F13))</f>
        <v/>
      </c>
      <c r="J13" s="36">
        <f>(('ENG_OPS'!$G$81*(1+AVERAGE('ENG_OPS'!$D$84:$P$84)*E13)*(1+F13))-('ENG_COST'!$G$266*(1+'IN_COST'!$D$8*E13))-('ENG_COST'!$G$268*(1+'IN_COST'!$D$9*E13))-('ENG_CAPEX'!$G$81*(1+'ENG_CAPEX'!$D$23*E13)))-MAX(0,(('ENG_OPS'!$G$81*(1+AVERAGE('ENG_OPS'!$D$84:$P$84)*E13)*(1+F13))-('ENG_COST'!$G$266*(1+'IN_COST'!$D$8*E13))-('ENG_COST'!$G$268*(1+'IN_COST'!$D$9*E13))-('ENG_CAPEX'!$G$81*(1+'ENG_CAPEX'!$D$23*E13))))*'IN_MACRO'!$D$14+('ENG_CAPEX'!$G$81*(1+'ENG_CAPEX'!$D$23*E13))-(('ENG_CAPEX'!$G$21+'ENG_CAPEX'!$G$42)*(1+'ENG_CAPEX'!$D$23*E13))-('ENG_WC'!$G$19*(1+AVERAGE('ENG_OPS'!$D$84:$P$84)*E13)*(1+F13))</f>
        <v/>
      </c>
      <c r="K13" s="36">
        <f>(('ENG_OPS'!$H$81*(1+AVERAGE('ENG_OPS'!$D$84:$P$84)*E13)*(1+F13))-('ENG_COST'!$H$266*(1+'IN_COST'!$D$8*E13))-('ENG_COST'!$H$268*(1+'IN_COST'!$D$9*E13))-('ENG_CAPEX'!$H$81*(1+'ENG_CAPEX'!$D$23*E13)))-MAX(0,(('ENG_OPS'!$H$81*(1+AVERAGE('ENG_OPS'!$D$84:$P$84)*E13)*(1+F13))-('ENG_COST'!$H$266*(1+'IN_COST'!$D$8*E13))-('ENG_COST'!$H$268*(1+'IN_COST'!$D$9*E13))-('ENG_CAPEX'!$H$81*(1+'ENG_CAPEX'!$D$23*E13))))*'IN_MACRO'!$D$14+('ENG_CAPEX'!$H$81*(1+'ENG_CAPEX'!$D$23*E13))-(('ENG_CAPEX'!$H$21+'ENG_CAPEX'!$H$42)*(1+'ENG_CAPEX'!$D$23*E13))-('ENG_WC'!$H$19*(1+AVERAGE('ENG_OPS'!$D$84:$P$84)*E13)*(1+F13))</f>
        <v/>
      </c>
      <c r="L13" s="36">
        <f>(('ENG_OPS'!$I$81*(1+AVERAGE('ENG_OPS'!$D$84:$P$84)*E13)*(1+F13))-('ENG_COST'!$I$266*(1+'IN_COST'!$D$8*E13))-('ENG_COST'!$I$268*(1+'IN_COST'!$D$9*E13))-('ENG_CAPEX'!$I$81*(1+'ENG_CAPEX'!$D$23*E13)))-MAX(0,(('ENG_OPS'!$I$81*(1+AVERAGE('ENG_OPS'!$D$84:$P$84)*E13)*(1+F13))-('ENG_COST'!$I$266*(1+'IN_COST'!$D$8*E13))-('ENG_COST'!$I$268*(1+'IN_COST'!$D$9*E13))-('ENG_CAPEX'!$I$81*(1+'ENG_CAPEX'!$D$23*E13))))*'IN_MACRO'!$D$14+('ENG_CAPEX'!$I$81*(1+'ENG_CAPEX'!$D$23*E13))-(('ENG_CAPEX'!$I$21+'ENG_CAPEX'!$I$42)*(1+'ENG_CAPEX'!$D$23*E13))-('ENG_WC'!$I$19*(1+AVERAGE('ENG_OPS'!$D$84:$P$84)*E13)*(1+F13))</f>
        <v/>
      </c>
      <c r="M13" s="36">
        <f>(('ENG_OPS'!$J$81*(1+AVERAGE('ENG_OPS'!$D$84:$P$84)*E13)*(1+F13))-('ENG_COST'!$J$266*(1+'IN_COST'!$D$8*E13))-('ENG_COST'!$J$268*(1+'IN_COST'!$D$9*E13))-('ENG_CAPEX'!$J$81*(1+'ENG_CAPEX'!$D$23*E13)))-MAX(0,(('ENG_OPS'!$J$81*(1+AVERAGE('ENG_OPS'!$D$84:$P$84)*E13)*(1+F13))-('ENG_COST'!$J$266*(1+'IN_COST'!$D$8*E13))-('ENG_COST'!$J$268*(1+'IN_COST'!$D$9*E13))-('ENG_CAPEX'!$J$81*(1+'ENG_CAPEX'!$D$23*E13))))*'IN_MACRO'!$D$14+('ENG_CAPEX'!$J$81*(1+'ENG_CAPEX'!$D$23*E13))-(('ENG_CAPEX'!$J$21+'ENG_CAPEX'!$J$42)*(1+'ENG_CAPEX'!$D$23*E13))-('ENG_WC'!$J$19*(1+AVERAGE('ENG_OPS'!$D$84:$P$84)*E13)*(1+F13))</f>
        <v/>
      </c>
      <c r="N13" s="36">
        <f>(('ENG_OPS'!$K$81*(1+AVERAGE('ENG_OPS'!$D$84:$P$84)*E13)*(1+F13))-('ENG_COST'!$K$266*(1+'IN_COST'!$D$8*E13))-('ENG_COST'!$K$268*(1+'IN_COST'!$D$9*E13))-('ENG_CAPEX'!$K$81*(1+'ENG_CAPEX'!$D$23*E13)))-MAX(0,(('ENG_OPS'!$K$81*(1+AVERAGE('ENG_OPS'!$D$84:$P$84)*E13)*(1+F13))-('ENG_COST'!$K$266*(1+'IN_COST'!$D$8*E13))-('ENG_COST'!$K$268*(1+'IN_COST'!$D$9*E13))-('ENG_CAPEX'!$K$81*(1+'ENG_CAPEX'!$D$23*E13))))*'IN_MACRO'!$D$14+('ENG_CAPEX'!$K$81*(1+'ENG_CAPEX'!$D$23*E13))-(('ENG_CAPEX'!$K$21+'ENG_CAPEX'!$K$42)*(1+'ENG_CAPEX'!$D$23*E13))-('ENG_WC'!$K$19*(1+AVERAGE('ENG_OPS'!$D$84:$P$84)*E13)*(1+F13))</f>
        <v/>
      </c>
      <c r="O13" s="36">
        <f>(('ENG_OPS'!$L$81*(1+AVERAGE('ENG_OPS'!$D$84:$P$84)*E13)*(1+F13))-('ENG_COST'!$L$266*(1+'IN_COST'!$D$8*E13))-('ENG_COST'!$L$268*(1+'IN_COST'!$D$9*E13))-('ENG_CAPEX'!$L$81*(1+'ENG_CAPEX'!$D$23*E13)))-MAX(0,(('ENG_OPS'!$L$81*(1+AVERAGE('ENG_OPS'!$D$84:$P$84)*E13)*(1+F13))-('ENG_COST'!$L$266*(1+'IN_COST'!$D$8*E13))-('ENG_COST'!$L$268*(1+'IN_COST'!$D$9*E13))-('ENG_CAPEX'!$L$81*(1+'ENG_CAPEX'!$D$23*E13))))*'IN_MACRO'!$D$14+('ENG_CAPEX'!$L$81*(1+'ENG_CAPEX'!$D$23*E13))-(('ENG_CAPEX'!$L$21+'ENG_CAPEX'!$L$42)*(1+'ENG_CAPEX'!$D$23*E13))-('ENG_WC'!$L$19*(1+AVERAGE('ENG_OPS'!$D$84:$P$84)*E13)*(1+F13))</f>
        <v/>
      </c>
      <c r="P13" s="36">
        <f>(('ENG_OPS'!$M$81*(1+AVERAGE('ENG_OPS'!$D$84:$P$84)*E13)*(1+F13))-('ENG_COST'!$M$266*(1+'IN_COST'!$D$8*E13))-('ENG_COST'!$M$268*(1+'IN_COST'!$D$9*E13))-('ENG_CAPEX'!$M$81*(1+'ENG_CAPEX'!$D$23*E13)))-MAX(0,(('ENG_OPS'!$M$81*(1+AVERAGE('ENG_OPS'!$D$84:$P$84)*E13)*(1+F13))-('ENG_COST'!$M$266*(1+'IN_COST'!$D$8*E13))-('ENG_COST'!$M$268*(1+'IN_COST'!$D$9*E13))-('ENG_CAPEX'!$M$81*(1+'ENG_CAPEX'!$D$23*E13))))*'IN_MACRO'!$D$14+('ENG_CAPEX'!$M$81*(1+'ENG_CAPEX'!$D$23*E13))-(('ENG_CAPEX'!$M$21+'ENG_CAPEX'!$M$42)*(1+'ENG_CAPEX'!$D$23*E13))-('ENG_WC'!$M$19*(1+AVERAGE('ENG_OPS'!$D$84:$P$84)*E13)*(1+F13))</f>
        <v/>
      </c>
      <c r="Q13" s="36">
        <f>(('ENG_OPS'!$N$81*(1+AVERAGE('ENG_OPS'!$D$84:$P$84)*E13)*(1+F13))-('ENG_COST'!$N$266*(1+'IN_COST'!$D$8*E13))-('ENG_COST'!$N$268*(1+'IN_COST'!$D$9*E13))-('ENG_CAPEX'!$N$81*(1+'ENG_CAPEX'!$D$23*E13)))-MAX(0,(('ENG_OPS'!$N$81*(1+AVERAGE('ENG_OPS'!$D$84:$P$84)*E13)*(1+F13))-('ENG_COST'!$N$266*(1+'IN_COST'!$D$8*E13))-('ENG_COST'!$N$268*(1+'IN_COST'!$D$9*E13))-('ENG_CAPEX'!$N$81*(1+'ENG_CAPEX'!$D$23*E13))))*'IN_MACRO'!$D$14+('ENG_CAPEX'!$N$81*(1+'ENG_CAPEX'!$D$23*E13))-(('ENG_CAPEX'!$N$21+'ENG_CAPEX'!$N$42)*(1+'ENG_CAPEX'!$D$23*E13))-('ENG_WC'!$N$19*(1+AVERAGE('ENG_OPS'!$D$84:$P$84)*E13)*(1+F13))</f>
        <v/>
      </c>
      <c r="R13" s="36">
        <f>(('ENG_OPS'!$O$81*(1+AVERAGE('ENG_OPS'!$D$84:$P$84)*E13)*(1+F13))-('ENG_COST'!$O$266*(1+'IN_COST'!$D$8*E13))-('ENG_COST'!$O$268*(1+'IN_COST'!$D$9*E13))-('ENG_CAPEX'!$O$81*(1+'ENG_CAPEX'!$D$23*E13)))-MAX(0,(('ENG_OPS'!$O$81*(1+AVERAGE('ENG_OPS'!$D$84:$P$84)*E13)*(1+F13))-('ENG_COST'!$O$266*(1+'IN_COST'!$D$8*E13))-('ENG_COST'!$O$268*(1+'IN_COST'!$D$9*E13))-('ENG_CAPEX'!$O$81*(1+'ENG_CAPEX'!$D$23*E13))))*'IN_MACRO'!$D$14+('ENG_CAPEX'!$O$81*(1+'ENG_CAPEX'!$D$23*E13))-(('ENG_CAPEX'!$O$21+'ENG_CAPEX'!$O$42)*(1+'ENG_CAPEX'!$D$23*E13))-('ENG_WC'!$O$19*(1+AVERAGE('ENG_OPS'!$D$84:$P$84)*E13)*(1+F13))</f>
        <v/>
      </c>
      <c r="S13" s="36">
        <f>(('ENG_OPS'!$P$81*(1+AVERAGE('ENG_OPS'!$D$84:$P$84)*E13)*(1+F13))-('ENG_COST'!$P$266*(1+'IN_COST'!$D$8*E13))-('ENG_COST'!$P$268*(1+'IN_COST'!$D$9*E13))-('ENG_CAPEX'!$P$81*(1+'ENG_CAPEX'!$D$23*E13)))-MAX(0,(('ENG_OPS'!$P$81*(1+AVERAGE('ENG_OPS'!$D$84:$P$84)*E13)*(1+F13))-('ENG_COST'!$P$266*(1+'IN_COST'!$D$8*E13))-('ENG_COST'!$P$268*(1+'IN_COST'!$D$9*E13))-('ENG_CAPEX'!$P$81*(1+'ENG_CAPEX'!$D$23*E13))))*'IN_MACRO'!$D$14+('ENG_CAPEX'!$P$81*(1+'ENG_CAPEX'!$D$23*E13))-(('ENG_CAPEX'!$P$21+'ENG_CAPEX'!$P$42)*(1+'ENG_CAPEX'!$D$23*E13))-('ENG_WC'!$P$19*(1+AVERAGE('ENG_OPS'!$D$84:$P$84)*E13)*(1+F13))</f>
        <v/>
      </c>
      <c r="T13" s="30">
        <f>1</f>
        <v/>
      </c>
      <c r="U13" s="30">
        <f>T13/(1+'ENG_DCF'!$E$14+D13)</f>
        <v/>
      </c>
      <c r="V13" s="30">
        <f>U13/(1+'ENG_DCF'!$F$14+D13)</f>
        <v/>
      </c>
      <c r="W13" s="30">
        <f>V13/(1+'ENG_DCF'!$G$14+D13)</f>
        <v/>
      </c>
      <c r="X13" s="30">
        <f>W13/(1+'ENG_DCF'!$H$14+D13)</f>
        <v/>
      </c>
      <c r="Y13" s="30">
        <f>X13/(1+'ENG_DCF'!$I$14+D13)</f>
        <v/>
      </c>
      <c r="Z13" s="30">
        <f>Y13/(1+'ENG_DCF'!$J$14+D13)</f>
        <v/>
      </c>
      <c r="AA13" s="30">
        <f>Z13/(1+'ENG_DCF'!$K$14+D13)</f>
        <v/>
      </c>
      <c r="AB13" s="30">
        <f>AA13/(1+'ENG_DCF'!$L$14+D13)</f>
        <v/>
      </c>
      <c r="AC13" s="30">
        <f>AB13/(1+'ENG_DCF'!$M$14+D13)</f>
        <v/>
      </c>
      <c r="AD13" s="30">
        <f>AC13/(1+'ENG_DCF'!$N$14+D13)</f>
        <v/>
      </c>
      <c r="AE13" s="30">
        <f>AD13/(1+'ENG_DCF'!$O$14+D13)</f>
        <v/>
      </c>
      <c r="AF13" s="30">
        <f>AE13/(1+'ENG_DCF'!$P$14+D13)</f>
        <v/>
      </c>
      <c r="AG13" s="36">
        <f>(G13*T13+H13*U13+I13*V13+J13*W13+K13*X13+L13*Y13+M13*Z13+N13*AA13+O13*AB13+P13*AC13+Q13*AD13+R13*AE13+S13*AF13)+(IF('IN_MACRO'!$D$19=1,MAX(0,(S13+(('ENG_CAPEX'!$P$21+'ENG_CAPEX'!$P$42)*(1+'ENG_CAPEX'!$D$23*E13))))*(1+'IN_MACRO'!$D$18)/MAX(0.005,'ENG_DCF'!$P$14+D13-'IN_MACRO'!$D$18),(('ENG_OPS'!$P$81*(1+AVERAGE('ENG_OPS'!$D$84:$P$84)*E13)*(1+F13))-('ENG_COST'!$P$266*(1+'IN_COST'!$D$8*E13))-('ENG_COST'!$P$268*(1+'IN_COST'!$D$9*E13)))*'IN_MACRO'!$D$20))*AF13</f>
        <v/>
      </c>
    </row>
    <row r="14">
      <c r="A14" t="inlineStr">
        <is>
          <t>FX|0|4</t>
        </is>
      </c>
      <c r="D14" s="38">
        <f>'IN_SCEN'!$D$24</f>
        <v/>
      </c>
      <c r="E14" s="38">
        <f>'IN_SCEN'!$H$25</f>
        <v/>
      </c>
      <c r="F14" s="38">
        <f>0</f>
        <v/>
      </c>
      <c r="G14" s="36">
        <f>(('ENG_OPS'!$D$81*(1+AVERAGE('ENG_OPS'!$D$84:$P$84)*E14)*(1+F14))-('ENG_COST'!$D$266*(1+'IN_COST'!$D$8*E14))-('ENG_COST'!$D$268*(1+'IN_COST'!$D$9*E14))-('ENG_CAPEX'!$D$81*(1+'ENG_CAPEX'!$D$23*E14)))-MAX(0,(('ENG_OPS'!$D$81*(1+AVERAGE('ENG_OPS'!$D$84:$P$84)*E14)*(1+F14))-('ENG_COST'!$D$266*(1+'IN_COST'!$D$8*E14))-('ENG_COST'!$D$268*(1+'IN_COST'!$D$9*E14))-('ENG_CAPEX'!$D$81*(1+'ENG_CAPEX'!$D$23*E14))))*'IN_MACRO'!$D$14+('ENG_CAPEX'!$D$81*(1+'ENG_CAPEX'!$D$23*E14))-(('ENG_CAPEX'!$D$21+'ENG_CAPEX'!$D$42)*(1+'ENG_CAPEX'!$D$23*E14))-('ENG_WC'!$D$19*(1+AVERAGE('ENG_OPS'!$D$84:$P$84)*E14)*(1+F14))</f>
        <v/>
      </c>
      <c r="H14" s="36">
        <f>(('ENG_OPS'!$E$81*(1+AVERAGE('ENG_OPS'!$D$84:$P$84)*E14)*(1+F14))-('ENG_COST'!$E$266*(1+'IN_COST'!$D$8*E14))-('ENG_COST'!$E$268*(1+'IN_COST'!$D$9*E14))-('ENG_CAPEX'!$E$81*(1+'ENG_CAPEX'!$D$23*E14)))-MAX(0,(('ENG_OPS'!$E$81*(1+AVERAGE('ENG_OPS'!$D$84:$P$84)*E14)*(1+F14))-('ENG_COST'!$E$266*(1+'IN_COST'!$D$8*E14))-('ENG_COST'!$E$268*(1+'IN_COST'!$D$9*E14))-('ENG_CAPEX'!$E$81*(1+'ENG_CAPEX'!$D$23*E14))))*'IN_MACRO'!$D$14+('ENG_CAPEX'!$E$81*(1+'ENG_CAPEX'!$D$23*E14))-(('ENG_CAPEX'!$E$21+'ENG_CAPEX'!$E$42)*(1+'ENG_CAPEX'!$D$23*E14))-('ENG_WC'!$E$19*(1+AVERAGE('ENG_OPS'!$D$84:$P$84)*E14)*(1+F14))</f>
        <v/>
      </c>
      <c r="I14" s="36">
        <f>(('ENG_OPS'!$F$81*(1+AVERAGE('ENG_OPS'!$D$84:$P$84)*E14)*(1+F14))-('ENG_COST'!$F$266*(1+'IN_COST'!$D$8*E14))-('ENG_COST'!$F$268*(1+'IN_COST'!$D$9*E14))-('ENG_CAPEX'!$F$81*(1+'ENG_CAPEX'!$D$23*E14)))-MAX(0,(('ENG_OPS'!$F$81*(1+AVERAGE('ENG_OPS'!$D$84:$P$84)*E14)*(1+F14))-('ENG_COST'!$F$266*(1+'IN_COST'!$D$8*E14))-('ENG_COST'!$F$268*(1+'IN_COST'!$D$9*E14))-('ENG_CAPEX'!$F$81*(1+'ENG_CAPEX'!$D$23*E14))))*'IN_MACRO'!$D$14+('ENG_CAPEX'!$F$81*(1+'ENG_CAPEX'!$D$23*E14))-(('ENG_CAPEX'!$F$21+'ENG_CAPEX'!$F$42)*(1+'ENG_CAPEX'!$D$23*E14))-('ENG_WC'!$F$19*(1+AVERAGE('ENG_OPS'!$D$84:$P$84)*E14)*(1+F14))</f>
        <v/>
      </c>
      <c r="J14" s="36">
        <f>(('ENG_OPS'!$G$81*(1+AVERAGE('ENG_OPS'!$D$84:$P$84)*E14)*(1+F14))-('ENG_COST'!$G$266*(1+'IN_COST'!$D$8*E14))-('ENG_COST'!$G$268*(1+'IN_COST'!$D$9*E14))-('ENG_CAPEX'!$G$81*(1+'ENG_CAPEX'!$D$23*E14)))-MAX(0,(('ENG_OPS'!$G$81*(1+AVERAGE('ENG_OPS'!$D$84:$P$84)*E14)*(1+F14))-('ENG_COST'!$G$266*(1+'IN_COST'!$D$8*E14))-('ENG_COST'!$G$268*(1+'IN_COST'!$D$9*E14))-('ENG_CAPEX'!$G$81*(1+'ENG_CAPEX'!$D$23*E14))))*'IN_MACRO'!$D$14+('ENG_CAPEX'!$G$81*(1+'ENG_CAPEX'!$D$23*E14))-(('ENG_CAPEX'!$G$21+'ENG_CAPEX'!$G$42)*(1+'ENG_CAPEX'!$D$23*E14))-('ENG_WC'!$G$19*(1+AVERAGE('ENG_OPS'!$D$84:$P$84)*E14)*(1+F14))</f>
        <v/>
      </c>
      <c r="K14" s="36">
        <f>(('ENG_OPS'!$H$81*(1+AVERAGE('ENG_OPS'!$D$84:$P$84)*E14)*(1+F14))-('ENG_COST'!$H$266*(1+'IN_COST'!$D$8*E14))-('ENG_COST'!$H$268*(1+'IN_COST'!$D$9*E14))-('ENG_CAPEX'!$H$81*(1+'ENG_CAPEX'!$D$23*E14)))-MAX(0,(('ENG_OPS'!$H$81*(1+AVERAGE('ENG_OPS'!$D$84:$P$84)*E14)*(1+F14))-('ENG_COST'!$H$266*(1+'IN_COST'!$D$8*E14))-('ENG_COST'!$H$268*(1+'IN_COST'!$D$9*E14))-('ENG_CAPEX'!$H$81*(1+'ENG_CAPEX'!$D$23*E14))))*'IN_MACRO'!$D$14+('ENG_CAPEX'!$H$81*(1+'ENG_CAPEX'!$D$23*E14))-(('ENG_CAPEX'!$H$21+'ENG_CAPEX'!$H$42)*(1+'ENG_CAPEX'!$D$23*E14))-('ENG_WC'!$H$19*(1+AVERAGE('ENG_OPS'!$D$84:$P$84)*E14)*(1+F14))</f>
        <v/>
      </c>
      <c r="L14" s="36">
        <f>(('ENG_OPS'!$I$81*(1+AVERAGE('ENG_OPS'!$D$84:$P$84)*E14)*(1+F14))-('ENG_COST'!$I$266*(1+'IN_COST'!$D$8*E14))-('ENG_COST'!$I$268*(1+'IN_COST'!$D$9*E14))-('ENG_CAPEX'!$I$81*(1+'ENG_CAPEX'!$D$23*E14)))-MAX(0,(('ENG_OPS'!$I$81*(1+AVERAGE('ENG_OPS'!$D$84:$P$84)*E14)*(1+F14))-('ENG_COST'!$I$266*(1+'IN_COST'!$D$8*E14))-('ENG_COST'!$I$268*(1+'IN_COST'!$D$9*E14))-('ENG_CAPEX'!$I$81*(1+'ENG_CAPEX'!$D$23*E14))))*'IN_MACRO'!$D$14+('ENG_CAPEX'!$I$81*(1+'ENG_CAPEX'!$D$23*E14))-(('ENG_CAPEX'!$I$21+'ENG_CAPEX'!$I$42)*(1+'ENG_CAPEX'!$D$23*E14))-('ENG_WC'!$I$19*(1+AVERAGE('ENG_OPS'!$D$84:$P$84)*E14)*(1+F14))</f>
        <v/>
      </c>
      <c r="M14" s="36">
        <f>(('ENG_OPS'!$J$81*(1+AVERAGE('ENG_OPS'!$D$84:$P$84)*E14)*(1+F14))-('ENG_COST'!$J$266*(1+'IN_COST'!$D$8*E14))-('ENG_COST'!$J$268*(1+'IN_COST'!$D$9*E14))-('ENG_CAPEX'!$J$81*(1+'ENG_CAPEX'!$D$23*E14)))-MAX(0,(('ENG_OPS'!$J$81*(1+AVERAGE('ENG_OPS'!$D$84:$P$84)*E14)*(1+F14))-('ENG_COST'!$J$266*(1+'IN_COST'!$D$8*E14))-('ENG_COST'!$J$268*(1+'IN_COST'!$D$9*E14))-('ENG_CAPEX'!$J$81*(1+'ENG_CAPEX'!$D$23*E14))))*'IN_MACRO'!$D$14+('ENG_CAPEX'!$J$81*(1+'ENG_CAPEX'!$D$23*E14))-(('ENG_CAPEX'!$J$21+'ENG_CAPEX'!$J$42)*(1+'ENG_CAPEX'!$D$23*E14))-('ENG_WC'!$J$19*(1+AVERAGE('ENG_OPS'!$D$84:$P$84)*E14)*(1+F14))</f>
        <v/>
      </c>
      <c r="N14" s="36">
        <f>(('ENG_OPS'!$K$81*(1+AVERAGE('ENG_OPS'!$D$84:$P$84)*E14)*(1+F14))-('ENG_COST'!$K$266*(1+'IN_COST'!$D$8*E14))-('ENG_COST'!$K$268*(1+'IN_COST'!$D$9*E14))-('ENG_CAPEX'!$K$81*(1+'ENG_CAPEX'!$D$23*E14)))-MAX(0,(('ENG_OPS'!$K$81*(1+AVERAGE('ENG_OPS'!$D$84:$P$84)*E14)*(1+F14))-('ENG_COST'!$K$266*(1+'IN_COST'!$D$8*E14))-('ENG_COST'!$K$268*(1+'IN_COST'!$D$9*E14))-('ENG_CAPEX'!$K$81*(1+'ENG_CAPEX'!$D$23*E14))))*'IN_MACRO'!$D$14+('ENG_CAPEX'!$K$81*(1+'ENG_CAPEX'!$D$23*E14))-(('ENG_CAPEX'!$K$21+'ENG_CAPEX'!$K$42)*(1+'ENG_CAPEX'!$D$23*E14))-('ENG_WC'!$K$19*(1+AVERAGE('ENG_OPS'!$D$84:$P$84)*E14)*(1+F14))</f>
        <v/>
      </c>
      <c r="O14" s="36">
        <f>(('ENG_OPS'!$L$81*(1+AVERAGE('ENG_OPS'!$D$84:$P$84)*E14)*(1+F14))-('ENG_COST'!$L$266*(1+'IN_COST'!$D$8*E14))-('ENG_COST'!$L$268*(1+'IN_COST'!$D$9*E14))-('ENG_CAPEX'!$L$81*(1+'ENG_CAPEX'!$D$23*E14)))-MAX(0,(('ENG_OPS'!$L$81*(1+AVERAGE('ENG_OPS'!$D$84:$P$84)*E14)*(1+F14))-('ENG_COST'!$L$266*(1+'IN_COST'!$D$8*E14))-('ENG_COST'!$L$268*(1+'IN_COST'!$D$9*E14))-('ENG_CAPEX'!$L$81*(1+'ENG_CAPEX'!$D$23*E14))))*'IN_MACRO'!$D$14+('ENG_CAPEX'!$L$81*(1+'ENG_CAPEX'!$D$23*E14))-(('ENG_CAPEX'!$L$21+'ENG_CAPEX'!$L$42)*(1+'ENG_CAPEX'!$D$23*E14))-('ENG_WC'!$L$19*(1+AVERAGE('ENG_OPS'!$D$84:$P$84)*E14)*(1+F14))</f>
        <v/>
      </c>
      <c r="P14" s="36">
        <f>(('ENG_OPS'!$M$81*(1+AVERAGE('ENG_OPS'!$D$84:$P$84)*E14)*(1+F14))-('ENG_COST'!$M$266*(1+'IN_COST'!$D$8*E14))-('ENG_COST'!$M$268*(1+'IN_COST'!$D$9*E14))-('ENG_CAPEX'!$M$81*(1+'ENG_CAPEX'!$D$23*E14)))-MAX(0,(('ENG_OPS'!$M$81*(1+AVERAGE('ENG_OPS'!$D$84:$P$84)*E14)*(1+F14))-('ENG_COST'!$M$266*(1+'IN_COST'!$D$8*E14))-('ENG_COST'!$M$268*(1+'IN_COST'!$D$9*E14))-('ENG_CAPEX'!$M$81*(1+'ENG_CAPEX'!$D$23*E14))))*'IN_MACRO'!$D$14+('ENG_CAPEX'!$M$81*(1+'ENG_CAPEX'!$D$23*E14))-(('ENG_CAPEX'!$M$21+'ENG_CAPEX'!$M$42)*(1+'ENG_CAPEX'!$D$23*E14))-('ENG_WC'!$M$19*(1+AVERAGE('ENG_OPS'!$D$84:$P$84)*E14)*(1+F14))</f>
        <v/>
      </c>
      <c r="Q14" s="36">
        <f>(('ENG_OPS'!$N$81*(1+AVERAGE('ENG_OPS'!$D$84:$P$84)*E14)*(1+F14))-('ENG_COST'!$N$266*(1+'IN_COST'!$D$8*E14))-('ENG_COST'!$N$268*(1+'IN_COST'!$D$9*E14))-('ENG_CAPEX'!$N$81*(1+'ENG_CAPEX'!$D$23*E14)))-MAX(0,(('ENG_OPS'!$N$81*(1+AVERAGE('ENG_OPS'!$D$84:$P$84)*E14)*(1+F14))-('ENG_COST'!$N$266*(1+'IN_COST'!$D$8*E14))-('ENG_COST'!$N$268*(1+'IN_COST'!$D$9*E14))-('ENG_CAPEX'!$N$81*(1+'ENG_CAPEX'!$D$23*E14))))*'IN_MACRO'!$D$14+('ENG_CAPEX'!$N$81*(1+'ENG_CAPEX'!$D$23*E14))-(('ENG_CAPEX'!$N$21+'ENG_CAPEX'!$N$42)*(1+'ENG_CAPEX'!$D$23*E14))-('ENG_WC'!$N$19*(1+AVERAGE('ENG_OPS'!$D$84:$P$84)*E14)*(1+F14))</f>
        <v/>
      </c>
      <c r="R14" s="36">
        <f>(('ENG_OPS'!$O$81*(1+AVERAGE('ENG_OPS'!$D$84:$P$84)*E14)*(1+F14))-('ENG_COST'!$O$266*(1+'IN_COST'!$D$8*E14))-('ENG_COST'!$O$268*(1+'IN_COST'!$D$9*E14))-('ENG_CAPEX'!$O$81*(1+'ENG_CAPEX'!$D$23*E14)))-MAX(0,(('ENG_OPS'!$O$81*(1+AVERAGE('ENG_OPS'!$D$84:$P$84)*E14)*(1+F14))-('ENG_COST'!$O$266*(1+'IN_COST'!$D$8*E14))-('ENG_COST'!$O$268*(1+'IN_COST'!$D$9*E14))-('ENG_CAPEX'!$O$81*(1+'ENG_CAPEX'!$D$23*E14))))*'IN_MACRO'!$D$14+('ENG_CAPEX'!$O$81*(1+'ENG_CAPEX'!$D$23*E14))-(('ENG_CAPEX'!$O$21+'ENG_CAPEX'!$O$42)*(1+'ENG_CAPEX'!$D$23*E14))-('ENG_WC'!$O$19*(1+AVERAGE('ENG_OPS'!$D$84:$P$84)*E14)*(1+F14))</f>
        <v/>
      </c>
      <c r="S14" s="36">
        <f>(('ENG_OPS'!$P$81*(1+AVERAGE('ENG_OPS'!$D$84:$P$84)*E14)*(1+F14))-('ENG_COST'!$P$266*(1+'IN_COST'!$D$8*E14))-('ENG_COST'!$P$268*(1+'IN_COST'!$D$9*E14))-('ENG_CAPEX'!$P$81*(1+'ENG_CAPEX'!$D$23*E14)))-MAX(0,(('ENG_OPS'!$P$81*(1+AVERAGE('ENG_OPS'!$D$84:$P$84)*E14)*(1+F14))-('ENG_COST'!$P$266*(1+'IN_COST'!$D$8*E14))-('ENG_COST'!$P$268*(1+'IN_COST'!$D$9*E14))-('ENG_CAPEX'!$P$81*(1+'ENG_CAPEX'!$D$23*E14))))*'IN_MACRO'!$D$14+('ENG_CAPEX'!$P$81*(1+'ENG_CAPEX'!$D$23*E14))-(('ENG_CAPEX'!$P$21+'ENG_CAPEX'!$P$42)*(1+'ENG_CAPEX'!$D$23*E14))-('ENG_WC'!$P$19*(1+AVERAGE('ENG_OPS'!$D$84:$P$84)*E14)*(1+F14))</f>
        <v/>
      </c>
      <c r="T14" s="30">
        <f>1</f>
        <v/>
      </c>
      <c r="U14" s="30">
        <f>T14/(1+'ENG_DCF'!$E$14+D14)</f>
        <v/>
      </c>
      <c r="V14" s="30">
        <f>U14/(1+'ENG_DCF'!$F$14+D14)</f>
        <v/>
      </c>
      <c r="W14" s="30">
        <f>V14/(1+'ENG_DCF'!$G$14+D14)</f>
        <v/>
      </c>
      <c r="X14" s="30">
        <f>W14/(1+'ENG_DCF'!$H$14+D14)</f>
        <v/>
      </c>
      <c r="Y14" s="30">
        <f>X14/(1+'ENG_DCF'!$I$14+D14)</f>
        <v/>
      </c>
      <c r="Z14" s="30">
        <f>Y14/(1+'ENG_DCF'!$J$14+D14)</f>
        <v/>
      </c>
      <c r="AA14" s="30">
        <f>Z14/(1+'ENG_DCF'!$K$14+D14)</f>
        <v/>
      </c>
      <c r="AB14" s="30">
        <f>AA14/(1+'ENG_DCF'!$L$14+D14)</f>
        <v/>
      </c>
      <c r="AC14" s="30">
        <f>AB14/(1+'ENG_DCF'!$M$14+D14)</f>
        <v/>
      </c>
      <c r="AD14" s="30">
        <f>AC14/(1+'ENG_DCF'!$N$14+D14)</f>
        <v/>
      </c>
      <c r="AE14" s="30">
        <f>AD14/(1+'ENG_DCF'!$O$14+D14)</f>
        <v/>
      </c>
      <c r="AF14" s="30">
        <f>AE14/(1+'ENG_DCF'!$P$14+D14)</f>
        <v/>
      </c>
      <c r="AG14" s="36">
        <f>(G14*T14+H14*U14+I14*V14+J14*W14+K14*X14+L14*Y14+M14*Z14+N14*AA14+O14*AB14+P14*AC14+Q14*AD14+R14*AE14+S14*AF14)+(IF('IN_MACRO'!$D$19=1,MAX(0,(S14+(('ENG_CAPEX'!$P$21+'ENG_CAPEX'!$P$42)*(1+'ENG_CAPEX'!$D$23*E14))))*(1+'IN_MACRO'!$D$18)/MAX(0.005,'ENG_DCF'!$P$14+D14-'IN_MACRO'!$D$18),(('ENG_OPS'!$P$81*(1+AVERAGE('ENG_OPS'!$D$84:$P$84)*E14)*(1+F14))-('ENG_COST'!$P$266*(1+'IN_COST'!$D$8*E14))-('ENG_COST'!$P$268*(1+'IN_COST'!$D$9*E14)))*'IN_MACRO'!$D$20))*AF14</f>
        <v/>
      </c>
    </row>
    <row r="15">
      <c r="A15" t="inlineStr">
        <is>
          <t>PR|0|4</t>
        </is>
      </c>
      <c r="D15" s="38">
        <f>'IN_SCEN'!$D$24</f>
        <v/>
      </c>
      <c r="E15" s="38">
        <f>0</f>
        <v/>
      </c>
      <c r="F15" s="38">
        <f>'IN_SCEN'!$H$26</f>
        <v/>
      </c>
      <c r="G15" s="36">
        <f>(('ENG_OPS'!$D$81*(1+AVERAGE('ENG_OPS'!$D$84:$P$84)*E15)*(1+F15))-('ENG_COST'!$D$266*(1+'IN_COST'!$D$8*E15))-('ENG_COST'!$D$268*(1+'IN_COST'!$D$9*E15))-('ENG_CAPEX'!$D$81*(1+'ENG_CAPEX'!$D$23*E15)))-MAX(0,(('ENG_OPS'!$D$81*(1+AVERAGE('ENG_OPS'!$D$84:$P$84)*E15)*(1+F15))-('ENG_COST'!$D$266*(1+'IN_COST'!$D$8*E15))-('ENG_COST'!$D$268*(1+'IN_COST'!$D$9*E15))-('ENG_CAPEX'!$D$81*(1+'ENG_CAPEX'!$D$23*E15))))*'IN_MACRO'!$D$14+('ENG_CAPEX'!$D$81*(1+'ENG_CAPEX'!$D$23*E15))-(('ENG_CAPEX'!$D$21+'ENG_CAPEX'!$D$42)*(1+'ENG_CAPEX'!$D$23*E15))-('ENG_WC'!$D$19*(1+AVERAGE('ENG_OPS'!$D$84:$P$84)*E15)*(1+F15))</f>
        <v/>
      </c>
      <c r="H15" s="36">
        <f>(('ENG_OPS'!$E$81*(1+AVERAGE('ENG_OPS'!$D$84:$P$84)*E15)*(1+F15))-('ENG_COST'!$E$266*(1+'IN_COST'!$D$8*E15))-('ENG_COST'!$E$268*(1+'IN_COST'!$D$9*E15))-('ENG_CAPEX'!$E$81*(1+'ENG_CAPEX'!$D$23*E15)))-MAX(0,(('ENG_OPS'!$E$81*(1+AVERAGE('ENG_OPS'!$D$84:$P$84)*E15)*(1+F15))-('ENG_COST'!$E$266*(1+'IN_COST'!$D$8*E15))-('ENG_COST'!$E$268*(1+'IN_COST'!$D$9*E15))-('ENG_CAPEX'!$E$81*(1+'ENG_CAPEX'!$D$23*E15))))*'IN_MACRO'!$D$14+('ENG_CAPEX'!$E$81*(1+'ENG_CAPEX'!$D$23*E15))-(('ENG_CAPEX'!$E$21+'ENG_CAPEX'!$E$42)*(1+'ENG_CAPEX'!$D$23*E15))-('ENG_WC'!$E$19*(1+AVERAGE('ENG_OPS'!$D$84:$P$84)*E15)*(1+F15))</f>
        <v/>
      </c>
      <c r="I15" s="36">
        <f>(('ENG_OPS'!$F$81*(1+AVERAGE('ENG_OPS'!$D$84:$P$84)*E15)*(1+F15))-('ENG_COST'!$F$266*(1+'IN_COST'!$D$8*E15))-('ENG_COST'!$F$268*(1+'IN_COST'!$D$9*E15))-('ENG_CAPEX'!$F$81*(1+'ENG_CAPEX'!$D$23*E15)))-MAX(0,(('ENG_OPS'!$F$81*(1+AVERAGE('ENG_OPS'!$D$84:$P$84)*E15)*(1+F15))-('ENG_COST'!$F$266*(1+'IN_COST'!$D$8*E15))-('ENG_COST'!$F$268*(1+'IN_COST'!$D$9*E15))-('ENG_CAPEX'!$F$81*(1+'ENG_CAPEX'!$D$23*E15))))*'IN_MACRO'!$D$14+('ENG_CAPEX'!$F$81*(1+'ENG_CAPEX'!$D$23*E15))-(('ENG_CAPEX'!$F$21+'ENG_CAPEX'!$F$42)*(1+'ENG_CAPEX'!$D$23*E15))-('ENG_WC'!$F$19*(1+AVERAGE('ENG_OPS'!$D$84:$P$84)*E15)*(1+F15))</f>
        <v/>
      </c>
      <c r="J15" s="36">
        <f>(('ENG_OPS'!$G$81*(1+AVERAGE('ENG_OPS'!$D$84:$P$84)*E15)*(1+F15))-('ENG_COST'!$G$266*(1+'IN_COST'!$D$8*E15))-('ENG_COST'!$G$268*(1+'IN_COST'!$D$9*E15))-('ENG_CAPEX'!$G$81*(1+'ENG_CAPEX'!$D$23*E15)))-MAX(0,(('ENG_OPS'!$G$81*(1+AVERAGE('ENG_OPS'!$D$84:$P$84)*E15)*(1+F15))-('ENG_COST'!$G$266*(1+'IN_COST'!$D$8*E15))-('ENG_COST'!$G$268*(1+'IN_COST'!$D$9*E15))-('ENG_CAPEX'!$G$81*(1+'ENG_CAPEX'!$D$23*E15))))*'IN_MACRO'!$D$14+('ENG_CAPEX'!$G$81*(1+'ENG_CAPEX'!$D$23*E15))-(('ENG_CAPEX'!$G$21+'ENG_CAPEX'!$G$42)*(1+'ENG_CAPEX'!$D$23*E15))-('ENG_WC'!$G$19*(1+AVERAGE('ENG_OPS'!$D$84:$P$84)*E15)*(1+F15))</f>
        <v/>
      </c>
      <c r="K15" s="36">
        <f>(('ENG_OPS'!$H$81*(1+AVERAGE('ENG_OPS'!$D$84:$P$84)*E15)*(1+F15))-('ENG_COST'!$H$266*(1+'IN_COST'!$D$8*E15))-('ENG_COST'!$H$268*(1+'IN_COST'!$D$9*E15))-('ENG_CAPEX'!$H$81*(1+'ENG_CAPEX'!$D$23*E15)))-MAX(0,(('ENG_OPS'!$H$81*(1+AVERAGE('ENG_OPS'!$D$84:$P$84)*E15)*(1+F15))-('ENG_COST'!$H$266*(1+'IN_COST'!$D$8*E15))-('ENG_COST'!$H$268*(1+'IN_COST'!$D$9*E15))-('ENG_CAPEX'!$H$81*(1+'ENG_CAPEX'!$D$23*E15))))*'IN_MACRO'!$D$14+('ENG_CAPEX'!$H$81*(1+'ENG_CAPEX'!$D$23*E15))-(('ENG_CAPEX'!$H$21+'ENG_CAPEX'!$H$42)*(1+'ENG_CAPEX'!$D$23*E15))-('ENG_WC'!$H$19*(1+AVERAGE('ENG_OPS'!$D$84:$P$84)*E15)*(1+F15))</f>
        <v/>
      </c>
      <c r="L15" s="36">
        <f>(('ENG_OPS'!$I$81*(1+AVERAGE('ENG_OPS'!$D$84:$P$84)*E15)*(1+F15))-('ENG_COST'!$I$266*(1+'IN_COST'!$D$8*E15))-('ENG_COST'!$I$268*(1+'IN_COST'!$D$9*E15))-('ENG_CAPEX'!$I$81*(1+'ENG_CAPEX'!$D$23*E15)))-MAX(0,(('ENG_OPS'!$I$81*(1+AVERAGE('ENG_OPS'!$D$84:$P$84)*E15)*(1+F15))-('ENG_COST'!$I$266*(1+'IN_COST'!$D$8*E15))-('ENG_COST'!$I$268*(1+'IN_COST'!$D$9*E15))-('ENG_CAPEX'!$I$81*(1+'ENG_CAPEX'!$D$23*E15))))*'IN_MACRO'!$D$14+('ENG_CAPEX'!$I$81*(1+'ENG_CAPEX'!$D$23*E15))-(('ENG_CAPEX'!$I$21+'ENG_CAPEX'!$I$42)*(1+'ENG_CAPEX'!$D$23*E15))-('ENG_WC'!$I$19*(1+AVERAGE('ENG_OPS'!$D$84:$P$84)*E15)*(1+F15))</f>
        <v/>
      </c>
      <c r="M15" s="36">
        <f>(('ENG_OPS'!$J$81*(1+AVERAGE('ENG_OPS'!$D$84:$P$84)*E15)*(1+F15))-('ENG_COST'!$J$266*(1+'IN_COST'!$D$8*E15))-('ENG_COST'!$J$268*(1+'IN_COST'!$D$9*E15))-('ENG_CAPEX'!$J$81*(1+'ENG_CAPEX'!$D$23*E15)))-MAX(0,(('ENG_OPS'!$J$81*(1+AVERAGE('ENG_OPS'!$D$84:$P$84)*E15)*(1+F15))-('ENG_COST'!$J$266*(1+'IN_COST'!$D$8*E15))-('ENG_COST'!$J$268*(1+'IN_COST'!$D$9*E15))-('ENG_CAPEX'!$J$81*(1+'ENG_CAPEX'!$D$23*E15))))*'IN_MACRO'!$D$14+('ENG_CAPEX'!$J$81*(1+'ENG_CAPEX'!$D$23*E15))-(('ENG_CAPEX'!$J$21+'ENG_CAPEX'!$J$42)*(1+'ENG_CAPEX'!$D$23*E15))-('ENG_WC'!$J$19*(1+AVERAGE('ENG_OPS'!$D$84:$P$84)*E15)*(1+F15))</f>
        <v/>
      </c>
      <c r="N15" s="36">
        <f>(('ENG_OPS'!$K$81*(1+AVERAGE('ENG_OPS'!$D$84:$P$84)*E15)*(1+F15))-('ENG_COST'!$K$266*(1+'IN_COST'!$D$8*E15))-('ENG_COST'!$K$268*(1+'IN_COST'!$D$9*E15))-('ENG_CAPEX'!$K$81*(1+'ENG_CAPEX'!$D$23*E15)))-MAX(0,(('ENG_OPS'!$K$81*(1+AVERAGE('ENG_OPS'!$D$84:$P$84)*E15)*(1+F15))-('ENG_COST'!$K$266*(1+'IN_COST'!$D$8*E15))-('ENG_COST'!$K$268*(1+'IN_COST'!$D$9*E15))-('ENG_CAPEX'!$K$81*(1+'ENG_CAPEX'!$D$23*E15))))*'IN_MACRO'!$D$14+('ENG_CAPEX'!$K$81*(1+'ENG_CAPEX'!$D$23*E15))-(('ENG_CAPEX'!$K$21+'ENG_CAPEX'!$K$42)*(1+'ENG_CAPEX'!$D$23*E15))-('ENG_WC'!$K$19*(1+AVERAGE('ENG_OPS'!$D$84:$P$84)*E15)*(1+F15))</f>
        <v/>
      </c>
      <c r="O15" s="36">
        <f>(('ENG_OPS'!$L$81*(1+AVERAGE('ENG_OPS'!$D$84:$P$84)*E15)*(1+F15))-('ENG_COST'!$L$266*(1+'IN_COST'!$D$8*E15))-('ENG_COST'!$L$268*(1+'IN_COST'!$D$9*E15))-('ENG_CAPEX'!$L$81*(1+'ENG_CAPEX'!$D$23*E15)))-MAX(0,(('ENG_OPS'!$L$81*(1+AVERAGE('ENG_OPS'!$D$84:$P$84)*E15)*(1+F15))-('ENG_COST'!$L$266*(1+'IN_COST'!$D$8*E15))-('ENG_COST'!$L$268*(1+'IN_COST'!$D$9*E15))-('ENG_CAPEX'!$L$81*(1+'ENG_CAPEX'!$D$23*E15))))*'IN_MACRO'!$D$14+('ENG_CAPEX'!$L$81*(1+'ENG_CAPEX'!$D$23*E15))-(('ENG_CAPEX'!$L$21+'ENG_CAPEX'!$L$42)*(1+'ENG_CAPEX'!$D$23*E15))-('ENG_WC'!$L$19*(1+AVERAGE('ENG_OPS'!$D$84:$P$84)*E15)*(1+F15))</f>
        <v/>
      </c>
      <c r="P15" s="36">
        <f>(('ENG_OPS'!$M$81*(1+AVERAGE('ENG_OPS'!$D$84:$P$84)*E15)*(1+F15))-('ENG_COST'!$M$266*(1+'IN_COST'!$D$8*E15))-('ENG_COST'!$M$268*(1+'IN_COST'!$D$9*E15))-('ENG_CAPEX'!$M$81*(1+'ENG_CAPEX'!$D$23*E15)))-MAX(0,(('ENG_OPS'!$M$81*(1+AVERAGE('ENG_OPS'!$D$84:$P$84)*E15)*(1+F15))-('ENG_COST'!$M$266*(1+'IN_COST'!$D$8*E15))-('ENG_COST'!$M$268*(1+'IN_COST'!$D$9*E15))-('ENG_CAPEX'!$M$81*(1+'ENG_CAPEX'!$D$23*E15))))*'IN_MACRO'!$D$14+('ENG_CAPEX'!$M$81*(1+'ENG_CAPEX'!$D$23*E15))-(('ENG_CAPEX'!$M$21+'ENG_CAPEX'!$M$42)*(1+'ENG_CAPEX'!$D$23*E15))-('ENG_WC'!$M$19*(1+AVERAGE('ENG_OPS'!$D$84:$P$84)*E15)*(1+F15))</f>
        <v/>
      </c>
      <c r="Q15" s="36">
        <f>(('ENG_OPS'!$N$81*(1+AVERAGE('ENG_OPS'!$D$84:$P$84)*E15)*(1+F15))-('ENG_COST'!$N$266*(1+'IN_COST'!$D$8*E15))-('ENG_COST'!$N$268*(1+'IN_COST'!$D$9*E15))-('ENG_CAPEX'!$N$81*(1+'ENG_CAPEX'!$D$23*E15)))-MAX(0,(('ENG_OPS'!$N$81*(1+AVERAGE('ENG_OPS'!$D$84:$P$84)*E15)*(1+F15))-('ENG_COST'!$N$266*(1+'IN_COST'!$D$8*E15))-('ENG_COST'!$N$268*(1+'IN_COST'!$D$9*E15))-('ENG_CAPEX'!$N$81*(1+'ENG_CAPEX'!$D$23*E15))))*'IN_MACRO'!$D$14+('ENG_CAPEX'!$N$81*(1+'ENG_CAPEX'!$D$23*E15))-(('ENG_CAPEX'!$N$21+'ENG_CAPEX'!$N$42)*(1+'ENG_CAPEX'!$D$23*E15))-('ENG_WC'!$N$19*(1+AVERAGE('ENG_OPS'!$D$84:$P$84)*E15)*(1+F15))</f>
        <v/>
      </c>
      <c r="R15" s="36">
        <f>(('ENG_OPS'!$O$81*(1+AVERAGE('ENG_OPS'!$D$84:$P$84)*E15)*(1+F15))-('ENG_COST'!$O$266*(1+'IN_COST'!$D$8*E15))-('ENG_COST'!$O$268*(1+'IN_COST'!$D$9*E15))-('ENG_CAPEX'!$O$81*(1+'ENG_CAPEX'!$D$23*E15)))-MAX(0,(('ENG_OPS'!$O$81*(1+AVERAGE('ENG_OPS'!$D$84:$P$84)*E15)*(1+F15))-('ENG_COST'!$O$266*(1+'IN_COST'!$D$8*E15))-('ENG_COST'!$O$268*(1+'IN_COST'!$D$9*E15))-('ENG_CAPEX'!$O$81*(1+'ENG_CAPEX'!$D$23*E15))))*'IN_MACRO'!$D$14+('ENG_CAPEX'!$O$81*(1+'ENG_CAPEX'!$D$23*E15))-(('ENG_CAPEX'!$O$21+'ENG_CAPEX'!$O$42)*(1+'ENG_CAPEX'!$D$23*E15))-('ENG_WC'!$O$19*(1+AVERAGE('ENG_OPS'!$D$84:$P$84)*E15)*(1+F15))</f>
        <v/>
      </c>
      <c r="S15" s="36">
        <f>(('ENG_OPS'!$P$81*(1+AVERAGE('ENG_OPS'!$D$84:$P$84)*E15)*(1+F15))-('ENG_COST'!$P$266*(1+'IN_COST'!$D$8*E15))-('ENG_COST'!$P$268*(1+'IN_COST'!$D$9*E15))-('ENG_CAPEX'!$P$81*(1+'ENG_CAPEX'!$D$23*E15)))-MAX(0,(('ENG_OPS'!$P$81*(1+AVERAGE('ENG_OPS'!$D$84:$P$84)*E15)*(1+F15))-('ENG_COST'!$P$266*(1+'IN_COST'!$D$8*E15))-('ENG_COST'!$P$268*(1+'IN_COST'!$D$9*E15))-('ENG_CAPEX'!$P$81*(1+'ENG_CAPEX'!$D$23*E15))))*'IN_MACRO'!$D$14+('ENG_CAPEX'!$P$81*(1+'ENG_CAPEX'!$D$23*E15))-(('ENG_CAPEX'!$P$21+'ENG_CAPEX'!$P$42)*(1+'ENG_CAPEX'!$D$23*E15))-('ENG_WC'!$P$19*(1+AVERAGE('ENG_OPS'!$D$84:$P$84)*E15)*(1+F15))</f>
        <v/>
      </c>
      <c r="T15" s="30">
        <f>1</f>
        <v/>
      </c>
      <c r="U15" s="30">
        <f>T15/(1+'ENG_DCF'!$E$14+D15)</f>
        <v/>
      </c>
      <c r="V15" s="30">
        <f>U15/(1+'ENG_DCF'!$F$14+D15)</f>
        <v/>
      </c>
      <c r="W15" s="30">
        <f>V15/(1+'ENG_DCF'!$G$14+D15)</f>
        <v/>
      </c>
      <c r="X15" s="30">
        <f>W15/(1+'ENG_DCF'!$H$14+D15)</f>
        <v/>
      </c>
      <c r="Y15" s="30">
        <f>X15/(1+'ENG_DCF'!$I$14+D15)</f>
        <v/>
      </c>
      <c r="Z15" s="30">
        <f>Y15/(1+'ENG_DCF'!$J$14+D15)</f>
        <v/>
      </c>
      <c r="AA15" s="30">
        <f>Z15/(1+'ENG_DCF'!$K$14+D15)</f>
        <v/>
      </c>
      <c r="AB15" s="30">
        <f>AA15/(1+'ENG_DCF'!$L$14+D15)</f>
        <v/>
      </c>
      <c r="AC15" s="30">
        <f>AB15/(1+'ENG_DCF'!$M$14+D15)</f>
        <v/>
      </c>
      <c r="AD15" s="30">
        <f>AC15/(1+'ENG_DCF'!$N$14+D15)</f>
        <v/>
      </c>
      <c r="AE15" s="30">
        <f>AD15/(1+'ENG_DCF'!$O$14+D15)</f>
        <v/>
      </c>
      <c r="AF15" s="30">
        <f>AE15/(1+'ENG_DCF'!$P$14+D15)</f>
        <v/>
      </c>
      <c r="AG15" s="36">
        <f>(G15*T15+H15*U15+I15*V15+J15*W15+K15*X15+L15*Y15+M15*Z15+N15*AA15+O15*AB15+P15*AC15+Q15*AD15+R15*AE15+S15*AF15)+(IF('IN_MACRO'!$D$19=1,MAX(0,(S15+(('ENG_CAPEX'!$P$21+'ENG_CAPEX'!$P$42)*(1+'ENG_CAPEX'!$D$23*E15))))*(1+'IN_MACRO'!$D$18)/MAX(0.005,'ENG_DCF'!$P$14+D15-'IN_MACRO'!$D$18),(('ENG_OPS'!$P$81*(1+AVERAGE('ENG_OPS'!$D$84:$P$84)*E15)*(1+F15))-('ENG_COST'!$P$266*(1+'IN_COST'!$D$8*E15))-('ENG_COST'!$P$268*(1+'IN_COST'!$D$9*E15)))*'IN_MACRO'!$D$20))*AF15</f>
        <v/>
      </c>
    </row>
    <row r="16">
      <c r="A16" t="inlineStr">
        <is>
          <t>FX|1|0</t>
        </is>
      </c>
      <c r="D16" s="38">
        <f>'IN_SCEN'!$E$24</f>
        <v/>
      </c>
      <c r="E16" s="38">
        <f>'IN_SCEN'!$D$25</f>
        <v/>
      </c>
      <c r="F16" s="38">
        <f>0</f>
        <v/>
      </c>
      <c r="G16" s="36">
        <f>(('ENG_OPS'!$D$81*(1+AVERAGE('ENG_OPS'!$D$84:$P$84)*E16)*(1+F16))-('ENG_COST'!$D$266*(1+'IN_COST'!$D$8*E16))-('ENG_COST'!$D$268*(1+'IN_COST'!$D$9*E16))-('ENG_CAPEX'!$D$81*(1+'ENG_CAPEX'!$D$23*E16)))-MAX(0,(('ENG_OPS'!$D$81*(1+AVERAGE('ENG_OPS'!$D$84:$P$84)*E16)*(1+F16))-('ENG_COST'!$D$266*(1+'IN_COST'!$D$8*E16))-('ENG_COST'!$D$268*(1+'IN_COST'!$D$9*E16))-('ENG_CAPEX'!$D$81*(1+'ENG_CAPEX'!$D$23*E16))))*'IN_MACRO'!$D$14+('ENG_CAPEX'!$D$81*(1+'ENG_CAPEX'!$D$23*E16))-(('ENG_CAPEX'!$D$21+'ENG_CAPEX'!$D$42)*(1+'ENG_CAPEX'!$D$23*E16))-('ENG_WC'!$D$19*(1+AVERAGE('ENG_OPS'!$D$84:$P$84)*E16)*(1+F16))</f>
        <v/>
      </c>
      <c r="H16" s="36">
        <f>(('ENG_OPS'!$E$81*(1+AVERAGE('ENG_OPS'!$D$84:$P$84)*E16)*(1+F16))-('ENG_COST'!$E$266*(1+'IN_COST'!$D$8*E16))-('ENG_COST'!$E$268*(1+'IN_COST'!$D$9*E16))-('ENG_CAPEX'!$E$81*(1+'ENG_CAPEX'!$D$23*E16)))-MAX(0,(('ENG_OPS'!$E$81*(1+AVERAGE('ENG_OPS'!$D$84:$P$84)*E16)*(1+F16))-('ENG_COST'!$E$266*(1+'IN_COST'!$D$8*E16))-('ENG_COST'!$E$268*(1+'IN_COST'!$D$9*E16))-('ENG_CAPEX'!$E$81*(1+'ENG_CAPEX'!$D$23*E16))))*'IN_MACRO'!$D$14+('ENG_CAPEX'!$E$81*(1+'ENG_CAPEX'!$D$23*E16))-(('ENG_CAPEX'!$E$21+'ENG_CAPEX'!$E$42)*(1+'ENG_CAPEX'!$D$23*E16))-('ENG_WC'!$E$19*(1+AVERAGE('ENG_OPS'!$D$84:$P$84)*E16)*(1+F16))</f>
        <v/>
      </c>
      <c r="I16" s="36">
        <f>(('ENG_OPS'!$F$81*(1+AVERAGE('ENG_OPS'!$D$84:$P$84)*E16)*(1+F16))-('ENG_COST'!$F$266*(1+'IN_COST'!$D$8*E16))-('ENG_COST'!$F$268*(1+'IN_COST'!$D$9*E16))-('ENG_CAPEX'!$F$81*(1+'ENG_CAPEX'!$D$23*E16)))-MAX(0,(('ENG_OPS'!$F$81*(1+AVERAGE('ENG_OPS'!$D$84:$P$84)*E16)*(1+F16))-('ENG_COST'!$F$266*(1+'IN_COST'!$D$8*E16))-('ENG_COST'!$F$268*(1+'IN_COST'!$D$9*E16))-('ENG_CAPEX'!$F$81*(1+'ENG_CAPEX'!$D$23*E16))))*'IN_MACRO'!$D$14+('ENG_CAPEX'!$F$81*(1+'ENG_CAPEX'!$D$23*E16))-(('ENG_CAPEX'!$F$21+'ENG_CAPEX'!$F$42)*(1+'ENG_CAPEX'!$D$23*E16))-('ENG_WC'!$F$19*(1+AVERAGE('ENG_OPS'!$D$84:$P$84)*E16)*(1+F16))</f>
        <v/>
      </c>
      <c r="J16" s="36">
        <f>(('ENG_OPS'!$G$81*(1+AVERAGE('ENG_OPS'!$D$84:$P$84)*E16)*(1+F16))-('ENG_COST'!$G$266*(1+'IN_COST'!$D$8*E16))-('ENG_COST'!$G$268*(1+'IN_COST'!$D$9*E16))-('ENG_CAPEX'!$G$81*(1+'ENG_CAPEX'!$D$23*E16)))-MAX(0,(('ENG_OPS'!$G$81*(1+AVERAGE('ENG_OPS'!$D$84:$P$84)*E16)*(1+F16))-('ENG_COST'!$G$266*(1+'IN_COST'!$D$8*E16))-('ENG_COST'!$G$268*(1+'IN_COST'!$D$9*E16))-('ENG_CAPEX'!$G$81*(1+'ENG_CAPEX'!$D$23*E16))))*'IN_MACRO'!$D$14+('ENG_CAPEX'!$G$81*(1+'ENG_CAPEX'!$D$23*E16))-(('ENG_CAPEX'!$G$21+'ENG_CAPEX'!$G$42)*(1+'ENG_CAPEX'!$D$23*E16))-('ENG_WC'!$G$19*(1+AVERAGE('ENG_OPS'!$D$84:$P$84)*E16)*(1+F16))</f>
        <v/>
      </c>
      <c r="K16" s="36">
        <f>(('ENG_OPS'!$H$81*(1+AVERAGE('ENG_OPS'!$D$84:$P$84)*E16)*(1+F16))-('ENG_COST'!$H$266*(1+'IN_COST'!$D$8*E16))-('ENG_COST'!$H$268*(1+'IN_COST'!$D$9*E16))-('ENG_CAPEX'!$H$81*(1+'ENG_CAPEX'!$D$23*E16)))-MAX(0,(('ENG_OPS'!$H$81*(1+AVERAGE('ENG_OPS'!$D$84:$P$84)*E16)*(1+F16))-('ENG_COST'!$H$266*(1+'IN_COST'!$D$8*E16))-('ENG_COST'!$H$268*(1+'IN_COST'!$D$9*E16))-('ENG_CAPEX'!$H$81*(1+'ENG_CAPEX'!$D$23*E16))))*'IN_MACRO'!$D$14+('ENG_CAPEX'!$H$81*(1+'ENG_CAPEX'!$D$23*E16))-(('ENG_CAPEX'!$H$21+'ENG_CAPEX'!$H$42)*(1+'ENG_CAPEX'!$D$23*E16))-('ENG_WC'!$H$19*(1+AVERAGE('ENG_OPS'!$D$84:$P$84)*E16)*(1+F16))</f>
        <v/>
      </c>
      <c r="L16" s="36">
        <f>(('ENG_OPS'!$I$81*(1+AVERAGE('ENG_OPS'!$D$84:$P$84)*E16)*(1+F16))-('ENG_COST'!$I$266*(1+'IN_COST'!$D$8*E16))-('ENG_COST'!$I$268*(1+'IN_COST'!$D$9*E16))-('ENG_CAPEX'!$I$81*(1+'ENG_CAPEX'!$D$23*E16)))-MAX(0,(('ENG_OPS'!$I$81*(1+AVERAGE('ENG_OPS'!$D$84:$P$84)*E16)*(1+F16))-('ENG_COST'!$I$266*(1+'IN_COST'!$D$8*E16))-('ENG_COST'!$I$268*(1+'IN_COST'!$D$9*E16))-('ENG_CAPEX'!$I$81*(1+'ENG_CAPEX'!$D$23*E16))))*'IN_MACRO'!$D$14+('ENG_CAPEX'!$I$81*(1+'ENG_CAPEX'!$D$23*E16))-(('ENG_CAPEX'!$I$21+'ENG_CAPEX'!$I$42)*(1+'ENG_CAPEX'!$D$23*E16))-('ENG_WC'!$I$19*(1+AVERAGE('ENG_OPS'!$D$84:$P$84)*E16)*(1+F16))</f>
        <v/>
      </c>
      <c r="M16" s="36">
        <f>(('ENG_OPS'!$J$81*(1+AVERAGE('ENG_OPS'!$D$84:$P$84)*E16)*(1+F16))-('ENG_COST'!$J$266*(1+'IN_COST'!$D$8*E16))-('ENG_COST'!$J$268*(1+'IN_COST'!$D$9*E16))-('ENG_CAPEX'!$J$81*(1+'ENG_CAPEX'!$D$23*E16)))-MAX(0,(('ENG_OPS'!$J$81*(1+AVERAGE('ENG_OPS'!$D$84:$P$84)*E16)*(1+F16))-('ENG_COST'!$J$266*(1+'IN_COST'!$D$8*E16))-('ENG_COST'!$J$268*(1+'IN_COST'!$D$9*E16))-('ENG_CAPEX'!$J$81*(1+'ENG_CAPEX'!$D$23*E16))))*'IN_MACRO'!$D$14+('ENG_CAPEX'!$J$81*(1+'ENG_CAPEX'!$D$23*E16))-(('ENG_CAPEX'!$J$21+'ENG_CAPEX'!$J$42)*(1+'ENG_CAPEX'!$D$23*E16))-('ENG_WC'!$J$19*(1+AVERAGE('ENG_OPS'!$D$84:$P$84)*E16)*(1+F16))</f>
        <v/>
      </c>
      <c r="N16" s="36">
        <f>(('ENG_OPS'!$K$81*(1+AVERAGE('ENG_OPS'!$D$84:$P$84)*E16)*(1+F16))-('ENG_COST'!$K$266*(1+'IN_COST'!$D$8*E16))-('ENG_COST'!$K$268*(1+'IN_COST'!$D$9*E16))-('ENG_CAPEX'!$K$81*(1+'ENG_CAPEX'!$D$23*E16)))-MAX(0,(('ENG_OPS'!$K$81*(1+AVERAGE('ENG_OPS'!$D$84:$P$84)*E16)*(1+F16))-('ENG_COST'!$K$266*(1+'IN_COST'!$D$8*E16))-('ENG_COST'!$K$268*(1+'IN_COST'!$D$9*E16))-('ENG_CAPEX'!$K$81*(1+'ENG_CAPEX'!$D$23*E16))))*'IN_MACRO'!$D$14+('ENG_CAPEX'!$K$81*(1+'ENG_CAPEX'!$D$23*E16))-(('ENG_CAPEX'!$K$21+'ENG_CAPEX'!$K$42)*(1+'ENG_CAPEX'!$D$23*E16))-('ENG_WC'!$K$19*(1+AVERAGE('ENG_OPS'!$D$84:$P$84)*E16)*(1+F16))</f>
        <v/>
      </c>
      <c r="O16" s="36">
        <f>(('ENG_OPS'!$L$81*(1+AVERAGE('ENG_OPS'!$D$84:$P$84)*E16)*(1+F16))-('ENG_COST'!$L$266*(1+'IN_COST'!$D$8*E16))-('ENG_COST'!$L$268*(1+'IN_COST'!$D$9*E16))-('ENG_CAPEX'!$L$81*(1+'ENG_CAPEX'!$D$23*E16)))-MAX(0,(('ENG_OPS'!$L$81*(1+AVERAGE('ENG_OPS'!$D$84:$P$84)*E16)*(1+F16))-('ENG_COST'!$L$266*(1+'IN_COST'!$D$8*E16))-('ENG_COST'!$L$268*(1+'IN_COST'!$D$9*E16))-('ENG_CAPEX'!$L$81*(1+'ENG_CAPEX'!$D$23*E16))))*'IN_MACRO'!$D$14+('ENG_CAPEX'!$L$81*(1+'ENG_CAPEX'!$D$23*E16))-(('ENG_CAPEX'!$L$21+'ENG_CAPEX'!$L$42)*(1+'ENG_CAPEX'!$D$23*E16))-('ENG_WC'!$L$19*(1+AVERAGE('ENG_OPS'!$D$84:$P$84)*E16)*(1+F16))</f>
        <v/>
      </c>
      <c r="P16" s="36">
        <f>(('ENG_OPS'!$M$81*(1+AVERAGE('ENG_OPS'!$D$84:$P$84)*E16)*(1+F16))-('ENG_COST'!$M$266*(1+'IN_COST'!$D$8*E16))-('ENG_COST'!$M$268*(1+'IN_COST'!$D$9*E16))-('ENG_CAPEX'!$M$81*(1+'ENG_CAPEX'!$D$23*E16)))-MAX(0,(('ENG_OPS'!$M$81*(1+AVERAGE('ENG_OPS'!$D$84:$P$84)*E16)*(1+F16))-('ENG_COST'!$M$266*(1+'IN_COST'!$D$8*E16))-('ENG_COST'!$M$268*(1+'IN_COST'!$D$9*E16))-('ENG_CAPEX'!$M$81*(1+'ENG_CAPEX'!$D$23*E16))))*'IN_MACRO'!$D$14+('ENG_CAPEX'!$M$81*(1+'ENG_CAPEX'!$D$23*E16))-(('ENG_CAPEX'!$M$21+'ENG_CAPEX'!$M$42)*(1+'ENG_CAPEX'!$D$23*E16))-('ENG_WC'!$M$19*(1+AVERAGE('ENG_OPS'!$D$84:$P$84)*E16)*(1+F16))</f>
        <v/>
      </c>
      <c r="Q16" s="36">
        <f>(('ENG_OPS'!$N$81*(1+AVERAGE('ENG_OPS'!$D$84:$P$84)*E16)*(1+F16))-('ENG_COST'!$N$266*(1+'IN_COST'!$D$8*E16))-('ENG_COST'!$N$268*(1+'IN_COST'!$D$9*E16))-('ENG_CAPEX'!$N$81*(1+'ENG_CAPEX'!$D$23*E16)))-MAX(0,(('ENG_OPS'!$N$81*(1+AVERAGE('ENG_OPS'!$D$84:$P$84)*E16)*(1+F16))-('ENG_COST'!$N$266*(1+'IN_COST'!$D$8*E16))-('ENG_COST'!$N$268*(1+'IN_COST'!$D$9*E16))-('ENG_CAPEX'!$N$81*(1+'ENG_CAPEX'!$D$23*E16))))*'IN_MACRO'!$D$14+('ENG_CAPEX'!$N$81*(1+'ENG_CAPEX'!$D$23*E16))-(('ENG_CAPEX'!$N$21+'ENG_CAPEX'!$N$42)*(1+'ENG_CAPEX'!$D$23*E16))-('ENG_WC'!$N$19*(1+AVERAGE('ENG_OPS'!$D$84:$P$84)*E16)*(1+F16))</f>
        <v/>
      </c>
      <c r="R16" s="36">
        <f>(('ENG_OPS'!$O$81*(1+AVERAGE('ENG_OPS'!$D$84:$P$84)*E16)*(1+F16))-('ENG_COST'!$O$266*(1+'IN_COST'!$D$8*E16))-('ENG_COST'!$O$268*(1+'IN_COST'!$D$9*E16))-('ENG_CAPEX'!$O$81*(1+'ENG_CAPEX'!$D$23*E16)))-MAX(0,(('ENG_OPS'!$O$81*(1+AVERAGE('ENG_OPS'!$D$84:$P$84)*E16)*(1+F16))-('ENG_COST'!$O$266*(1+'IN_COST'!$D$8*E16))-('ENG_COST'!$O$268*(1+'IN_COST'!$D$9*E16))-('ENG_CAPEX'!$O$81*(1+'ENG_CAPEX'!$D$23*E16))))*'IN_MACRO'!$D$14+('ENG_CAPEX'!$O$81*(1+'ENG_CAPEX'!$D$23*E16))-(('ENG_CAPEX'!$O$21+'ENG_CAPEX'!$O$42)*(1+'ENG_CAPEX'!$D$23*E16))-('ENG_WC'!$O$19*(1+AVERAGE('ENG_OPS'!$D$84:$P$84)*E16)*(1+F16))</f>
        <v/>
      </c>
      <c r="S16" s="36">
        <f>(('ENG_OPS'!$P$81*(1+AVERAGE('ENG_OPS'!$D$84:$P$84)*E16)*(1+F16))-('ENG_COST'!$P$266*(1+'IN_COST'!$D$8*E16))-('ENG_COST'!$P$268*(1+'IN_COST'!$D$9*E16))-('ENG_CAPEX'!$P$81*(1+'ENG_CAPEX'!$D$23*E16)))-MAX(0,(('ENG_OPS'!$P$81*(1+AVERAGE('ENG_OPS'!$D$84:$P$84)*E16)*(1+F16))-('ENG_COST'!$P$266*(1+'IN_COST'!$D$8*E16))-('ENG_COST'!$P$268*(1+'IN_COST'!$D$9*E16))-('ENG_CAPEX'!$P$81*(1+'ENG_CAPEX'!$D$23*E16))))*'IN_MACRO'!$D$14+('ENG_CAPEX'!$P$81*(1+'ENG_CAPEX'!$D$23*E16))-(('ENG_CAPEX'!$P$21+'ENG_CAPEX'!$P$42)*(1+'ENG_CAPEX'!$D$23*E16))-('ENG_WC'!$P$19*(1+AVERAGE('ENG_OPS'!$D$84:$P$84)*E16)*(1+F16))</f>
        <v/>
      </c>
      <c r="T16" s="30">
        <f>1</f>
        <v/>
      </c>
      <c r="U16" s="30">
        <f>T16/(1+'ENG_DCF'!$E$14+D16)</f>
        <v/>
      </c>
      <c r="V16" s="30">
        <f>U16/(1+'ENG_DCF'!$F$14+D16)</f>
        <v/>
      </c>
      <c r="W16" s="30">
        <f>V16/(1+'ENG_DCF'!$G$14+D16)</f>
        <v/>
      </c>
      <c r="X16" s="30">
        <f>W16/(1+'ENG_DCF'!$H$14+D16)</f>
        <v/>
      </c>
      <c r="Y16" s="30">
        <f>X16/(1+'ENG_DCF'!$I$14+D16)</f>
        <v/>
      </c>
      <c r="Z16" s="30">
        <f>Y16/(1+'ENG_DCF'!$J$14+D16)</f>
        <v/>
      </c>
      <c r="AA16" s="30">
        <f>Z16/(1+'ENG_DCF'!$K$14+D16)</f>
        <v/>
      </c>
      <c r="AB16" s="30">
        <f>AA16/(1+'ENG_DCF'!$L$14+D16)</f>
        <v/>
      </c>
      <c r="AC16" s="30">
        <f>AB16/(1+'ENG_DCF'!$M$14+D16)</f>
        <v/>
      </c>
      <c r="AD16" s="30">
        <f>AC16/(1+'ENG_DCF'!$N$14+D16)</f>
        <v/>
      </c>
      <c r="AE16" s="30">
        <f>AD16/(1+'ENG_DCF'!$O$14+D16)</f>
        <v/>
      </c>
      <c r="AF16" s="30">
        <f>AE16/(1+'ENG_DCF'!$P$14+D16)</f>
        <v/>
      </c>
      <c r="AG16" s="36">
        <f>(G16*T16+H16*U16+I16*V16+J16*W16+K16*X16+L16*Y16+M16*Z16+N16*AA16+O16*AB16+P16*AC16+Q16*AD16+R16*AE16+S16*AF16)+(IF('IN_MACRO'!$D$19=1,MAX(0,(S16+(('ENG_CAPEX'!$P$21+'ENG_CAPEX'!$P$42)*(1+'ENG_CAPEX'!$D$23*E16))))*(1+'IN_MACRO'!$D$18)/MAX(0.005,'ENG_DCF'!$P$14+D16-'IN_MACRO'!$D$18),(('ENG_OPS'!$P$81*(1+AVERAGE('ENG_OPS'!$D$84:$P$84)*E16)*(1+F16))-('ENG_COST'!$P$266*(1+'IN_COST'!$D$8*E16))-('ENG_COST'!$P$268*(1+'IN_COST'!$D$9*E16)))*'IN_MACRO'!$D$20))*AF16</f>
        <v/>
      </c>
    </row>
    <row r="17">
      <c r="A17" t="inlineStr">
        <is>
          <t>PR|1|0</t>
        </is>
      </c>
      <c r="D17" s="38">
        <f>'IN_SCEN'!$E$24</f>
        <v/>
      </c>
      <c r="E17" s="38">
        <f>0</f>
        <v/>
      </c>
      <c r="F17" s="38">
        <f>'IN_SCEN'!$D$26</f>
        <v/>
      </c>
      <c r="G17" s="36">
        <f>(('ENG_OPS'!$D$81*(1+AVERAGE('ENG_OPS'!$D$84:$P$84)*E17)*(1+F17))-('ENG_COST'!$D$266*(1+'IN_COST'!$D$8*E17))-('ENG_COST'!$D$268*(1+'IN_COST'!$D$9*E17))-('ENG_CAPEX'!$D$81*(1+'ENG_CAPEX'!$D$23*E17)))-MAX(0,(('ENG_OPS'!$D$81*(1+AVERAGE('ENG_OPS'!$D$84:$P$84)*E17)*(1+F17))-('ENG_COST'!$D$266*(1+'IN_COST'!$D$8*E17))-('ENG_COST'!$D$268*(1+'IN_COST'!$D$9*E17))-('ENG_CAPEX'!$D$81*(1+'ENG_CAPEX'!$D$23*E17))))*'IN_MACRO'!$D$14+('ENG_CAPEX'!$D$81*(1+'ENG_CAPEX'!$D$23*E17))-(('ENG_CAPEX'!$D$21+'ENG_CAPEX'!$D$42)*(1+'ENG_CAPEX'!$D$23*E17))-('ENG_WC'!$D$19*(1+AVERAGE('ENG_OPS'!$D$84:$P$84)*E17)*(1+F17))</f>
        <v/>
      </c>
      <c r="H17" s="36">
        <f>(('ENG_OPS'!$E$81*(1+AVERAGE('ENG_OPS'!$D$84:$P$84)*E17)*(1+F17))-('ENG_COST'!$E$266*(1+'IN_COST'!$D$8*E17))-('ENG_COST'!$E$268*(1+'IN_COST'!$D$9*E17))-('ENG_CAPEX'!$E$81*(1+'ENG_CAPEX'!$D$23*E17)))-MAX(0,(('ENG_OPS'!$E$81*(1+AVERAGE('ENG_OPS'!$D$84:$P$84)*E17)*(1+F17))-('ENG_COST'!$E$266*(1+'IN_COST'!$D$8*E17))-('ENG_COST'!$E$268*(1+'IN_COST'!$D$9*E17))-('ENG_CAPEX'!$E$81*(1+'ENG_CAPEX'!$D$23*E17))))*'IN_MACRO'!$D$14+('ENG_CAPEX'!$E$81*(1+'ENG_CAPEX'!$D$23*E17))-(('ENG_CAPEX'!$E$21+'ENG_CAPEX'!$E$42)*(1+'ENG_CAPEX'!$D$23*E17))-('ENG_WC'!$E$19*(1+AVERAGE('ENG_OPS'!$D$84:$P$84)*E17)*(1+F17))</f>
        <v/>
      </c>
      <c r="I17" s="36">
        <f>(('ENG_OPS'!$F$81*(1+AVERAGE('ENG_OPS'!$D$84:$P$84)*E17)*(1+F17))-('ENG_COST'!$F$266*(1+'IN_COST'!$D$8*E17))-('ENG_COST'!$F$268*(1+'IN_COST'!$D$9*E17))-('ENG_CAPEX'!$F$81*(1+'ENG_CAPEX'!$D$23*E17)))-MAX(0,(('ENG_OPS'!$F$81*(1+AVERAGE('ENG_OPS'!$D$84:$P$84)*E17)*(1+F17))-('ENG_COST'!$F$266*(1+'IN_COST'!$D$8*E17))-('ENG_COST'!$F$268*(1+'IN_COST'!$D$9*E17))-('ENG_CAPEX'!$F$81*(1+'ENG_CAPEX'!$D$23*E17))))*'IN_MACRO'!$D$14+('ENG_CAPEX'!$F$81*(1+'ENG_CAPEX'!$D$23*E17))-(('ENG_CAPEX'!$F$21+'ENG_CAPEX'!$F$42)*(1+'ENG_CAPEX'!$D$23*E17))-('ENG_WC'!$F$19*(1+AVERAGE('ENG_OPS'!$D$84:$P$84)*E17)*(1+F17))</f>
        <v/>
      </c>
      <c r="J17" s="36">
        <f>(('ENG_OPS'!$G$81*(1+AVERAGE('ENG_OPS'!$D$84:$P$84)*E17)*(1+F17))-('ENG_COST'!$G$266*(1+'IN_COST'!$D$8*E17))-('ENG_COST'!$G$268*(1+'IN_COST'!$D$9*E17))-('ENG_CAPEX'!$G$81*(1+'ENG_CAPEX'!$D$23*E17)))-MAX(0,(('ENG_OPS'!$G$81*(1+AVERAGE('ENG_OPS'!$D$84:$P$84)*E17)*(1+F17))-('ENG_COST'!$G$266*(1+'IN_COST'!$D$8*E17))-('ENG_COST'!$G$268*(1+'IN_COST'!$D$9*E17))-('ENG_CAPEX'!$G$81*(1+'ENG_CAPEX'!$D$23*E17))))*'IN_MACRO'!$D$14+('ENG_CAPEX'!$G$81*(1+'ENG_CAPEX'!$D$23*E17))-(('ENG_CAPEX'!$G$21+'ENG_CAPEX'!$G$42)*(1+'ENG_CAPEX'!$D$23*E17))-('ENG_WC'!$G$19*(1+AVERAGE('ENG_OPS'!$D$84:$P$84)*E17)*(1+F17))</f>
        <v/>
      </c>
      <c r="K17" s="36">
        <f>(('ENG_OPS'!$H$81*(1+AVERAGE('ENG_OPS'!$D$84:$P$84)*E17)*(1+F17))-('ENG_COST'!$H$266*(1+'IN_COST'!$D$8*E17))-('ENG_COST'!$H$268*(1+'IN_COST'!$D$9*E17))-('ENG_CAPEX'!$H$81*(1+'ENG_CAPEX'!$D$23*E17)))-MAX(0,(('ENG_OPS'!$H$81*(1+AVERAGE('ENG_OPS'!$D$84:$P$84)*E17)*(1+F17))-('ENG_COST'!$H$266*(1+'IN_COST'!$D$8*E17))-('ENG_COST'!$H$268*(1+'IN_COST'!$D$9*E17))-('ENG_CAPEX'!$H$81*(1+'ENG_CAPEX'!$D$23*E17))))*'IN_MACRO'!$D$14+('ENG_CAPEX'!$H$81*(1+'ENG_CAPEX'!$D$23*E17))-(('ENG_CAPEX'!$H$21+'ENG_CAPEX'!$H$42)*(1+'ENG_CAPEX'!$D$23*E17))-('ENG_WC'!$H$19*(1+AVERAGE('ENG_OPS'!$D$84:$P$84)*E17)*(1+F17))</f>
        <v/>
      </c>
      <c r="L17" s="36">
        <f>(('ENG_OPS'!$I$81*(1+AVERAGE('ENG_OPS'!$D$84:$P$84)*E17)*(1+F17))-('ENG_COST'!$I$266*(1+'IN_COST'!$D$8*E17))-('ENG_COST'!$I$268*(1+'IN_COST'!$D$9*E17))-('ENG_CAPEX'!$I$81*(1+'ENG_CAPEX'!$D$23*E17)))-MAX(0,(('ENG_OPS'!$I$81*(1+AVERAGE('ENG_OPS'!$D$84:$P$84)*E17)*(1+F17))-('ENG_COST'!$I$266*(1+'IN_COST'!$D$8*E17))-('ENG_COST'!$I$268*(1+'IN_COST'!$D$9*E17))-('ENG_CAPEX'!$I$81*(1+'ENG_CAPEX'!$D$23*E17))))*'IN_MACRO'!$D$14+('ENG_CAPEX'!$I$81*(1+'ENG_CAPEX'!$D$23*E17))-(('ENG_CAPEX'!$I$21+'ENG_CAPEX'!$I$42)*(1+'ENG_CAPEX'!$D$23*E17))-('ENG_WC'!$I$19*(1+AVERAGE('ENG_OPS'!$D$84:$P$84)*E17)*(1+F17))</f>
        <v/>
      </c>
      <c r="M17" s="36">
        <f>(('ENG_OPS'!$J$81*(1+AVERAGE('ENG_OPS'!$D$84:$P$84)*E17)*(1+F17))-('ENG_COST'!$J$266*(1+'IN_COST'!$D$8*E17))-('ENG_COST'!$J$268*(1+'IN_COST'!$D$9*E17))-('ENG_CAPEX'!$J$81*(1+'ENG_CAPEX'!$D$23*E17)))-MAX(0,(('ENG_OPS'!$J$81*(1+AVERAGE('ENG_OPS'!$D$84:$P$84)*E17)*(1+F17))-('ENG_COST'!$J$266*(1+'IN_COST'!$D$8*E17))-('ENG_COST'!$J$268*(1+'IN_COST'!$D$9*E17))-('ENG_CAPEX'!$J$81*(1+'ENG_CAPEX'!$D$23*E17))))*'IN_MACRO'!$D$14+('ENG_CAPEX'!$J$81*(1+'ENG_CAPEX'!$D$23*E17))-(('ENG_CAPEX'!$J$21+'ENG_CAPEX'!$J$42)*(1+'ENG_CAPEX'!$D$23*E17))-('ENG_WC'!$J$19*(1+AVERAGE('ENG_OPS'!$D$84:$P$84)*E17)*(1+F17))</f>
        <v/>
      </c>
      <c r="N17" s="36">
        <f>(('ENG_OPS'!$K$81*(1+AVERAGE('ENG_OPS'!$D$84:$P$84)*E17)*(1+F17))-('ENG_COST'!$K$266*(1+'IN_COST'!$D$8*E17))-('ENG_COST'!$K$268*(1+'IN_COST'!$D$9*E17))-('ENG_CAPEX'!$K$81*(1+'ENG_CAPEX'!$D$23*E17)))-MAX(0,(('ENG_OPS'!$K$81*(1+AVERAGE('ENG_OPS'!$D$84:$P$84)*E17)*(1+F17))-('ENG_COST'!$K$266*(1+'IN_COST'!$D$8*E17))-('ENG_COST'!$K$268*(1+'IN_COST'!$D$9*E17))-('ENG_CAPEX'!$K$81*(1+'ENG_CAPEX'!$D$23*E17))))*'IN_MACRO'!$D$14+('ENG_CAPEX'!$K$81*(1+'ENG_CAPEX'!$D$23*E17))-(('ENG_CAPEX'!$K$21+'ENG_CAPEX'!$K$42)*(1+'ENG_CAPEX'!$D$23*E17))-('ENG_WC'!$K$19*(1+AVERAGE('ENG_OPS'!$D$84:$P$84)*E17)*(1+F17))</f>
        <v/>
      </c>
      <c r="O17" s="36">
        <f>(('ENG_OPS'!$L$81*(1+AVERAGE('ENG_OPS'!$D$84:$P$84)*E17)*(1+F17))-('ENG_COST'!$L$266*(1+'IN_COST'!$D$8*E17))-('ENG_COST'!$L$268*(1+'IN_COST'!$D$9*E17))-('ENG_CAPEX'!$L$81*(1+'ENG_CAPEX'!$D$23*E17)))-MAX(0,(('ENG_OPS'!$L$81*(1+AVERAGE('ENG_OPS'!$D$84:$P$84)*E17)*(1+F17))-('ENG_COST'!$L$266*(1+'IN_COST'!$D$8*E17))-('ENG_COST'!$L$268*(1+'IN_COST'!$D$9*E17))-('ENG_CAPEX'!$L$81*(1+'ENG_CAPEX'!$D$23*E17))))*'IN_MACRO'!$D$14+('ENG_CAPEX'!$L$81*(1+'ENG_CAPEX'!$D$23*E17))-(('ENG_CAPEX'!$L$21+'ENG_CAPEX'!$L$42)*(1+'ENG_CAPEX'!$D$23*E17))-('ENG_WC'!$L$19*(1+AVERAGE('ENG_OPS'!$D$84:$P$84)*E17)*(1+F17))</f>
        <v/>
      </c>
      <c r="P17" s="36">
        <f>(('ENG_OPS'!$M$81*(1+AVERAGE('ENG_OPS'!$D$84:$P$84)*E17)*(1+F17))-('ENG_COST'!$M$266*(1+'IN_COST'!$D$8*E17))-('ENG_COST'!$M$268*(1+'IN_COST'!$D$9*E17))-('ENG_CAPEX'!$M$81*(1+'ENG_CAPEX'!$D$23*E17)))-MAX(0,(('ENG_OPS'!$M$81*(1+AVERAGE('ENG_OPS'!$D$84:$P$84)*E17)*(1+F17))-('ENG_COST'!$M$266*(1+'IN_COST'!$D$8*E17))-('ENG_COST'!$M$268*(1+'IN_COST'!$D$9*E17))-('ENG_CAPEX'!$M$81*(1+'ENG_CAPEX'!$D$23*E17))))*'IN_MACRO'!$D$14+('ENG_CAPEX'!$M$81*(1+'ENG_CAPEX'!$D$23*E17))-(('ENG_CAPEX'!$M$21+'ENG_CAPEX'!$M$42)*(1+'ENG_CAPEX'!$D$23*E17))-('ENG_WC'!$M$19*(1+AVERAGE('ENG_OPS'!$D$84:$P$84)*E17)*(1+F17))</f>
        <v/>
      </c>
      <c r="Q17" s="36">
        <f>(('ENG_OPS'!$N$81*(1+AVERAGE('ENG_OPS'!$D$84:$P$84)*E17)*(1+F17))-('ENG_COST'!$N$266*(1+'IN_COST'!$D$8*E17))-('ENG_COST'!$N$268*(1+'IN_COST'!$D$9*E17))-('ENG_CAPEX'!$N$81*(1+'ENG_CAPEX'!$D$23*E17)))-MAX(0,(('ENG_OPS'!$N$81*(1+AVERAGE('ENG_OPS'!$D$84:$P$84)*E17)*(1+F17))-('ENG_COST'!$N$266*(1+'IN_COST'!$D$8*E17))-('ENG_COST'!$N$268*(1+'IN_COST'!$D$9*E17))-('ENG_CAPEX'!$N$81*(1+'ENG_CAPEX'!$D$23*E17))))*'IN_MACRO'!$D$14+('ENG_CAPEX'!$N$81*(1+'ENG_CAPEX'!$D$23*E17))-(('ENG_CAPEX'!$N$21+'ENG_CAPEX'!$N$42)*(1+'ENG_CAPEX'!$D$23*E17))-('ENG_WC'!$N$19*(1+AVERAGE('ENG_OPS'!$D$84:$P$84)*E17)*(1+F17))</f>
        <v/>
      </c>
      <c r="R17" s="36">
        <f>(('ENG_OPS'!$O$81*(1+AVERAGE('ENG_OPS'!$D$84:$P$84)*E17)*(1+F17))-('ENG_COST'!$O$266*(1+'IN_COST'!$D$8*E17))-('ENG_COST'!$O$268*(1+'IN_COST'!$D$9*E17))-('ENG_CAPEX'!$O$81*(1+'ENG_CAPEX'!$D$23*E17)))-MAX(0,(('ENG_OPS'!$O$81*(1+AVERAGE('ENG_OPS'!$D$84:$P$84)*E17)*(1+F17))-('ENG_COST'!$O$266*(1+'IN_COST'!$D$8*E17))-('ENG_COST'!$O$268*(1+'IN_COST'!$D$9*E17))-('ENG_CAPEX'!$O$81*(1+'ENG_CAPEX'!$D$23*E17))))*'IN_MACRO'!$D$14+('ENG_CAPEX'!$O$81*(1+'ENG_CAPEX'!$D$23*E17))-(('ENG_CAPEX'!$O$21+'ENG_CAPEX'!$O$42)*(1+'ENG_CAPEX'!$D$23*E17))-('ENG_WC'!$O$19*(1+AVERAGE('ENG_OPS'!$D$84:$P$84)*E17)*(1+F17))</f>
        <v/>
      </c>
      <c r="S17" s="36">
        <f>(('ENG_OPS'!$P$81*(1+AVERAGE('ENG_OPS'!$D$84:$P$84)*E17)*(1+F17))-('ENG_COST'!$P$266*(1+'IN_COST'!$D$8*E17))-('ENG_COST'!$P$268*(1+'IN_COST'!$D$9*E17))-('ENG_CAPEX'!$P$81*(1+'ENG_CAPEX'!$D$23*E17)))-MAX(0,(('ENG_OPS'!$P$81*(1+AVERAGE('ENG_OPS'!$D$84:$P$84)*E17)*(1+F17))-('ENG_COST'!$P$266*(1+'IN_COST'!$D$8*E17))-('ENG_COST'!$P$268*(1+'IN_COST'!$D$9*E17))-('ENG_CAPEX'!$P$81*(1+'ENG_CAPEX'!$D$23*E17))))*'IN_MACRO'!$D$14+('ENG_CAPEX'!$P$81*(1+'ENG_CAPEX'!$D$23*E17))-(('ENG_CAPEX'!$P$21+'ENG_CAPEX'!$P$42)*(1+'ENG_CAPEX'!$D$23*E17))-('ENG_WC'!$P$19*(1+AVERAGE('ENG_OPS'!$D$84:$P$84)*E17)*(1+F17))</f>
        <v/>
      </c>
      <c r="T17" s="30">
        <f>1</f>
        <v/>
      </c>
      <c r="U17" s="30">
        <f>T17/(1+'ENG_DCF'!$E$14+D17)</f>
        <v/>
      </c>
      <c r="V17" s="30">
        <f>U17/(1+'ENG_DCF'!$F$14+D17)</f>
        <v/>
      </c>
      <c r="W17" s="30">
        <f>V17/(1+'ENG_DCF'!$G$14+D17)</f>
        <v/>
      </c>
      <c r="X17" s="30">
        <f>W17/(1+'ENG_DCF'!$H$14+D17)</f>
        <v/>
      </c>
      <c r="Y17" s="30">
        <f>X17/(1+'ENG_DCF'!$I$14+D17)</f>
        <v/>
      </c>
      <c r="Z17" s="30">
        <f>Y17/(1+'ENG_DCF'!$J$14+D17)</f>
        <v/>
      </c>
      <c r="AA17" s="30">
        <f>Z17/(1+'ENG_DCF'!$K$14+D17)</f>
        <v/>
      </c>
      <c r="AB17" s="30">
        <f>AA17/(1+'ENG_DCF'!$L$14+D17)</f>
        <v/>
      </c>
      <c r="AC17" s="30">
        <f>AB17/(1+'ENG_DCF'!$M$14+D17)</f>
        <v/>
      </c>
      <c r="AD17" s="30">
        <f>AC17/(1+'ENG_DCF'!$N$14+D17)</f>
        <v/>
      </c>
      <c r="AE17" s="30">
        <f>AD17/(1+'ENG_DCF'!$O$14+D17)</f>
        <v/>
      </c>
      <c r="AF17" s="30">
        <f>AE17/(1+'ENG_DCF'!$P$14+D17)</f>
        <v/>
      </c>
      <c r="AG17" s="36">
        <f>(G17*T17+H17*U17+I17*V17+J17*W17+K17*X17+L17*Y17+M17*Z17+N17*AA17+O17*AB17+P17*AC17+Q17*AD17+R17*AE17+S17*AF17)+(IF('IN_MACRO'!$D$19=1,MAX(0,(S17+(('ENG_CAPEX'!$P$21+'ENG_CAPEX'!$P$42)*(1+'ENG_CAPEX'!$D$23*E17))))*(1+'IN_MACRO'!$D$18)/MAX(0.005,'ENG_DCF'!$P$14+D17-'IN_MACRO'!$D$18),(('ENG_OPS'!$P$81*(1+AVERAGE('ENG_OPS'!$D$84:$P$84)*E17)*(1+F17))-('ENG_COST'!$P$266*(1+'IN_COST'!$D$8*E17))-('ENG_COST'!$P$268*(1+'IN_COST'!$D$9*E17)))*'IN_MACRO'!$D$20))*AF17</f>
        <v/>
      </c>
    </row>
    <row r="18">
      <c r="A18" t="inlineStr">
        <is>
          <t>FX|1|1</t>
        </is>
      </c>
      <c r="D18" s="38">
        <f>'IN_SCEN'!$E$24</f>
        <v/>
      </c>
      <c r="E18" s="38">
        <f>'IN_SCEN'!$E$25</f>
        <v/>
      </c>
      <c r="F18" s="38">
        <f>0</f>
        <v/>
      </c>
      <c r="G18" s="36">
        <f>(('ENG_OPS'!$D$81*(1+AVERAGE('ENG_OPS'!$D$84:$P$84)*E18)*(1+F18))-('ENG_COST'!$D$266*(1+'IN_COST'!$D$8*E18))-('ENG_COST'!$D$268*(1+'IN_COST'!$D$9*E18))-('ENG_CAPEX'!$D$81*(1+'ENG_CAPEX'!$D$23*E18)))-MAX(0,(('ENG_OPS'!$D$81*(1+AVERAGE('ENG_OPS'!$D$84:$P$84)*E18)*(1+F18))-('ENG_COST'!$D$266*(1+'IN_COST'!$D$8*E18))-('ENG_COST'!$D$268*(1+'IN_COST'!$D$9*E18))-('ENG_CAPEX'!$D$81*(1+'ENG_CAPEX'!$D$23*E18))))*'IN_MACRO'!$D$14+('ENG_CAPEX'!$D$81*(1+'ENG_CAPEX'!$D$23*E18))-(('ENG_CAPEX'!$D$21+'ENG_CAPEX'!$D$42)*(1+'ENG_CAPEX'!$D$23*E18))-('ENG_WC'!$D$19*(1+AVERAGE('ENG_OPS'!$D$84:$P$84)*E18)*(1+F18))</f>
        <v/>
      </c>
      <c r="H18" s="36">
        <f>(('ENG_OPS'!$E$81*(1+AVERAGE('ENG_OPS'!$D$84:$P$84)*E18)*(1+F18))-('ENG_COST'!$E$266*(1+'IN_COST'!$D$8*E18))-('ENG_COST'!$E$268*(1+'IN_COST'!$D$9*E18))-('ENG_CAPEX'!$E$81*(1+'ENG_CAPEX'!$D$23*E18)))-MAX(0,(('ENG_OPS'!$E$81*(1+AVERAGE('ENG_OPS'!$D$84:$P$84)*E18)*(1+F18))-('ENG_COST'!$E$266*(1+'IN_COST'!$D$8*E18))-('ENG_COST'!$E$268*(1+'IN_COST'!$D$9*E18))-('ENG_CAPEX'!$E$81*(1+'ENG_CAPEX'!$D$23*E18))))*'IN_MACRO'!$D$14+('ENG_CAPEX'!$E$81*(1+'ENG_CAPEX'!$D$23*E18))-(('ENG_CAPEX'!$E$21+'ENG_CAPEX'!$E$42)*(1+'ENG_CAPEX'!$D$23*E18))-('ENG_WC'!$E$19*(1+AVERAGE('ENG_OPS'!$D$84:$P$84)*E18)*(1+F18))</f>
        <v/>
      </c>
      <c r="I18" s="36">
        <f>(('ENG_OPS'!$F$81*(1+AVERAGE('ENG_OPS'!$D$84:$P$84)*E18)*(1+F18))-('ENG_COST'!$F$266*(1+'IN_COST'!$D$8*E18))-('ENG_COST'!$F$268*(1+'IN_COST'!$D$9*E18))-('ENG_CAPEX'!$F$81*(1+'ENG_CAPEX'!$D$23*E18)))-MAX(0,(('ENG_OPS'!$F$81*(1+AVERAGE('ENG_OPS'!$D$84:$P$84)*E18)*(1+F18))-('ENG_COST'!$F$266*(1+'IN_COST'!$D$8*E18))-('ENG_COST'!$F$268*(1+'IN_COST'!$D$9*E18))-('ENG_CAPEX'!$F$81*(1+'ENG_CAPEX'!$D$23*E18))))*'IN_MACRO'!$D$14+('ENG_CAPEX'!$F$81*(1+'ENG_CAPEX'!$D$23*E18))-(('ENG_CAPEX'!$F$21+'ENG_CAPEX'!$F$42)*(1+'ENG_CAPEX'!$D$23*E18))-('ENG_WC'!$F$19*(1+AVERAGE('ENG_OPS'!$D$84:$P$84)*E18)*(1+F18))</f>
        <v/>
      </c>
      <c r="J18" s="36">
        <f>(('ENG_OPS'!$G$81*(1+AVERAGE('ENG_OPS'!$D$84:$P$84)*E18)*(1+F18))-('ENG_COST'!$G$266*(1+'IN_COST'!$D$8*E18))-('ENG_COST'!$G$268*(1+'IN_COST'!$D$9*E18))-('ENG_CAPEX'!$G$81*(1+'ENG_CAPEX'!$D$23*E18)))-MAX(0,(('ENG_OPS'!$G$81*(1+AVERAGE('ENG_OPS'!$D$84:$P$84)*E18)*(1+F18))-('ENG_COST'!$G$266*(1+'IN_COST'!$D$8*E18))-('ENG_COST'!$G$268*(1+'IN_COST'!$D$9*E18))-('ENG_CAPEX'!$G$81*(1+'ENG_CAPEX'!$D$23*E18))))*'IN_MACRO'!$D$14+('ENG_CAPEX'!$G$81*(1+'ENG_CAPEX'!$D$23*E18))-(('ENG_CAPEX'!$G$21+'ENG_CAPEX'!$G$42)*(1+'ENG_CAPEX'!$D$23*E18))-('ENG_WC'!$G$19*(1+AVERAGE('ENG_OPS'!$D$84:$P$84)*E18)*(1+F18))</f>
        <v/>
      </c>
      <c r="K18" s="36">
        <f>(('ENG_OPS'!$H$81*(1+AVERAGE('ENG_OPS'!$D$84:$P$84)*E18)*(1+F18))-('ENG_COST'!$H$266*(1+'IN_COST'!$D$8*E18))-('ENG_COST'!$H$268*(1+'IN_COST'!$D$9*E18))-('ENG_CAPEX'!$H$81*(1+'ENG_CAPEX'!$D$23*E18)))-MAX(0,(('ENG_OPS'!$H$81*(1+AVERAGE('ENG_OPS'!$D$84:$P$84)*E18)*(1+F18))-('ENG_COST'!$H$266*(1+'IN_COST'!$D$8*E18))-('ENG_COST'!$H$268*(1+'IN_COST'!$D$9*E18))-('ENG_CAPEX'!$H$81*(1+'ENG_CAPEX'!$D$23*E18))))*'IN_MACRO'!$D$14+('ENG_CAPEX'!$H$81*(1+'ENG_CAPEX'!$D$23*E18))-(('ENG_CAPEX'!$H$21+'ENG_CAPEX'!$H$42)*(1+'ENG_CAPEX'!$D$23*E18))-('ENG_WC'!$H$19*(1+AVERAGE('ENG_OPS'!$D$84:$P$84)*E18)*(1+F18))</f>
        <v/>
      </c>
      <c r="L18" s="36">
        <f>(('ENG_OPS'!$I$81*(1+AVERAGE('ENG_OPS'!$D$84:$P$84)*E18)*(1+F18))-('ENG_COST'!$I$266*(1+'IN_COST'!$D$8*E18))-('ENG_COST'!$I$268*(1+'IN_COST'!$D$9*E18))-('ENG_CAPEX'!$I$81*(1+'ENG_CAPEX'!$D$23*E18)))-MAX(0,(('ENG_OPS'!$I$81*(1+AVERAGE('ENG_OPS'!$D$84:$P$84)*E18)*(1+F18))-('ENG_COST'!$I$266*(1+'IN_COST'!$D$8*E18))-('ENG_COST'!$I$268*(1+'IN_COST'!$D$9*E18))-('ENG_CAPEX'!$I$81*(1+'ENG_CAPEX'!$D$23*E18))))*'IN_MACRO'!$D$14+('ENG_CAPEX'!$I$81*(1+'ENG_CAPEX'!$D$23*E18))-(('ENG_CAPEX'!$I$21+'ENG_CAPEX'!$I$42)*(1+'ENG_CAPEX'!$D$23*E18))-('ENG_WC'!$I$19*(1+AVERAGE('ENG_OPS'!$D$84:$P$84)*E18)*(1+F18))</f>
        <v/>
      </c>
      <c r="M18" s="36">
        <f>(('ENG_OPS'!$J$81*(1+AVERAGE('ENG_OPS'!$D$84:$P$84)*E18)*(1+F18))-('ENG_COST'!$J$266*(1+'IN_COST'!$D$8*E18))-('ENG_COST'!$J$268*(1+'IN_COST'!$D$9*E18))-('ENG_CAPEX'!$J$81*(1+'ENG_CAPEX'!$D$23*E18)))-MAX(0,(('ENG_OPS'!$J$81*(1+AVERAGE('ENG_OPS'!$D$84:$P$84)*E18)*(1+F18))-('ENG_COST'!$J$266*(1+'IN_COST'!$D$8*E18))-('ENG_COST'!$J$268*(1+'IN_COST'!$D$9*E18))-('ENG_CAPEX'!$J$81*(1+'ENG_CAPEX'!$D$23*E18))))*'IN_MACRO'!$D$14+('ENG_CAPEX'!$J$81*(1+'ENG_CAPEX'!$D$23*E18))-(('ENG_CAPEX'!$J$21+'ENG_CAPEX'!$J$42)*(1+'ENG_CAPEX'!$D$23*E18))-('ENG_WC'!$J$19*(1+AVERAGE('ENG_OPS'!$D$84:$P$84)*E18)*(1+F18))</f>
        <v/>
      </c>
      <c r="N18" s="36">
        <f>(('ENG_OPS'!$K$81*(1+AVERAGE('ENG_OPS'!$D$84:$P$84)*E18)*(1+F18))-('ENG_COST'!$K$266*(1+'IN_COST'!$D$8*E18))-('ENG_COST'!$K$268*(1+'IN_COST'!$D$9*E18))-('ENG_CAPEX'!$K$81*(1+'ENG_CAPEX'!$D$23*E18)))-MAX(0,(('ENG_OPS'!$K$81*(1+AVERAGE('ENG_OPS'!$D$84:$P$84)*E18)*(1+F18))-('ENG_COST'!$K$266*(1+'IN_COST'!$D$8*E18))-('ENG_COST'!$K$268*(1+'IN_COST'!$D$9*E18))-('ENG_CAPEX'!$K$81*(1+'ENG_CAPEX'!$D$23*E18))))*'IN_MACRO'!$D$14+('ENG_CAPEX'!$K$81*(1+'ENG_CAPEX'!$D$23*E18))-(('ENG_CAPEX'!$K$21+'ENG_CAPEX'!$K$42)*(1+'ENG_CAPEX'!$D$23*E18))-('ENG_WC'!$K$19*(1+AVERAGE('ENG_OPS'!$D$84:$P$84)*E18)*(1+F18))</f>
        <v/>
      </c>
      <c r="O18" s="36">
        <f>(('ENG_OPS'!$L$81*(1+AVERAGE('ENG_OPS'!$D$84:$P$84)*E18)*(1+F18))-('ENG_COST'!$L$266*(1+'IN_COST'!$D$8*E18))-('ENG_COST'!$L$268*(1+'IN_COST'!$D$9*E18))-('ENG_CAPEX'!$L$81*(1+'ENG_CAPEX'!$D$23*E18)))-MAX(0,(('ENG_OPS'!$L$81*(1+AVERAGE('ENG_OPS'!$D$84:$P$84)*E18)*(1+F18))-('ENG_COST'!$L$266*(1+'IN_COST'!$D$8*E18))-('ENG_COST'!$L$268*(1+'IN_COST'!$D$9*E18))-('ENG_CAPEX'!$L$81*(1+'ENG_CAPEX'!$D$23*E18))))*'IN_MACRO'!$D$14+('ENG_CAPEX'!$L$81*(1+'ENG_CAPEX'!$D$23*E18))-(('ENG_CAPEX'!$L$21+'ENG_CAPEX'!$L$42)*(1+'ENG_CAPEX'!$D$23*E18))-('ENG_WC'!$L$19*(1+AVERAGE('ENG_OPS'!$D$84:$P$84)*E18)*(1+F18))</f>
        <v/>
      </c>
      <c r="P18" s="36">
        <f>(('ENG_OPS'!$M$81*(1+AVERAGE('ENG_OPS'!$D$84:$P$84)*E18)*(1+F18))-('ENG_COST'!$M$266*(1+'IN_COST'!$D$8*E18))-('ENG_COST'!$M$268*(1+'IN_COST'!$D$9*E18))-('ENG_CAPEX'!$M$81*(1+'ENG_CAPEX'!$D$23*E18)))-MAX(0,(('ENG_OPS'!$M$81*(1+AVERAGE('ENG_OPS'!$D$84:$P$84)*E18)*(1+F18))-('ENG_COST'!$M$266*(1+'IN_COST'!$D$8*E18))-('ENG_COST'!$M$268*(1+'IN_COST'!$D$9*E18))-('ENG_CAPEX'!$M$81*(1+'ENG_CAPEX'!$D$23*E18))))*'IN_MACRO'!$D$14+('ENG_CAPEX'!$M$81*(1+'ENG_CAPEX'!$D$23*E18))-(('ENG_CAPEX'!$M$21+'ENG_CAPEX'!$M$42)*(1+'ENG_CAPEX'!$D$23*E18))-('ENG_WC'!$M$19*(1+AVERAGE('ENG_OPS'!$D$84:$P$84)*E18)*(1+F18))</f>
        <v/>
      </c>
      <c r="Q18" s="36">
        <f>(('ENG_OPS'!$N$81*(1+AVERAGE('ENG_OPS'!$D$84:$P$84)*E18)*(1+F18))-('ENG_COST'!$N$266*(1+'IN_COST'!$D$8*E18))-('ENG_COST'!$N$268*(1+'IN_COST'!$D$9*E18))-('ENG_CAPEX'!$N$81*(1+'ENG_CAPEX'!$D$23*E18)))-MAX(0,(('ENG_OPS'!$N$81*(1+AVERAGE('ENG_OPS'!$D$84:$P$84)*E18)*(1+F18))-('ENG_COST'!$N$266*(1+'IN_COST'!$D$8*E18))-('ENG_COST'!$N$268*(1+'IN_COST'!$D$9*E18))-('ENG_CAPEX'!$N$81*(1+'ENG_CAPEX'!$D$23*E18))))*'IN_MACRO'!$D$14+('ENG_CAPEX'!$N$81*(1+'ENG_CAPEX'!$D$23*E18))-(('ENG_CAPEX'!$N$21+'ENG_CAPEX'!$N$42)*(1+'ENG_CAPEX'!$D$23*E18))-('ENG_WC'!$N$19*(1+AVERAGE('ENG_OPS'!$D$84:$P$84)*E18)*(1+F18))</f>
        <v/>
      </c>
      <c r="R18" s="36">
        <f>(('ENG_OPS'!$O$81*(1+AVERAGE('ENG_OPS'!$D$84:$P$84)*E18)*(1+F18))-('ENG_COST'!$O$266*(1+'IN_COST'!$D$8*E18))-('ENG_COST'!$O$268*(1+'IN_COST'!$D$9*E18))-('ENG_CAPEX'!$O$81*(1+'ENG_CAPEX'!$D$23*E18)))-MAX(0,(('ENG_OPS'!$O$81*(1+AVERAGE('ENG_OPS'!$D$84:$P$84)*E18)*(1+F18))-('ENG_COST'!$O$266*(1+'IN_COST'!$D$8*E18))-('ENG_COST'!$O$268*(1+'IN_COST'!$D$9*E18))-('ENG_CAPEX'!$O$81*(1+'ENG_CAPEX'!$D$23*E18))))*'IN_MACRO'!$D$14+('ENG_CAPEX'!$O$81*(1+'ENG_CAPEX'!$D$23*E18))-(('ENG_CAPEX'!$O$21+'ENG_CAPEX'!$O$42)*(1+'ENG_CAPEX'!$D$23*E18))-('ENG_WC'!$O$19*(1+AVERAGE('ENG_OPS'!$D$84:$P$84)*E18)*(1+F18))</f>
        <v/>
      </c>
      <c r="S18" s="36">
        <f>(('ENG_OPS'!$P$81*(1+AVERAGE('ENG_OPS'!$D$84:$P$84)*E18)*(1+F18))-('ENG_COST'!$P$266*(1+'IN_COST'!$D$8*E18))-('ENG_COST'!$P$268*(1+'IN_COST'!$D$9*E18))-('ENG_CAPEX'!$P$81*(1+'ENG_CAPEX'!$D$23*E18)))-MAX(0,(('ENG_OPS'!$P$81*(1+AVERAGE('ENG_OPS'!$D$84:$P$84)*E18)*(1+F18))-('ENG_COST'!$P$266*(1+'IN_COST'!$D$8*E18))-('ENG_COST'!$P$268*(1+'IN_COST'!$D$9*E18))-('ENG_CAPEX'!$P$81*(1+'ENG_CAPEX'!$D$23*E18))))*'IN_MACRO'!$D$14+('ENG_CAPEX'!$P$81*(1+'ENG_CAPEX'!$D$23*E18))-(('ENG_CAPEX'!$P$21+'ENG_CAPEX'!$P$42)*(1+'ENG_CAPEX'!$D$23*E18))-('ENG_WC'!$P$19*(1+AVERAGE('ENG_OPS'!$D$84:$P$84)*E18)*(1+F18))</f>
        <v/>
      </c>
      <c r="T18" s="30">
        <f>1</f>
        <v/>
      </c>
      <c r="U18" s="30">
        <f>T18/(1+'ENG_DCF'!$E$14+D18)</f>
        <v/>
      </c>
      <c r="V18" s="30">
        <f>U18/(1+'ENG_DCF'!$F$14+D18)</f>
        <v/>
      </c>
      <c r="W18" s="30">
        <f>V18/(1+'ENG_DCF'!$G$14+D18)</f>
        <v/>
      </c>
      <c r="X18" s="30">
        <f>W18/(1+'ENG_DCF'!$H$14+D18)</f>
        <v/>
      </c>
      <c r="Y18" s="30">
        <f>X18/(1+'ENG_DCF'!$I$14+D18)</f>
        <v/>
      </c>
      <c r="Z18" s="30">
        <f>Y18/(1+'ENG_DCF'!$J$14+D18)</f>
        <v/>
      </c>
      <c r="AA18" s="30">
        <f>Z18/(1+'ENG_DCF'!$K$14+D18)</f>
        <v/>
      </c>
      <c r="AB18" s="30">
        <f>AA18/(1+'ENG_DCF'!$L$14+D18)</f>
        <v/>
      </c>
      <c r="AC18" s="30">
        <f>AB18/(1+'ENG_DCF'!$M$14+D18)</f>
        <v/>
      </c>
      <c r="AD18" s="30">
        <f>AC18/(1+'ENG_DCF'!$N$14+D18)</f>
        <v/>
      </c>
      <c r="AE18" s="30">
        <f>AD18/(1+'ENG_DCF'!$O$14+D18)</f>
        <v/>
      </c>
      <c r="AF18" s="30">
        <f>AE18/(1+'ENG_DCF'!$P$14+D18)</f>
        <v/>
      </c>
      <c r="AG18" s="36">
        <f>(G18*T18+H18*U18+I18*V18+J18*W18+K18*X18+L18*Y18+M18*Z18+N18*AA18+O18*AB18+P18*AC18+Q18*AD18+R18*AE18+S18*AF18)+(IF('IN_MACRO'!$D$19=1,MAX(0,(S18+(('ENG_CAPEX'!$P$21+'ENG_CAPEX'!$P$42)*(1+'ENG_CAPEX'!$D$23*E18))))*(1+'IN_MACRO'!$D$18)/MAX(0.005,'ENG_DCF'!$P$14+D18-'IN_MACRO'!$D$18),(('ENG_OPS'!$P$81*(1+AVERAGE('ENG_OPS'!$D$84:$P$84)*E18)*(1+F18))-('ENG_COST'!$P$266*(1+'IN_COST'!$D$8*E18))-('ENG_COST'!$P$268*(1+'IN_COST'!$D$9*E18)))*'IN_MACRO'!$D$20))*AF18</f>
        <v/>
      </c>
    </row>
    <row r="19">
      <c r="A19" t="inlineStr">
        <is>
          <t>PR|1|1</t>
        </is>
      </c>
      <c r="D19" s="38">
        <f>'IN_SCEN'!$E$24</f>
        <v/>
      </c>
      <c r="E19" s="38">
        <f>0</f>
        <v/>
      </c>
      <c r="F19" s="38">
        <f>'IN_SCEN'!$E$26</f>
        <v/>
      </c>
      <c r="G19" s="36">
        <f>(('ENG_OPS'!$D$81*(1+AVERAGE('ENG_OPS'!$D$84:$P$84)*E19)*(1+F19))-('ENG_COST'!$D$266*(1+'IN_COST'!$D$8*E19))-('ENG_COST'!$D$268*(1+'IN_COST'!$D$9*E19))-('ENG_CAPEX'!$D$81*(1+'ENG_CAPEX'!$D$23*E19)))-MAX(0,(('ENG_OPS'!$D$81*(1+AVERAGE('ENG_OPS'!$D$84:$P$84)*E19)*(1+F19))-('ENG_COST'!$D$266*(1+'IN_COST'!$D$8*E19))-('ENG_COST'!$D$268*(1+'IN_COST'!$D$9*E19))-('ENG_CAPEX'!$D$81*(1+'ENG_CAPEX'!$D$23*E19))))*'IN_MACRO'!$D$14+('ENG_CAPEX'!$D$81*(1+'ENG_CAPEX'!$D$23*E19))-(('ENG_CAPEX'!$D$21+'ENG_CAPEX'!$D$42)*(1+'ENG_CAPEX'!$D$23*E19))-('ENG_WC'!$D$19*(1+AVERAGE('ENG_OPS'!$D$84:$P$84)*E19)*(1+F19))</f>
        <v/>
      </c>
      <c r="H19" s="36">
        <f>(('ENG_OPS'!$E$81*(1+AVERAGE('ENG_OPS'!$D$84:$P$84)*E19)*(1+F19))-('ENG_COST'!$E$266*(1+'IN_COST'!$D$8*E19))-('ENG_COST'!$E$268*(1+'IN_COST'!$D$9*E19))-('ENG_CAPEX'!$E$81*(1+'ENG_CAPEX'!$D$23*E19)))-MAX(0,(('ENG_OPS'!$E$81*(1+AVERAGE('ENG_OPS'!$D$84:$P$84)*E19)*(1+F19))-('ENG_COST'!$E$266*(1+'IN_COST'!$D$8*E19))-('ENG_COST'!$E$268*(1+'IN_COST'!$D$9*E19))-('ENG_CAPEX'!$E$81*(1+'ENG_CAPEX'!$D$23*E19))))*'IN_MACRO'!$D$14+('ENG_CAPEX'!$E$81*(1+'ENG_CAPEX'!$D$23*E19))-(('ENG_CAPEX'!$E$21+'ENG_CAPEX'!$E$42)*(1+'ENG_CAPEX'!$D$23*E19))-('ENG_WC'!$E$19*(1+AVERAGE('ENG_OPS'!$D$84:$P$84)*E19)*(1+F19))</f>
        <v/>
      </c>
      <c r="I19" s="36">
        <f>(('ENG_OPS'!$F$81*(1+AVERAGE('ENG_OPS'!$D$84:$P$84)*E19)*(1+F19))-('ENG_COST'!$F$266*(1+'IN_COST'!$D$8*E19))-('ENG_COST'!$F$268*(1+'IN_COST'!$D$9*E19))-('ENG_CAPEX'!$F$81*(1+'ENG_CAPEX'!$D$23*E19)))-MAX(0,(('ENG_OPS'!$F$81*(1+AVERAGE('ENG_OPS'!$D$84:$P$84)*E19)*(1+F19))-('ENG_COST'!$F$266*(1+'IN_COST'!$D$8*E19))-('ENG_COST'!$F$268*(1+'IN_COST'!$D$9*E19))-('ENG_CAPEX'!$F$81*(1+'ENG_CAPEX'!$D$23*E19))))*'IN_MACRO'!$D$14+('ENG_CAPEX'!$F$81*(1+'ENG_CAPEX'!$D$23*E19))-(('ENG_CAPEX'!$F$21+'ENG_CAPEX'!$F$42)*(1+'ENG_CAPEX'!$D$23*E19))-('ENG_WC'!$F$19*(1+AVERAGE('ENG_OPS'!$D$84:$P$84)*E19)*(1+F19))</f>
        <v/>
      </c>
      <c r="J19" s="36">
        <f>(('ENG_OPS'!$G$81*(1+AVERAGE('ENG_OPS'!$D$84:$P$84)*E19)*(1+F19))-('ENG_COST'!$G$266*(1+'IN_COST'!$D$8*E19))-('ENG_COST'!$G$268*(1+'IN_COST'!$D$9*E19))-('ENG_CAPEX'!$G$81*(1+'ENG_CAPEX'!$D$23*E19)))-MAX(0,(('ENG_OPS'!$G$81*(1+AVERAGE('ENG_OPS'!$D$84:$P$84)*E19)*(1+F19))-('ENG_COST'!$G$266*(1+'IN_COST'!$D$8*E19))-('ENG_COST'!$G$268*(1+'IN_COST'!$D$9*E19))-('ENG_CAPEX'!$G$81*(1+'ENG_CAPEX'!$D$23*E19))))*'IN_MACRO'!$D$14+('ENG_CAPEX'!$G$81*(1+'ENG_CAPEX'!$D$23*E19))-(('ENG_CAPEX'!$G$21+'ENG_CAPEX'!$G$42)*(1+'ENG_CAPEX'!$D$23*E19))-('ENG_WC'!$G$19*(1+AVERAGE('ENG_OPS'!$D$84:$P$84)*E19)*(1+F19))</f>
        <v/>
      </c>
      <c r="K19" s="36">
        <f>(('ENG_OPS'!$H$81*(1+AVERAGE('ENG_OPS'!$D$84:$P$84)*E19)*(1+F19))-('ENG_COST'!$H$266*(1+'IN_COST'!$D$8*E19))-('ENG_COST'!$H$268*(1+'IN_COST'!$D$9*E19))-('ENG_CAPEX'!$H$81*(1+'ENG_CAPEX'!$D$23*E19)))-MAX(0,(('ENG_OPS'!$H$81*(1+AVERAGE('ENG_OPS'!$D$84:$P$84)*E19)*(1+F19))-('ENG_COST'!$H$266*(1+'IN_COST'!$D$8*E19))-('ENG_COST'!$H$268*(1+'IN_COST'!$D$9*E19))-('ENG_CAPEX'!$H$81*(1+'ENG_CAPEX'!$D$23*E19))))*'IN_MACRO'!$D$14+('ENG_CAPEX'!$H$81*(1+'ENG_CAPEX'!$D$23*E19))-(('ENG_CAPEX'!$H$21+'ENG_CAPEX'!$H$42)*(1+'ENG_CAPEX'!$D$23*E19))-('ENG_WC'!$H$19*(1+AVERAGE('ENG_OPS'!$D$84:$P$84)*E19)*(1+F19))</f>
        <v/>
      </c>
      <c r="L19" s="36">
        <f>(('ENG_OPS'!$I$81*(1+AVERAGE('ENG_OPS'!$D$84:$P$84)*E19)*(1+F19))-('ENG_COST'!$I$266*(1+'IN_COST'!$D$8*E19))-('ENG_COST'!$I$268*(1+'IN_COST'!$D$9*E19))-('ENG_CAPEX'!$I$81*(1+'ENG_CAPEX'!$D$23*E19)))-MAX(0,(('ENG_OPS'!$I$81*(1+AVERAGE('ENG_OPS'!$D$84:$P$84)*E19)*(1+F19))-('ENG_COST'!$I$266*(1+'IN_COST'!$D$8*E19))-('ENG_COST'!$I$268*(1+'IN_COST'!$D$9*E19))-('ENG_CAPEX'!$I$81*(1+'ENG_CAPEX'!$D$23*E19))))*'IN_MACRO'!$D$14+('ENG_CAPEX'!$I$81*(1+'ENG_CAPEX'!$D$23*E19))-(('ENG_CAPEX'!$I$21+'ENG_CAPEX'!$I$42)*(1+'ENG_CAPEX'!$D$23*E19))-('ENG_WC'!$I$19*(1+AVERAGE('ENG_OPS'!$D$84:$P$84)*E19)*(1+F19))</f>
        <v/>
      </c>
      <c r="M19" s="36">
        <f>(('ENG_OPS'!$J$81*(1+AVERAGE('ENG_OPS'!$D$84:$P$84)*E19)*(1+F19))-('ENG_COST'!$J$266*(1+'IN_COST'!$D$8*E19))-('ENG_COST'!$J$268*(1+'IN_COST'!$D$9*E19))-('ENG_CAPEX'!$J$81*(1+'ENG_CAPEX'!$D$23*E19)))-MAX(0,(('ENG_OPS'!$J$81*(1+AVERAGE('ENG_OPS'!$D$84:$P$84)*E19)*(1+F19))-('ENG_COST'!$J$266*(1+'IN_COST'!$D$8*E19))-('ENG_COST'!$J$268*(1+'IN_COST'!$D$9*E19))-('ENG_CAPEX'!$J$81*(1+'ENG_CAPEX'!$D$23*E19))))*'IN_MACRO'!$D$14+('ENG_CAPEX'!$J$81*(1+'ENG_CAPEX'!$D$23*E19))-(('ENG_CAPEX'!$J$21+'ENG_CAPEX'!$J$42)*(1+'ENG_CAPEX'!$D$23*E19))-('ENG_WC'!$J$19*(1+AVERAGE('ENG_OPS'!$D$84:$P$84)*E19)*(1+F19))</f>
        <v/>
      </c>
      <c r="N19" s="36">
        <f>(('ENG_OPS'!$K$81*(1+AVERAGE('ENG_OPS'!$D$84:$P$84)*E19)*(1+F19))-('ENG_COST'!$K$266*(1+'IN_COST'!$D$8*E19))-('ENG_COST'!$K$268*(1+'IN_COST'!$D$9*E19))-('ENG_CAPEX'!$K$81*(1+'ENG_CAPEX'!$D$23*E19)))-MAX(0,(('ENG_OPS'!$K$81*(1+AVERAGE('ENG_OPS'!$D$84:$P$84)*E19)*(1+F19))-('ENG_COST'!$K$266*(1+'IN_COST'!$D$8*E19))-('ENG_COST'!$K$268*(1+'IN_COST'!$D$9*E19))-('ENG_CAPEX'!$K$81*(1+'ENG_CAPEX'!$D$23*E19))))*'IN_MACRO'!$D$14+('ENG_CAPEX'!$K$81*(1+'ENG_CAPEX'!$D$23*E19))-(('ENG_CAPEX'!$K$21+'ENG_CAPEX'!$K$42)*(1+'ENG_CAPEX'!$D$23*E19))-('ENG_WC'!$K$19*(1+AVERAGE('ENG_OPS'!$D$84:$P$84)*E19)*(1+F19))</f>
        <v/>
      </c>
      <c r="O19" s="36">
        <f>(('ENG_OPS'!$L$81*(1+AVERAGE('ENG_OPS'!$D$84:$P$84)*E19)*(1+F19))-('ENG_COST'!$L$266*(1+'IN_COST'!$D$8*E19))-('ENG_COST'!$L$268*(1+'IN_COST'!$D$9*E19))-('ENG_CAPEX'!$L$81*(1+'ENG_CAPEX'!$D$23*E19)))-MAX(0,(('ENG_OPS'!$L$81*(1+AVERAGE('ENG_OPS'!$D$84:$P$84)*E19)*(1+F19))-('ENG_COST'!$L$266*(1+'IN_COST'!$D$8*E19))-('ENG_COST'!$L$268*(1+'IN_COST'!$D$9*E19))-('ENG_CAPEX'!$L$81*(1+'ENG_CAPEX'!$D$23*E19))))*'IN_MACRO'!$D$14+('ENG_CAPEX'!$L$81*(1+'ENG_CAPEX'!$D$23*E19))-(('ENG_CAPEX'!$L$21+'ENG_CAPEX'!$L$42)*(1+'ENG_CAPEX'!$D$23*E19))-('ENG_WC'!$L$19*(1+AVERAGE('ENG_OPS'!$D$84:$P$84)*E19)*(1+F19))</f>
        <v/>
      </c>
      <c r="P19" s="36">
        <f>(('ENG_OPS'!$M$81*(1+AVERAGE('ENG_OPS'!$D$84:$P$84)*E19)*(1+F19))-('ENG_COST'!$M$266*(1+'IN_COST'!$D$8*E19))-('ENG_COST'!$M$268*(1+'IN_COST'!$D$9*E19))-('ENG_CAPEX'!$M$81*(1+'ENG_CAPEX'!$D$23*E19)))-MAX(0,(('ENG_OPS'!$M$81*(1+AVERAGE('ENG_OPS'!$D$84:$P$84)*E19)*(1+F19))-('ENG_COST'!$M$266*(1+'IN_COST'!$D$8*E19))-('ENG_COST'!$M$268*(1+'IN_COST'!$D$9*E19))-('ENG_CAPEX'!$M$81*(1+'ENG_CAPEX'!$D$23*E19))))*'IN_MACRO'!$D$14+('ENG_CAPEX'!$M$81*(1+'ENG_CAPEX'!$D$23*E19))-(('ENG_CAPEX'!$M$21+'ENG_CAPEX'!$M$42)*(1+'ENG_CAPEX'!$D$23*E19))-('ENG_WC'!$M$19*(1+AVERAGE('ENG_OPS'!$D$84:$P$84)*E19)*(1+F19))</f>
        <v/>
      </c>
      <c r="Q19" s="36">
        <f>(('ENG_OPS'!$N$81*(1+AVERAGE('ENG_OPS'!$D$84:$P$84)*E19)*(1+F19))-('ENG_COST'!$N$266*(1+'IN_COST'!$D$8*E19))-('ENG_COST'!$N$268*(1+'IN_COST'!$D$9*E19))-('ENG_CAPEX'!$N$81*(1+'ENG_CAPEX'!$D$23*E19)))-MAX(0,(('ENG_OPS'!$N$81*(1+AVERAGE('ENG_OPS'!$D$84:$P$84)*E19)*(1+F19))-('ENG_COST'!$N$266*(1+'IN_COST'!$D$8*E19))-('ENG_COST'!$N$268*(1+'IN_COST'!$D$9*E19))-('ENG_CAPEX'!$N$81*(1+'ENG_CAPEX'!$D$23*E19))))*'IN_MACRO'!$D$14+('ENG_CAPEX'!$N$81*(1+'ENG_CAPEX'!$D$23*E19))-(('ENG_CAPEX'!$N$21+'ENG_CAPEX'!$N$42)*(1+'ENG_CAPEX'!$D$23*E19))-('ENG_WC'!$N$19*(1+AVERAGE('ENG_OPS'!$D$84:$P$84)*E19)*(1+F19))</f>
        <v/>
      </c>
      <c r="R19" s="36">
        <f>(('ENG_OPS'!$O$81*(1+AVERAGE('ENG_OPS'!$D$84:$P$84)*E19)*(1+F19))-('ENG_COST'!$O$266*(1+'IN_COST'!$D$8*E19))-('ENG_COST'!$O$268*(1+'IN_COST'!$D$9*E19))-('ENG_CAPEX'!$O$81*(1+'ENG_CAPEX'!$D$23*E19)))-MAX(0,(('ENG_OPS'!$O$81*(1+AVERAGE('ENG_OPS'!$D$84:$P$84)*E19)*(1+F19))-('ENG_COST'!$O$266*(1+'IN_COST'!$D$8*E19))-('ENG_COST'!$O$268*(1+'IN_COST'!$D$9*E19))-('ENG_CAPEX'!$O$81*(1+'ENG_CAPEX'!$D$23*E19))))*'IN_MACRO'!$D$14+('ENG_CAPEX'!$O$81*(1+'ENG_CAPEX'!$D$23*E19))-(('ENG_CAPEX'!$O$21+'ENG_CAPEX'!$O$42)*(1+'ENG_CAPEX'!$D$23*E19))-('ENG_WC'!$O$19*(1+AVERAGE('ENG_OPS'!$D$84:$P$84)*E19)*(1+F19))</f>
        <v/>
      </c>
      <c r="S19" s="36">
        <f>(('ENG_OPS'!$P$81*(1+AVERAGE('ENG_OPS'!$D$84:$P$84)*E19)*(1+F19))-('ENG_COST'!$P$266*(1+'IN_COST'!$D$8*E19))-('ENG_COST'!$P$268*(1+'IN_COST'!$D$9*E19))-('ENG_CAPEX'!$P$81*(1+'ENG_CAPEX'!$D$23*E19)))-MAX(0,(('ENG_OPS'!$P$81*(1+AVERAGE('ENG_OPS'!$D$84:$P$84)*E19)*(1+F19))-('ENG_COST'!$P$266*(1+'IN_COST'!$D$8*E19))-('ENG_COST'!$P$268*(1+'IN_COST'!$D$9*E19))-('ENG_CAPEX'!$P$81*(1+'ENG_CAPEX'!$D$23*E19))))*'IN_MACRO'!$D$14+('ENG_CAPEX'!$P$81*(1+'ENG_CAPEX'!$D$23*E19))-(('ENG_CAPEX'!$P$21+'ENG_CAPEX'!$P$42)*(1+'ENG_CAPEX'!$D$23*E19))-('ENG_WC'!$P$19*(1+AVERAGE('ENG_OPS'!$D$84:$P$84)*E19)*(1+F19))</f>
        <v/>
      </c>
      <c r="T19" s="30">
        <f>1</f>
        <v/>
      </c>
      <c r="U19" s="30">
        <f>T19/(1+'ENG_DCF'!$E$14+D19)</f>
        <v/>
      </c>
      <c r="V19" s="30">
        <f>U19/(1+'ENG_DCF'!$F$14+D19)</f>
        <v/>
      </c>
      <c r="W19" s="30">
        <f>V19/(1+'ENG_DCF'!$G$14+D19)</f>
        <v/>
      </c>
      <c r="X19" s="30">
        <f>W19/(1+'ENG_DCF'!$H$14+D19)</f>
        <v/>
      </c>
      <c r="Y19" s="30">
        <f>X19/(1+'ENG_DCF'!$I$14+D19)</f>
        <v/>
      </c>
      <c r="Z19" s="30">
        <f>Y19/(1+'ENG_DCF'!$J$14+D19)</f>
        <v/>
      </c>
      <c r="AA19" s="30">
        <f>Z19/(1+'ENG_DCF'!$K$14+D19)</f>
        <v/>
      </c>
      <c r="AB19" s="30">
        <f>AA19/(1+'ENG_DCF'!$L$14+D19)</f>
        <v/>
      </c>
      <c r="AC19" s="30">
        <f>AB19/(1+'ENG_DCF'!$M$14+D19)</f>
        <v/>
      </c>
      <c r="AD19" s="30">
        <f>AC19/(1+'ENG_DCF'!$N$14+D19)</f>
        <v/>
      </c>
      <c r="AE19" s="30">
        <f>AD19/(1+'ENG_DCF'!$O$14+D19)</f>
        <v/>
      </c>
      <c r="AF19" s="30">
        <f>AE19/(1+'ENG_DCF'!$P$14+D19)</f>
        <v/>
      </c>
      <c r="AG19" s="36">
        <f>(G19*T19+H19*U19+I19*V19+J19*W19+K19*X19+L19*Y19+M19*Z19+N19*AA19+O19*AB19+P19*AC19+Q19*AD19+R19*AE19+S19*AF19)+(IF('IN_MACRO'!$D$19=1,MAX(0,(S19+(('ENG_CAPEX'!$P$21+'ENG_CAPEX'!$P$42)*(1+'ENG_CAPEX'!$D$23*E19))))*(1+'IN_MACRO'!$D$18)/MAX(0.005,'ENG_DCF'!$P$14+D19-'IN_MACRO'!$D$18),(('ENG_OPS'!$P$81*(1+AVERAGE('ENG_OPS'!$D$84:$P$84)*E19)*(1+F19))-('ENG_COST'!$P$266*(1+'IN_COST'!$D$8*E19))-('ENG_COST'!$P$268*(1+'IN_COST'!$D$9*E19)))*'IN_MACRO'!$D$20))*AF19</f>
        <v/>
      </c>
    </row>
    <row r="20">
      <c r="A20" t="inlineStr">
        <is>
          <t>FX|1|2</t>
        </is>
      </c>
      <c r="D20" s="38">
        <f>'IN_SCEN'!$E$24</f>
        <v/>
      </c>
      <c r="E20" s="38">
        <f>'IN_SCEN'!$F$25</f>
        <v/>
      </c>
      <c r="F20" s="38">
        <f>0</f>
        <v/>
      </c>
      <c r="G20" s="36">
        <f>(('ENG_OPS'!$D$81*(1+AVERAGE('ENG_OPS'!$D$84:$P$84)*E20)*(1+F20))-('ENG_COST'!$D$266*(1+'IN_COST'!$D$8*E20))-('ENG_COST'!$D$268*(1+'IN_COST'!$D$9*E20))-('ENG_CAPEX'!$D$81*(1+'ENG_CAPEX'!$D$23*E20)))-MAX(0,(('ENG_OPS'!$D$81*(1+AVERAGE('ENG_OPS'!$D$84:$P$84)*E20)*(1+F20))-('ENG_COST'!$D$266*(1+'IN_COST'!$D$8*E20))-('ENG_COST'!$D$268*(1+'IN_COST'!$D$9*E20))-('ENG_CAPEX'!$D$81*(1+'ENG_CAPEX'!$D$23*E20))))*'IN_MACRO'!$D$14+('ENG_CAPEX'!$D$81*(1+'ENG_CAPEX'!$D$23*E20))-(('ENG_CAPEX'!$D$21+'ENG_CAPEX'!$D$42)*(1+'ENG_CAPEX'!$D$23*E20))-('ENG_WC'!$D$19*(1+AVERAGE('ENG_OPS'!$D$84:$P$84)*E20)*(1+F20))</f>
        <v/>
      </c>
      <c r="H20" s="36">
        <f>(('ENG_OPS'!$E$81*(1+AVERAGE('ENG_OPS'!$D$84:$P$84)*E20)*(1+F20))-('ENG_COST'!$E$266*(1+'IN_COST'!$D$8*E20))-('ENG_COST'!$E$268*(1+'IN_COST'!$D$9*E20))-('ENG_CAPEX'!$E$81*(1+'ENG_CAPEX'!$D$23*E20)))-MAX(0,(('ENG_OPS'!$E$81*(1+AVERAGE('ENG_OPS'!$D$84:$P$84)*E20)*(1+F20))-('ENG_COST'!$E$266*(1+'IN_COST'!$D$8*E20))-('ENG_COST'!$E$268*(1+'IN_COST'!$D$9*E20))-('ENG_CAPEX'!$E$81*(1+'ENG_CAPEX'!$D$23*E20))))*'IN_MACRO'!$D$14+('ENG_CAPEX'!$E$81*(1+'ENG_CAPEX'!$D$23*E20))-(('ENG_CAPEX'!$E$21+'ENG_CAPEX'!$E$42)*(1+'ENG_CAPEX'!$D$23*E20))-('ENG_WC'!$E$19*(1+AVERAGE('ENG_OPS'!$D$84:$P$84)*E20)*(1+F20))</f>
        <v/>
      </c>
      <c r="I20" s="36">
        <f>(('ENG_OPS'!$F$81*(1+AVERAGE('ENG_OPS'!$D$84:$P$84)*E20)*(1+F20))-('ENG_COST'!$F$266*(1+'IN_COST'!$D$8*E20))-('ENG_COST'!$F$268*(1+'IN_COST'!$D$9*E20))-('ENG_CAPEX'!$F$81*(1+'ENG_CAPEX'!$D$23*E20)))-MAX(0,(('ENG_OPS'!$F$81*(1+AVERAGE('ENG_OPS'!$D$84:$P$84)*E20)*(1+F20))-('ENG_COST'!$F$266*(1+'IN_COST'!$D$8*E20))-('ENG_COST'!$F$268*(1+'IN_COST'!$D$9*E20))-('ENG_CAPEX'!$F$81*(1+'ENG_CAPEX'!$D$23*E20))))*'IN_MACRO'!$D$14+('ENG_CAPEX'!$F$81*(1+'ENG_CAPEX'!$D$23*E20))-(('ENG_CAPEX'!$F$21+'ENG_CAPEX'!$F$42)*(1+'ENG_CAPEX'!$D$23*E20))-('ENG_WC'!$F$19*(1+AVERAGE('ENG_OPS'!$D$84:$P$84)*E20)*(1+F20))</f>
        <v/>
      </c>
      <c r="J20" s="36">
        <f>(('ENG_OPS'!$G$81*(1+AVERAGE('ENG_OPS'!$D$84:$P$84)*E20)*(1+F20))-('ENG_COST'!$G$266*(1+'IN_COST'!$D$8*E20))-('ENG_COST'!$G$268*(1+'IN_COST'!$D$9*E20))-('ENG_CAPEX'!$G$81*(1+'ENG_CAPEX'!$D$23*E20)))-MAX(0,(('ENG_OPS'!$G$81*(1+AVERAGE('ENG_OPS'!$D$84:$P$84)*E20)*(1+F20))-('ENG_COST'!$G$266*(1+'IN_COST'!$D$8*E20))-('ENG_COST'!$G$268*(1+'IN_COST'!$D$9*E20))-('ENG_CAPEX'!$G$81*(1+'ENG_CAPEX'!$D$23*E20))))*'IN_MACRO'!$D$14+('ENG_CAPEX'!$G$81*(1+'ENG_CAPEX'!$D$23*E20))-(('ENG_CAPEX'!$G$21+'ENG_CAPEX'!$G$42)*(1+'ENG_CAPEX'!$D$23*E20))-('ENG_WC'!$G$19*(1+AVERAGE('ENG_OPS'!$D$84:$P$84)*E20)*(1+F20))</f>
        <v/>
      </c>
      <c r="K20" s="36">
        <f>(('ENG_OPS'!$H$81*(1+AVERAGE('ENG_OPS'!$D$84:$P$84)*E20)*(1+F20))-('ENG_COST'!$H$266*(1+'IN_COST'!$D$8*E20))-('ENG_COST'!$H$268*(1+'IN_COST'!$D$9*E20))-('ENG_CAPEX'!$H$81*(1+'ENG_CAPEX'!$D$23*E20)))-MAX(0,(('ENG_OPS'!$H$81*(1+AVERAGE('ENG_OPS'!$D$84:$P$84)*E20)*(1+F20))-('ENG_COST'!$H$266*(1+'IN_COST'!$D$8*E20))-('ENG_COST'!$H$268*(1+'IN_COST'!$D$9*E20))-('ENG_CAPEX'!$H$81*(1+'ENG_CAPEX'!$D$23*E20))))*'IN_MACRO'!$D$14+('ENG_CAPEX'!$H$81*(1+'ENG_CAPEX'!$D$23*E20))-(('ENG_CAPEX'!$H$21+'ENG_CAPEX'!$H$42)*(1+'ENG_CAPEX'!$D$23*E20))-('ENG_WC'!$H$19*(1+AVERAGE('ENG_OPS'!$D$84:$P$84)*E20)*(1+F20))</f>
        <v/>
      </c>
      <c r="L20" s="36">
        <f>(('ENG_OPS'!$I$81*(1+AVERAGE('ENG_OPS'!$D$84:$P$84)*E20)*(1+F20))-('ENG_COST'!$I$266*(1+'IN_COST'!$D$8*E20))-('ENG_COST'!$I$268*(1+'IN_COST'!$D$9*E20))-('ENG_CAPEX'!$I$81*(1+'ENG_CAPEX'!$D$23*E20)))-MAX(0,(('ENG_OPS'!$I$81*(1+AVERAGE('ENG_OPS'!$D$84:$P$84)*E20)*(1+F20))-('ENG_COST'!$I$266*(1+'IN_COST'!$D$8*E20))-('ENG_COST'!$I$268*(1+'IN_COST'!$D$9*E20))-('ENG_CAPEX'!$I$81*(1+'ENG_CAPEX'!$D$23*E20))))*'IN_MACRO'!$D$14+('ENG_CAPEX'!$I$81*(1+'ENG_CAPEX'!$D$23*E20))-(('ENG_CAPEX'!$I$21+'ENG_CAPEX'!$I$42)*(1+'ENG_CAPEX'!$D$23*E20))-('ENG_WC'!$I$19*(1+AVERAGE('ENG_OPS'!$D$84:$P$84)*E20)*(1+F20))</f>
        <v/>
      </c>
      <c r="M20" s="36">
        <f>(('ENG_OPS'!$J$81*(1+AVERAGE('ENG_OPS'!$D$84:$P$84)*E20)*(1+F20))-('ENG_COST'!$J$266*(1+'IN_COST'!$D$8*E20))-('ENG_COST'!$J$268*(1+'IN_COST'!$D$9*E20))-('ENG_CAPEX'!$J$81*(1+'ENG_CAPEX'!$D$23*E20)))-MAX(0,(('ENG_OPS'!$J$81*(1+AVERAGE('ENG_OPS'!$D$84:$P$84)*E20)*(1+F20))-('ENG_COST'!$J$266*(1+'IN_COST'!$D$8*E20))-('ENG_COST'!$J$268*(1+'IN_COST'!$D$9*E20))-('ENG_CAPEX'!$J$81*(1+'ENG_CAPEX'!$D$23*E20))))*'IN_MACRO'!$D$14+('ENG_CAPEX'!$J$81*(1+'ENG_CAPEX'!$D$23*E20))-(('ENG_CAPEX'!$J$21+'ENG_CAPEX'!$J$42)*(1+'ENG_CAPEX'!$D$23*E20))-('ENG_WC'!$J$19*(1+AVERAGE('ENG_OPS'!$D$84:$P$84)*E20)*(1+F20))</f>
        <v/>
      </c>
      <c r="N20" s="36">
        <f>(('ENG_OPS'!$K$81*(1+AVERAGE('ENG_OPS'!$D$84:$P$84)*E20)*(1+F20))-('ENG_COST'!$K$266*(1+'IN_COST'!$D$8*E20))-('ENG_COST'!$K$268*(1+'IN_COST'!$D$9*E20))-('ENG_CAPEX'!$K$81*(1+'ENG_CAPEX'!$D$23*E20)))-MAX(0,(('ENG_OPS'!$K$81*(1+AVERAGE('ENG_OPS'!$D$84:$P$84)*E20)*(1+F20))-('ENG_COST'!$K$266*(1+'IN_COST'!$D$8*E20))-('ENG_COST'!$K$268*(1+'IN_COST'!$D$9*E20))-('ENG_CAPEX'!$K$81*(1+'ENG_CAPEX'!$D$23*E20))))*'IN_MACRO'!$D$14+('ENG_CAPEX'!$K$81*(1+'ENG_CAPEX'!$D$23*E20))-(('ENG_CAPEX'!$K$21+'ENG_CAPEX'!$K$42)*(1+'ENG_CAPEX'!$D$23*E20))-('ENG_WC'!$K$19*(1+AVERAGE('ENG_OPS'!$D$84:$P$84)*E20)*(1+F20))</f>
        <v/>
      </c>
      <c r="O20" s="36">
        <f>(('ENG_OPS'!$L$81*(1+AVERAGE('ENG_OPS'!$D$84:$P$84)*E20)*(1+F20))-('ENG_COST'!$L$266*(1+'IN_COST'!$D$8*E20))-('ENG_COST'!$L$268*(1+'IN_COST'!$D$9*E20))-('ENG_CAPEX'!$L$81*(1+'ENG_CAPEX'!$D$23*E20)))-MAX(0,(('ENG_OPS'!$L$81*(1+AVERAGE('ENG_OPS'!$D$84:$P$84)*E20)*(1+F20))-('ENG_COST'!$L$266*(1+'IN_COST'!$D$8*E20))-('ENG_COST'!$L$268*(1+'IN_COST'!$D$9*E20))-('ENG_CAPEX'!$L$81*(1+'ENG_CAPEX'!$D$23*E20))))*'IN_MACRO'!$D$14+('ENG_CAPEX'!$L$81*(1+'ENG_CAPEX'!$D$23*E20))-(('ENG_CAPEX'!$L$21+'ENG_CAPEX'!$L$42)*(1+'ENG_CAPEX'!$D$23*E20))-('ENG_WC'!$L$19*(1+AVERAGE('ENG_OPS'!$D$84:$P$84)*E20)*(1+F20))</f>
        <v/>
      </c>
      <c r="P20" s="36">
        <f>(('ENG_OPS'!$M$81*(1+AVERAGE('ENG_OPS'!$D$84:$P$84)*E20)*(1+F20))-('ENG_COST'!$M$266*(1+'IN_COST'!$D$8*E20))-('ENG_COST'!$M$268*(1+'IN_COST'!$D$9*E20))-('ENG_CAPEX'!$M$81*(1+'ENG_CAPEX'!$D$23*E20)))-MAX(0,(('ENG_OPS'!$M$81*(1+AVERAGE('ENG_OPS'!$D$84:$P$84)*E20)*(1+F20))-('ENG_COST'!$M$266*(1+'IN_COST'!$D$8*E20))-('ENG_COST'!$M$268*(1+'IN_COST'!$D$9*E20))-('ENG_CAPEX'!$M$81*(1+'ENG_CAPEX'!$D$23*E20))))*'IN_MACRO'!$D$14+('ENG_CAPEX'!$M$81*(1+'ENG_CAPEX'!$D$23*E20))-(('ENG_CAPEX'!$M$21+'ENG_CAPEX'!$M$42)*(1+'ENG_CAPEX'!$D$23*E20))-('ENG_WC'!$M$19*(1+AVERAGE('ENG_OPS'!$D$84:$P$84)*E20)*(1+F20))</f>
        <v/>
      </c>
      <c r="Q20" s="36">
        <f>(('ENG_OPS'!$N$81*(1+AVERAGE('ENG_OPS'!$D$84:$P$84)*E20)*(1+F20))-('ENG_COST'!$N$266*(1+'IN_COST'!$D$8*E20))-('ENG_COST'!$N$268*(1+'IN_COST'!$D$9*E20))-('ENG_CAPEX'!$N$81*(1+'ENG_CAPEX'!$D$23*E20)))-MAX(0,(('ENG_OPS'!$N$81*(1+AVERAGE('ENG_OPS'!$D$84:$P$84)*E20)*(1+F20))-('ENG_COST'!$N$266*(1+'IN_COST'!$D$8*E20))-('ENG_COST'!$N$268*(1+'IN_COST'!$D$9*E20))-('ENG_CAPEX'!$N$81*(1+'ENG_CAPEX'!$D$23*E20))))*'IN_MACRO'!$D$14+('ENG_CAPEX'!$N$81*(1+'ENG_CAPEX'!$D$23*E20))-(('ENG_CAPEX'!$N$21+'ENG_CAPEX'!$N$42)*(1+'ENG_CAPEX'!$D$23*E20))-('ENG_WC'!$N$19*(1+AVERAGE('ENG_OPS'!$D$84:$P$84)*E20)*(1+F20))</f>
        <v/>
      </c>
      <c r="R20" s="36">
        <f>(('ENG_OPS'!$O$81*(1+AVERAGE('ENG_OPS'!$D$84:$P$84)*E20)*(1+F20))-('ENG_COST'!$O$266*(1+'IN_COST'!$D$8*E20))-('ENG_COST'!$O$268*(1+'IN_COST'!$D$9*E20))-('ENG_CAPEX'!$O$81*(1+'ENG_CAPEX'!$D$23*E20)))-MAX(0,(('ENG_OPS'!$O$81*(1+AVERAGE('ENG_OPS'!$D$84:$P$84)*E20)*(1+F20))-('ENG_COST'!$O$266*(1+'IN_COST'!$D$8*E20))-('ENG_COST'!$O$268*(1+'IN_COST'!$D$9*E20))-('ENG_CAPEX'!$O$81*(1+'ENG_CAPEX'!$D$23*E20))))*'IN_MACRO'!$D$14+('ENG_CAPEX'!$O$81*(1+'ENG_CAPEX'!$D$23*E20))-(('ENG_CAPEX'!$O$21+'ENG_CAPEX'!$O$42)*(1+'ENG_CAPEX'!$D$23*E20))-('ENG_WC'!$O$19*(1+AVERAGE('ENG_OPS'!$D$84:$P$84)*E20)*(1+F20))</f>
        <v/>
      </c>
      <c r="S20" s="36">
        <f>(('ENG_OPS'!$P$81*(1+AVERAGE('ENG_OPS'!$D$84:$P$84)*E20)*(1+F20))-('ENG_COST'!$P$266*(1+'IN_COST'!$D$8*E20))-('ENG_COST'!$P$268*(1+'IN_COST'!$D$9*E20))-('ENG_CAPEX'!$P$81*(1+'ENG_CAPEX'!$D$23*E20)))-MAX(0,(('ENG_OPS'!$P$81*(1+AVERAGE('ENG_OPS'!$D$84:$P$84)*E20)*(1+F20))-('ENG_COST'!$P$266*(1+'IN_COST'!$D$8*E20))-('ENG_COST'!$P$268*(1+'IN_COST'!$D$9*E20))-('ENG_CAPEX'!$P$81*(1+'ENG_CAPEX'!$D$23*E20))))*'IN_MACRO'!$D$14+('ENG_CAPEX'!$P$81*(1+'ENG_CAPEX'!$D$23*E20))-(('ENG_CAPEX'!$P$21+'ENG_CAPEX'!$P$42)*(1+'ENG_CAPEX'!$D$23*E20))-('ENG_WC'!$P$19*(1+AVERAGE('ENG_OPS'!$D$84:$P$84)*E20)*(1+F20))</f>
        <v/>
      </c>
      <c r="T20" s="30">
        <f>1</f>
        <v/>
      </c>
      <c r="U20" s="30">
        <f>T20/(1+'ENG_DCF'!$E$14+D20)</f>
        <v/>
      </c>
      <c r="V20" s="30">
        <f>U20/(1+'ENG_DCF'!$F$14+D20)</f>
        <v/>
      </c>
      <c r="W20" s="30">
        <f>V20/(1+'ENG_DCF'!$G$14+D20)</f>
        <v/>
      </c>
      <c r="X20" s="30">
        <f>W20/(1+'ENG_DCF'!$H$14+D20)</f>
        <v/>
      </c>
      <c r="Y20" s="30">
        <f>X20/(1+'ENG_DCF'!$I$14+D20)</f>
        <v/>
      </c>
      <c r="Z20" s="30">
        <f>Y20/(1+'ENG_DCF'!$J$14+D20)</f>
        <v/>
      </c>
      <c r="AA20" s="30">
        <f>Z20/(1+'ENG_DCF'!$K$14+D20)</f>
        <v/>
      </c>
      <c r="AB20" s="30">
        <f>AA20/(1+'ENG_DCF'!$L$14+D20)</f>
        <v/>
      </c>
      <c r="AC20" s="30">
        <f>AB20/(1+'ENG_DCF'!$M$14+D20)</f>
        <v/>
      </c>
      <c r="AD20" s="30">
        <f>AC20/(1+'ENG_DCF'!$N$14+D20)</f>
        <v/>
      </c>
      <c r="AE20" s="30">
        <f>AD20/(1+'ENG_DCF'!$O$14+D20)</f>
        <v/>
      </c>
      <c r="AF20" s="30">
        <f>AE20/(1+'ENG_DCF'!$P$14+D20)</f>
        <v/>
      </c>
      <c r="AG20" s="36">
        <f>(G20*T20+H20*U20+I20*V20+J20*W20+K20*X20+L20*Y20+M20*Z20+N20*AA20+O20*AB20+P20*AC20+Q20*AD20+R20*AE20+S20*AF20)+(IF('IN_MACRO'!$D$19=1,MAX(0,(S20+(('ENG_CAPEX'!$P$21+'ENG_CAPEX'!$P$42)*(1+'ENG_CAPEX'!$D$23*E20))))*(1+'IN_MACRO'!$D$18)/MAX(0.005,'ENG_DCF'!$P$14+D20-'IN_MACRO'!$D$18),(('ENG_OPS'!$P$81*(1+AVERAGE('ENG_OPS'!$D$84:$P$84)*E20)*(1+F20))-('ENG_COST'!$P$266*(1+'IN_COST'!$D$8*E20))-('ENG_COST'!$P$268*(1+'IN_COST'!$D$9*E20)))*'IN_MACRO'!$D$20))*AF20</f>
        <v/>
      </c>
    </row>
    <row r="21">
      <c r="A21" t="inlineStr">
        <is>
          <t>PR|1|2</t>
        </is>
      </c>
      <c r="D21" s="38">
        <f>'IN_SCEN'!$E$24</f>
        <v/>
      </c>
      <c r="E21" s="38">
        <f>0</f>
        <v/>
      </c>
      <c r="F21" s="38">
        <f>'IN_SCEN'!$F$26</f>
        <v/>
      </c>
      <c r="G21" s="36">
        <f>(('ENG_OPS'!$D$81*(1+AVERAGE('ENG_OPS'!$D$84:$P$84)*E21)*(1+F21))-('ENG_COST'!$D$266*(1+'IN_COST'!$D$8*E21))-('ENG_COST'!$D$268*(1+'IN_COST'!$D$9*E21))-('ENG_CAPEX'!$D$81*(1+'ENG_CAPEX'!$D$23*E21)))-MAX(0,(('ENG_OPS'!$D$81*(1+AVERAGE('ENG_OPS'!$D$84:$P$84)*E21)*(1+F21))-('ENG_COST'!$D$266*(1+'IN_COST'!$D$8*E21))-('ENG_COST'!$D$268*(1+'IN_COST'!$D$9*E21))-('ENG_CAPEX'!$D$81*(1+'ENG_CAPEX'!$D$23*E21))))*'IN_MACRO'!$D$14+('ENG_CAPEX'!$D$81*(1+'ENG_CAPEX'!$D$23*E21))-(('ENG_CAPEX'!$D$21+'ENG_CAPEX'!$D$42)*(1+'ENG_CAPEX'!$D$23*E21))-('ENG_WC'!$D$19*(1+AVERAGE('ENG_OPS'!$D$84:$P$84)*E21)*(1+F21))</f>
        <v/>
      </c>
      <c r="H21" s="36">
        <f>(('ENG_OPS'!$E$81*(1+AVERAGE('ENG_OPS'!$D$84:$P$84)*E21)*(1+F21))-('ENG_COST'!$E$266*(1+'IN_COST'!$D$8*E21))-('ENG_COST'!$E$268*(1+'IN_COST'!$D$9*E21))-('ENG_CAPEX'!$E$81*(1+'ENG_CAPEX'!$D$23*E21)))-MAX(0,(('ENG_OPS'!$E$81*(1+AVERAGE('ENG_OPS'!$D$84:$P$84)*E21)*(1+F21))-('ENG_COST'!$E$266*(1+'IN_COST'!$D$8*E21))-('ENG_COST'!$E$268*(1+'IN_COST'!$D$9*E21))-('ENG_CAPEX'!$E$81*(1+'ENG_CAPEX'!$D$23*E21))))*'IN_MACRO'!$D$14+('ENG_CAPEX'!$E$81*(1+'ENG_CAPEX'!$D$23*E21))-(('ENG_CAPEX'!$E$21+'ENG_CAPEX'!$E$42)*(1+'ENG_CAPEX'!$D$23*E21))-('ENG_WC'!$E$19*(1+AVERAGE('ENG_OPS'!$D$84:$P$84)*E21)*(1+F21))</f>
        <v/>
      </c>
      <c r="I21" s="36">
        <f>(('ENG_OPS'!$F$81*(1+AVERAGE('ENG_OPS'!$D$84:$P$84)*E21)*(1+F21))-('ENG_COST'!$F$266*(1+'IN_COST'!$D$8*E21))-('ENG_COST'!$F$268*(1+'IN_COST'!$D$9*E21))-('ENG_CAPEX'!$F$81*(1+'ENG_CAPEX'!$D$23*E21)))-MAX(0,(('ENG_OPS'!$F$81*(1+AVERAGE('ENG_OPS'!$D$84:$P$84)*E21)*(1+F21))-('ENG_COST'!$F$266*(1+'IN_COST'!$D$8*E21))-('ENG_COST'!$F$268*(1+'IN_COST'!$D$9*E21))-('ENG_CAPEX'!$F$81*(1+'ENG_CAPEX'!$D$23*E21))))*'IN_MACRO'!$D$14+('ENG_CAPEX'!$F$81*(1+'ENG_CAPEX'!$D$23*E21))-(('ENG_CAPEX'!$F$21+'ENG_CAPEX'!$F$42)*(1+'ENG_CAPEX'!$D$23*E21))-('ENG_WC'!$F$19*(1+AVERAGE('ENG_OPS'!$D$84:$P$84)*E21)*(1+F21))</f>
        <v/>
      </c>
      <c r="J21" s="36">
        <f>(('ENG_OPS'!$G$81*(1+AVERAGE('ENG_OPS'!$D$84:$P$84)*E21)*(1+F21))-('ENG_COST'!$G$266*(1+'IN_COST'!$D$8*E21))-('ENG_COST'!$G$268*(1+'IN_COST'!$D$9*E21))-('ENG_CAPEX'!$G$81*(1+'ENG_CAPEX'!$D$23*E21)))-MAX(0,(('ENG_OPS'!$G$81*(1+AVERAGE('ENG_OPS'!$D$84:$P$84)*E21)*(1+F21))-('ENG_COST'!$G$266*(1+'IN_COST'!$D$8*E21))-('ENG_COST'!$G$268*(1+'IN_COST'!$D$9*E21))-('ENG_CAPEX'!$G$81*(1+'ENG_CAPEX'!$D$23*E21))))*'IN_MACRO'!$D$14+('ENG_CAPEX'!$G$81*(1+'ENG_CAPEX'!$D$23*E21))-(('ENG_CAPEX'!$G$21+'ENG_CAPEX'!$G$42)*(1+'ENG_CAPEX'!$D$23*E21))-('ENG_WC'!$G$19*(1+AVERAGE('ENG_OPS'!$D$84:$P$84)*E21)*(1+F21))</f>
        <v/>
      </c>
      <c r="K21" s="36">
        <f>(('ENG_OPS'!$H$81*(1+AVERAGE('ENG_OPS'!$D$84:$P$84)*E21)*(1+F21))-('ENG_COST'!$H$266*(1+'IN_COST'!$D$8*E21))-('ENG_COST'!$H$268*(1+'IN_COST'!$D$9*E21))-('ENG_CAPEX'!$H$81*(1+'ENG_CAPEX'!$D$23*E21)))-MAX(0,(('ENG_OPS'!$H$81*(1+AVERAGE('ENG_OPS'!$D$84:$P$84)*E21)*(1+F21))-('ENG_COST'!$H$266*(1+'IN_COST'!$D$8*E21))-('ENG_COST'!$H$268*(1+'IN_COST'!$D$9*E21))-('ENG_CAPEX'!$H$81*(1+'ENG_CAPEX'!$D$23*E21))))*'IN_MACRO'!$D$14+('ENG_CAPEX'!$H$81*(1+'ENG_CAPEX'!$D$23*E21))-(('ENG_CAPEX'!$H$21+'ENG_CAPEX'!$H$42)*(1+'ENG_CAPEX'!$D$23*E21))-('ENG_WC'!$H$19*(1+AVERAGE('ENG_OPS'!$D$84:$P$84)*E21)*(1+F21))</f>
        <v/>
      </c>
      <c r="L21" s="36">
        <f>(('ENG_OPS'!$I$81*(1+AVERAGE('ENG_OPS'!$D$84:$P$84)*E21)*(1+F21))-('ENG_COST'!$I$266*(1+'IN_COST'!$D$8*E21))-('ENG_COST'!$I$268*(1+'IN_COST'!$D$9*E21))-('ENG_CAPEX'!$I$81*(1+'ENG_CAPEX'!$D$23*E21)))-MAX(0,(('ENG_OPS'!$I$81*(1+AVERAGE('ENG_OPS'!$D$84:$P$84)*E21)*(1+F21))-('ENG_COST'!$I$266*(1+'IN_COST'!$D$8*E21))-('ENG_COST'!$I$268*(1+'IN_COST'!$D$9*E21))-('ENG_CAPEX'!$I$81*(1+'ENG_CAPEX'!$D$23*E21))))*'IN_MACRO'!$D$14+('ENG_CAPEX'!$I$81*(1+'ENG_CAPEX'!$D$23*E21))-(('ENG_CAPEX'!$I$21+'ENG_CAPEX'!$I$42)*(1+'ENG_CAPEX'!$D$23*E21))-('ENG_WC'!$I$19*(1+AVERAGE('ENG_OPS'!$D$84:$P$84)*E21)*(1+F21))</f>
        <v/>
      </c>
      <c r="M21" s="36">
        <f>(('ENG_OPS'!$J$81*(1+AVERAGE('ENG_OPS'!$D$84:$P$84)*E21)*(1+F21))-('ENG_COST'!$J$266*(1+'IN_COST'!$D$8*E21))-('ENG_COST'!$J$268*(1+'IN_COST'!$D$9*E21))-('ENG_CAPEX'!$J$81*(1+'ENG_CAPEX'!$D$23*E21)))-MAX(0,(('ENG_OPS'!$J$81*(1+AVERAGE('ENG_OPS'!$D$84:$P$84)*E21)*(1+F21))-('ENG_COST'!$J$266*(1+'IN_COST'!$D$8*E21))-('ENG_COST'!$J$268*(1+'IN_COST'!$D$9*E21))-('ENG_CAPEX'!$J$81*(1+'ENG_CAPEX'!$D$23*E21))))*'IN_MACRO'!$D$14+('ENG_CAPEX'!$J$81*(1+'ENG_CAPEX'!$D$23*E21))-(('ENG_CAPEX'!$J$21+'ENG_CAPEX'!$J$42)*(1+'ENG_CAPEX'!$D$23*E21))-('ENG_WC'!$J$19*(1+AVERAGE('ENG_OPS'!$D$84:$P$84)*E21)*(1+F21))</f>
        <v/>
      </c>
      <c r="N21" s="36">
        <f>(('ENG_OPS'!$K$81*(1+AVERAGE('ENG_OPS'!$D$84:$P$84)*E21)*(1+F21))-('ENG_COST'!$K$266*(1+'IN_COST'!$D$8*E21))-('ENG_COST'!$K$268*(1+'IN_COST'!$D$9*E21))-('ENG_CAPEX'!$K$81*(1+'ENG_CAPEX'!$D$23*E21)))-MAX(0,(('ENG_OPS'!$K$81*(1+AVERAGE('ENG_OPS'!$D$84:$P$84)*E21)*(1+F21))-('ENG_COST'!$K$266*(1+'IN_COST'!$D$8*E21))-('ENG_COST'!$K$268*(1+'IN_COST'!$D$9*E21))-('ENG_CAPEX'!$K$81*(1+'ENG_CAPEX'!$D$23*E21))))*'IN_MACRO'!$D$14+('ENG_CAPEX'!$K$81*(1+'ENG_CAPEX'!$D$23*E21))-(('ENG_CAPEX'!$K$21+'ENG_CAPEX'!$K$42)*(1+'ENG_CAPEX'!$D$23*E21))-('ENG_WC'!$K$19*(1+AVERAGE('ENG_OPS'!$D$84:$P$84)*E21)*(1+F21))</f>
        <v/>
      </c>
      <c r="O21" s="36">
        <f>(('ENG_OPS'!$L$81*(1+AVERAGE('ENG_OPS'!$D$84:$P$84)*E21)*(1+F21))-('ENG_COST'!$L$266*(1+'IN_COST'!$D$8*E21))-('ENG_COST'!$L$268*(1+'IN_COST'!$D$9*E21))-('ENG_CAPEX'!$L$81*(1+'ENG_CAPEX'!$D$23*E21)))-MAX(0,(('ENG_OPS'!$L$81*(1+AVERAGE('ENG_OPS'!$D$84:$P$84)*E21)*(1+F21))-('ENG_COST'!$L$266*(1+'IN_COST'!$D$8*E21))-('ENG_COST'!$L$268*(1+'IN_COST'!$D$9*E21))-('ENG_CAPEX'!$L$81*(1+'ENG_CAPEX'!$D$23*E21))))*'IN_MACRO'!$D$14+('ENG_CAPEX'!$L$81*(1+'ENG_CAPEX'!$D$23*E21))-(('ENG_CAPEX'!$L$21+'ENG_CAPEX'!$L$42)*(1+'ENG_CAPEX'!$D$23*E21))-('ENG_WC'!$L$19*(1+AVERAGE('ENG_OPS'!$D$84:$P$84)*E21)*(1+F21))</f>
        <v/>
      </c>
      <c r="P21" s="36">
        <f>(('ENG_OPS'!$M$81*(1+AVERAGE('ENG_OPS'!$D$84:$P$84)*E21)*(1+F21))-('ENG_COST'!$M$266*(1+'IN_COST'!$D$8*E21))-('ENG_COST'!$M$268*(1+'IN_COST'!$D$9*E21))-('ENG_CAPEX'!$M$81*(1+'ENG_CAPEX'!$D$23*E21)))-MAX(0,(('ENG_OPS'!$M$81*(1+AVERAGE('ENG_OPS'!$D$84:$P$84)*E21)*(1+F21))-('ENG_COST'!$M$266*(1+'IN_COST'!$D$8*E21))-('ENG_COST'!$M$268*(1+'IN_COST'!$D$9*E21))-('ENG_CAPEX'!$M$81*(1+'ENG_CAPEX'!$D$23*E21))))*'IN_MACRO'!$D$14+('ENG_CAPEX'!$M$81*(1+'ENG_CAPEX'!$D$23*E21))-(('ENG_CAPEX'!$M$21+'ENG_CAPEX'!$M$42)*(1+'ENG_CAPEX'!$D$23*E21))-('ENG_WC'!$M$19*(1+AVERAGE('ENG_OPS'!$D$84:$P$84)*E21)*(1+F21))</f>
        <v/>
      </c>
      <c r="Q21" s="36">
        <f>(('ENG_OPS'!$N$81*(1+AVERAGE('ENG_OPS'!$D$84:$P$84)*E21)*(1+F21))-('ENG_COST'!$N$266*(1+'IN_COST'!$D$8*E21))-('ENG_COST'!$N$268*(1+'IN_COST'!$D$9*E21))-('ENG_CAPEX'!$N$81*(1+'ENG_CAPEX'!$D$23*E21)))-MAX(0,(('ENG_OPS'!$N$81*(1+AVERAGE('ENG_OPS'!$D$84:$P$84)*E21)*(1+F21))-('ENG_COST'!$N$266*(1+'IN_COST'!$D$8*E21))-('ENG_COST'!$N$268*(1+'IN_COST'!$D$9*E21))-('ENG_CAPEX'!$N$81*(1+'ENG_CAPEX'!$D$23*E21))))*'IN_MACRO'!$D$14+('ENG_CAPEX'!$N$81*(1+'ENG_CAPEX'!$D$23*E21))-(('ENG_CAPEX'!$N$21+'ENG_CAPEX'!$N$42)*(1+'ENG_CAPEX'!$D$23*E21))-('ENG_WC'!$N$19*(1+AVERAGE('ENG_OPS'!$D$84:$P$84)*E21)*(1+F21))</f>
        <v/>
      </c>
      <c r="R21" s="36">
        <f>(('ENG_OPS'!$O$81*(1+AVERAGE('ENG_OPS'!$D$84:$P$84)*E21)*(1+F21))-('ENG_COST'!$O$266*(1+'IN_COST'!$D$8*E21))-('ENG_COST'!$O$268*(1+'IN_COST'!$D$9*E21))-('ENG_CAPEX'!$O$81*(1+'ENG_CAPEX'!$D$23*E21)))-MAX(0,(('ENG_OPS'!$O$81*(1+AVERAGE('ENG_OPS'!$D$84:$P$84)*E21)*(1+F21))-('ENG_COST'!$O$266*(1+'IN_COST'!$D$8*E21))-('ENG_COST'!$O$268*(1+'IN_COST'!$D$9*E21))-('ENG_CAPEX'!$O$81*(1+'ENG_CAPEX'!$D$23*E21))))*'IN_MACRO'!$D$14+('ENG_CAPEX'!$O$81*(1+'ENG_CAPEX'!$D$23*E21))-(('ENG_CAPEX'!$O$21+'ENG_CAPEX'!$O$42)*(1+'ENG_CAPEX'!$D$23*E21))-('ENG_WC'!$O$19*(1+AVERAGE('ENG_OPS'!$D$84:$P$84)*E21)*(1+F21))</f>
        <v/>
      </c>
      <c r="S21" s="36">
        <f>(('ENG_OPS'!$P$81*(1+AVERAGE('ENG_OPS'!$D$84:$P$84)*E21)*(1+F21))-('ENG_COST'!$P$266*(1+'IN_COST'!$D$8*E21))-('ENG_COST'!$P$268*(1+'IN_COST'!$D$9*E21))-('ENG_CAPEX'!$P$81*(1+'ENG_CAPEX'!$D$23*E21)))-MAX(0,(('ENG_OPS'!$P$81*(1+AVERAGE('ENG_OPS'!$D$84:$P$84)*E21)*(1+F21))-('ENG_COST'!$P$266*(1+'IN_COST'!$D$8*E21))-('ENG_COST'!$P$268*(1+'IN_COST'!$D$9*E21))-('ENG_CAPEX'!$P$81*(1+'ENG_CAPEX'!$D$23*E21))))*'IN_MACRO'!$D$14+('ENG_CAPEX'!$P$81*(1+'ENG_CAPEX'!$D$23*E21))-(('ENG_CAPEX'!$P$21+'ENG_CAPEX'!$P$42)*(1+'ENG_CAPEX'!$D$23*E21))-('ENG_WC'!$P$19*(1+AVERAGE('ENG_OPS'!$D$84:$P$84)*E21)*(1+F21))</f>
        <v/>
      </c>
      <c r="T21" s="30">
        <f>1</f>
        <v/>
      </c>
      <c r="U21" s="30">
        <f>T21/(1+'ENG_DCF'!$E$14+D21)</f>
        <v/>
      </c>
      <c r="V21" s="30">
        <f>U21/(1+'ENG_DCF'!$F$14+D21)</f>
        <v/>
      </c>
      <c r="W21" s="30">
        <f>V21/(1+'ENG_DCF'!$G$14+D21)</f>
        <v/>
      </c>
      <c r="X21" s="30">
        <f>W21/(1+'ENG_DCF'!$H$14+D21)</f>
        <v/>
      </c>
      <c r="Y21" s="30">
        <f>X21/(1+'ENG_DCF'!$I$14+D21)</f>
        <v/>
      </c>
      <c r="Z21" s="30">
        <f>Y21/(1+'ENG_DCF'!$J$14+D21)</f>
        <v/>
      </c>
      <c r="AA21" s="30">
        <f>Z21/(1+'ENG_DCF'!$K$14+D21)</f>
        <v/>
      </c>
      <c r="AB21" s="30">
        <f>AA21/(1+'ENG_DCF'!$L$14+D21)</f>
        <v/>
      </c>
      <c r="AC21" s="30">
        <f>AB21/(1+'ENG_DCF'!$M$14+D21)</f>
        <v/>
      </c>
      <c r="AD21" s="30">
        <f>AC21/(1+'ENG_DCF'!$N$14+D21)</f>
        <v/>
      </c>
      <c r="AE21" s="30">
        <f>AD21/(1+'ENG_DCF'!$O$14+D21)</f>
        <v/>
      </c>
      <c r="AF21" s="30">
        <f>AE21/(1+'ENG_DCF'!$P$14+D21)</f>
        <v/>
      </c>
      <c r="AG21" s="36">
        <f>(G21*T21+H21*U21+I21*V21+J21*W21+K21*X21+L21*Y21+M21*Z21+N21*AA21+O21*AB21+P21*AC21+Q21*AD21+R21*AE21+S21*AF21)+(IF('IN_MACRO'!$D$19=1,MAX(0,(S21+(('ENG_CAPEX'!$P$21+'ENG_CAPEX'!$P$42)*(1+'ENG_CAPEX'!$D$23*E21))))*(1+'IN_MACRO'!$D$18)/MAX(0.005,'ENG_DCF'!$P$14+D21-'IN_MACRO'!$D$18),(('ENG_OPS'!$P$81*(1+AVERAGE('ENG_OPS'!$D$84:$P$84)*E21)*(1+F21))-('ENG_COST'!$P$266*(1+'IN_COST'!$D$8*E21))-('ENG_COST'!$P$268*(1+'IN_COST'!$D$9*E21)))*'IN_MACRO'!$D$20))*AF21</f>
        <v/>
      </c>
    </row>
    <row r="22">
      <c r="A22" t="inlineStr">
        <is>
          <t>FX|1|3</t>
        </is>
      </c>
      <c r="D22" s="38">
        <f>'IN_SCEN'!$E$24</f>
        <v/>
      </c>
      <c r="E22" s="38">
        <f>'IN_SCEN'!$G$25</f>
        <v/>
      </c>
      <c r="F22" s="38">
        <f>0</f>
        <v/>
      </c>
      <c r="G22" s="36">
        <f>(('ENG_OPS'!$D$81*(1+AVERAGE('ENG_OPS'!$D$84:$P$84)*E22)*(1+F22))-('ENG_COST'!$D$266*(1+'IN_COST'!$D$8*E22))-('ENG_COST'!$D$268*(1+'IN_COST'!$D$9*E22))-('ENG_CAPEX'!$D$81*(1+'ENG_CAPEX'!$D$23*E22)))-MAX(0,(('ENG_OPS'!$D$81*(1+AVERAGE('ENG_OPS'!$D$84:$P$84)*E22)*(1+F22))-('ENG_COST'!$D$266*(1+'IN_COST'!$D$8*E22))-('ENG_COST'!$D$268*(1+'IN_COST'!$D$9*E22))-('ENG_CAPEX'!$D$81*(1+'ENG_CAPEX'!$D$23*E22))))*'IN_MACRO'!$D$14+('ENG_CAPEX'!$D$81*(1+'ENG_CAPEX'!$D$23*E22))-(('ENG_CAPEX'!$D$21+'ENG_CAPEX'!$D$42)*(1+'ENG_CAPEX'!$D$23*E22))-('ENG_WC'!$D$19*(1+AVERAGE('ENG_OPS'!$D$84:$P$84)*E22)*(1+F22))</f>
        <v/>
      </c>
      <c r="H22" s="36">
        <f>(('ENG_OPS'!$E$81*(1+AVERAGE('ENG_OPS'!$D$84:$P$84)*E22)*(1+F22))-('ENG_COST'!$E$266*(1+'IN_COST'!$D$8*E22))-('ENG_COST'!$E$268*(1+'IN_COST'!$D$9*E22))-('ENG_CAPEX'!$E$81*(1+'ENG_CAPEX'!$D$23*E22)))-MAX(0,(('ENG_OPS'!$E$81*(1+AVERAGE('ENG_OPS'!$D$84:$P$84)*E22)*(1+F22))-('ENG_COST'!$E$266*(1+'IN_COST'!$D$8*E22))-('ENG_COST'!$E$268*(1+'IN_COST'!$D$9*E22))-('ENG_CAPEX'!$E$81*(1+'ENG_CAPEX'!$D$23*E22))))*'IN_MACRO'!$D$14+('ENG_CAPEX'!$E$81*(1+'ENG_CAPEX'!$D$23*E22))-(('ENG_CAPEX'!$E$21+'ENG_CAPEX'!$E$42)*(1+'ENG_CAPEX'!$D$23*E22))-('ENG_WC'!$E$19*(1+AVERAGE('ENG_OPS'!$D$84:$P$84)*E22)*(1+F22))</f>
        <v/>
      </c>
      <c r="I22" s="36">
        <f>(('ENG_OPS'!$F$81*(1+AVERAGE('ENG_OPS'!$D$84:$P$84)*E22)*(1+F22))-('ENG_COST'!$F$266*(1+'IN_COST'!$D$8*E22))-('ENG_COST'!$F$268*(1+'IN_COST'!$D$9*E22))-('ENG_CAPEX'!$F$81*(1+'ENG_CAPEX'!$D$23*E22)))-MAX(0,(('ENG_OPS'!$F$81*(1+AVERAGE('ENG_OPS'!$D$84:$P$84)*E22)*(1+F22))-('ENG_COST'!$F$266*(1+'IN_COST'!$D$8*E22))-('ENG_COST'!$F$268*(1+'IN_COST'!$D$9*E22))-('ENG_CAPEX'!$F$81*(1+'ENG_CAPEX'!$D$23*E22))))*'IN_MACRO'!$D$14+('ENG_CAPEX'!$F$81*(1+'ENG_CAPEX'!$D$23*E22))-(('ENG_CAPEX'!$F$21+'ENG_CAPEX'!$F$42)*(1+'ENG_CAPEX'!$D$23*E22))-('ENG_WC'!$F$19*(1+AVERAGE('ENG_OPS'!$D$84:$P$84)*E22)*(1+F22))</f>
        <v/>
      </c>
      <c r="J22" s="36">
        <f>(('ENG_OPS'!$G$81*(1+AVERAGE('ENG_OPS'!$D$84:$P$84)*E22)*(1+F22))-('ENG_COST'!$G$266*(1+'IN_COST'!$D$8*E22))-('ENG_COST'!$G$268*(1+'IN_COST'!$D$9*E22))-('ENG_CAPEX'!$G$81*(1+'ENG_CAPEX'!$D$23*E22)))-MAX(0,(('ENG_OPS'!$G$81*(1+AVERAGE('ENG_OPS'!$D$84:$P$84)*E22)*(1+F22))-('ENG_COST'!$G$266*(1+'IN_COST'!$D$8*E22))-('ENG_COST'!$G$268*(1+'IN_COST'!$D$9*E22))-('ENG_CAPEX'!$G$81*(1+'ENG_CAPEX'!$D$23*E22))))*'IN_MACRO'!$D$14+('ENG_CAPEX'!$G$81*(1+'ENG_CAPEX'!$D$23*E22))-(('ENG_CAPEX'!$G$21+'ENG_CAPEX'!$G$42)*(1+'ENG_CAPEX'!$D$23*E22))-('ENG_WC'!$G$19*(1+AVERAGE('ENG_OPS'!$D$84:$P$84)*E22)*(1+F22))</f>
        <v/>
      </c>
      <c r="K22" s="36">
        <f>(('ENG_OPS'!$H$81*(1+AVERAGE('ENG_OPS'!$D$84:$P$84)*E22)*(1+F22))-('ENG_COST'!$H$266*(1+'IN_COST'!$D$8*E22))-('ENG_COST'!$H$268*(1+'IN_COST'!$D$9*E22))-('ENG_CAPEX'!$H$81*(1+'ENG_CAPEX'!$D$23*E22)))-MAX(0,(('ENG_OPS'!$H$81*(1+AVERAGE('ENG_OPS'!$D$84:$P$84)*E22)*(1+F22))-('ENG_COST'!$H$266*(1+'IN_COST'!$D$8*E22))-('ENG_COST'!$H$268*(1+'IN_COST'!$D$9*E22))-('ENG_CAPEX'!$H$81*(1+'ENG_CAPEX'!$D$23*E22))))*'IN_MACRO'!$D$14+('ENG_CAPEX'!$H$81*(1+'ENG_CAPEX'!$D$23*E22))-(('ENG_CAPEX'!$H$21+'ENG_CAPEX'!$H$42)*(1+'ENG_CAPEX'!$D$23*E22))-('ENG_WC'!$H$19*(1+AVERAGE('ENG_OPS'!$D$84:$P$84)*E22)*(1+F22))</f>
        <v/>
      </c>
      <c r="L22" s="36">
        <f>(('ENG_OPS'!$I$81*(1+AVERAGE('ENG_OPS'!$D$84:$P$84)*E22)*(1+F22))-('ENG_COST'!$I$266*(1+'IN_COST'!$D$8*E22))-('ENG_COST'!$I$268*(1+'IN_COST'!$D$9*E22))-('ENG_CAPEX'!$I$81*(1+'ENG_CAPEX'!$D$23*E22)))-MAX(0,(('ENG_OPS'!$I$81*(1+AVERAGE('ENG_OPS'!$D$84:$P$84)*E22)*(1+F22))-('ENG_COST'!$I$266*(1+'IN_COST'!$D$8*E22))-('ENG_COST'!$I$268*(1+'IN_COST'!$D$9*E22))-('ENG_CAPEX'!$I$81*(1+'ENG_CAPEX'!$D$23*E22))))*'IN_MACRO'!$D$14+('ENG_CAPEX'!$I$81*(1+'ENG_CAPEX'!$D$23*E22))-(('ENG_CAPEX'!$I$21+'ENG_CAPEX'!$I$42)*(1+'ENG_CAPEX'!$D$23*E22))-('ENG_WC'!$I$19*(1+AVERAGE('ENG_OPS'!$D$84:$P$84)*E22)*(1+F22))</f>
        <v/>
      </c>
      <c r="M22" s="36">
        <f>(('ENG_OPS'!$J$81*(1+AVERAGE('ENG_OPS'!$D$84:$P$84)*E22)*(1+F22))-('ENG_COST'!$J$266*(1+'IN_COST'!$D$8*E22))-('ENG_COST'!$J$268*(1+'IN_COST'!$D$9*E22))-('ENG_CAPEX'!$J$81*(1+'ENG_CAPEX'!$D$23*E22)))-MAX(0,(('ENG_OPS'!$J$81*(1+AVERAGE('ENG_OPS'!$D$84:$P$84)*E22)*(1+F22))-('ENG_COST'!$J$266*(1+'IN_COST'!$D$8*E22))-('ENG_COST'!$J$268*(1+'IN_COST'!$D$9*E22))-('ENG_CAPEX'!$J$81*(1+'ENG_CAPEX'!$D$23*E22))))*'IN_MACRO'!$D$14+('ENG_CAPEX'!$J$81*(1+'ENG_CAPEX'!$D$23*E22))-(('ENG_CAPEX'!$J$21+'ENG_CAPEX'!$J$42)*(1+'ENG_CAPEX'!$D$23*E22))-('ENG_WC'!$J$19*(1+AVERAGE('ENG_OPS'!$D$84:$P$84)*E22)*(1+F22))</f>
        <v/>
      </c>
      <c r="N22" s="36">
        <f>(('ENG_OPS'!$K$81*(1+AVERAGE('ENG_OPS'!$D$84:$P$84)*E22)*(1+F22))-('ENG_COST'!$K$266*(1+'IN_COST'!$D$8*E22))-('ENG_COST'!$K$268*(1+'IN_COST'!$D$9*E22))-('ENG_CAPEX'!$K$81*(1+'ENG_CAPEX'!$D$23*E22)))-MAX(0,(('ENG_OPS'!$K$81*(1+AVERAGE('ENG_OPS'!$D$84:$P$84)*E22)*(1+F22))-('ENG_COST'!$K$266*(1+'IN_COST'!$D$8*E22))-('ENG_COST'!$K$268*(1+'IN_COST'!$D$9*E22))-('ENG_CAPEX'!$K$81*(1+'ENG_CAPEX'!$D$23*E22))))*'IN_MACRO'!$D$14+('ENG_CAPEX'!$K$81*(1+'ENG_CAPEX'!$D$23*E22))-(('ENG_CAPEX'!$K$21+'ENG_CAPEX'!$K$42)*(1+'ENG_CAPEX'!$D$23*E22))-('ENG_WC'!$K$19*(1+AVERAGE('ENG_OPS'!$D$84:$P$84)*E22)*(1+F22))</f>
        <v/>
      </c>
      <c r="O22" s="36">
        <f>(('ENG_OPS'!$L$81*(1+AVERAGE('ENG_OPS'!$D$84:$P$84)*E22)*(1+F22))-('ENG_COST'!$L$266*(1+'IN_COST'!$D$8*E22))-('ENG_COST'!$L$268*(1+'IN_COST'!$D$9*E22))-('ENG_CAPEX'!$L$81*(1+'ENG_CAPEX'!$D$23*E22)))-MAX(0,(('ENG_OPS'!$L$81*(1+AVERAGE('ENG_OPS'!$D$84:$P$84)*E22)*(1+F22))-('ENG_COST'!$L$266*(1+'IN_COST'!$D$8*E22))-('ENG_COST'!$L$268*(1+'IN_COST'!$D$9*E22))-('ENG_CAPEX'!$L$81*(1+'ENG_CAPEX'!$D$23*E22))))*'IN_MACRO'!$D$14+('ENG_CAPEX'!$L$81*(1+'ENG_CAPEX'!$D$23*E22))-(('ENG_CAPEX'!$L$21+'ENG_CAPEX'!$L$42)*(1+'ENG_CAPEX'!$D$23*E22))-('ENG_WC'!$L$19*(1+AVERAGE('ENG_OPS'!$D$84:$P$84)*E22)*(1+F22))</f>
        <v/>
      </c>
      <c r="P22" s="36">
        <f>(('ENG_OPS'!$M$81*(1+AVERAGE('ENG_OPS'!$D$84:$P$84)*E22)*(1+F22))-('ENG_COST'!$M$266*(1+'IN_COST'!$D$8*E22))-('ENG_COST'!$M$268*(1+'IN_COST'!$D$9*E22))-('ENG_CAPEX'!$M$81*(1+'ENG_CAPEX'!$D$23*E22)))-MAX(0,(('ENG_OPS'!$M$81*(1+AVERAGE('ENG_OPS'!$D$84:$P$84)*E22)*(1+F22))-('ENG_COST'!$M$266*(1+'IN_COST'!$D$8*E22))-('ENG_COST'!$M$268*(1+'IN_COST'!$D$9*E22))-('ENG_CAPEX'!$M$81*(1+'ENG_CAPEX'!$D$23*E22))))*'IN_MACRO'!$D$14+('ENG_CAPEX'!$M$81*(1+'ENG_CAPEX'!$D$23*E22))-(('ENG_CAPEX'!$M$21+'ENG_CAPEX'!$M$42)*(1+'ENG_CAPEX'!$D$23*E22))-('ENG_WC'!$M$19*(1+AVERAGE('ENG_OPS'!$D$84:$P$84)*E22)*(1+F22))</f>
        <v/>
      </c>
      <c r="Q22" s="36">
        <f>(('ENG_OPS'!$N$81*(1+AVERAGE('ENG_OPS'!$D$84:$P$84)*E22)*(1+F22))-('ENG_COST'!$N$266*(1+'IN_COST'!$D$8*E22))-('ENG_COST'!$N$268*(1+'IN_COST'!$D$9*E22))-('ENG_CAPEX'!$N$81*(1+'ENG_CAPEX'!$D$23*E22)))-MAX(0,(('ENG_OPS'!$N$81*(1+AVERAGE('ENG_OPS'!$D$84:$P$84)*E22)*(1+F22))-('ENG_COST'!$N$266*(1+'IN_COST'!$D$8*E22))-('ENG_COST'!$N$268*(1+'IN_COST'!$D$9*E22))-('ENG_CAPEX'!$N$81*(1+'ENG_CAPEX'!$D$23*E22))))*'IN_MACRO'!$D$14+('ENG_CAPEX'!$N$81*(1+'ENG_CAPEX'!$D$23*E22))-(('ENG_CAPEX'!$N$21+'ENG_CAPEX'!$N$42)*(1+'ENG_CAPEX'!$D$23*E22))-('ENG_WC'!$N$19*(1+AVERAGE('ENG_OPS'!$D$84:$P$84)*E22)*(1+F22))</f>
        <v/>
      </c>
      <c r="R22" s="36">
        <f>(('ENG_OPS'!$O$81*(1+AVERAGE('ENG_OPS'!$D$84:$P$84)*E22)*(1+F22))-('ENG_COST'!$O$266*(1+'IN_COST'!$D$8*E22))-('ENG_COST'!$O$268*(1+'IN_COST'!$D$9*E22))-('ENG_CAPEX'!$O$81*(1+'ENG_CAPEX'!$D$23*E22)))-MAX(0,(('ENG_OPS'!$O$81*(1+AVERAGE('ENG_OPS'!$D$84:$P$84)*E22)*(1+F22))-('ENG_COST'!$O$266*(1+'IN_COST'!$D$8*E22))-('ENG_COST'!$O$268*(1+'IN_COST'!$D$9*E22))-('ENG_CAPEX'!$O$81*(1+'ENG_CAPEX'!$D$23*E22))))*'IN_MACRO'!$D$14+('ENG_CAPEX'!$O$81*(1+'ENG_CAPEX'!$D$23*E22))-(('ENG_CAPEX'!$O$21+'ENG_CAPEX'!$O$42)*(1+'ENG_CAPEX'!$D$23*E22))-('ENG_WC'!$O$19*(1+AVERAGE('ENG_OPS'!$D$84:$P$84)*E22)*(1+F22))</f>
        <v/>
      </c>
      <c r="S22" s="36">
        <f>(('ENG_OPS'!$P$81*(1+AVERAGE('ENG_OPS'!$D$84:$P$84)*E22)*(1+F22))-('ENG_COST'!$P$266*(1+'IN_COST'!$D$8*E22))-('ENG_COST'!$P$268*(1+'IN_COST'!$D$9*E22))-('ENG_CAPEX'!$P$81*(1+'ENG_CAPEX'!$D$23*E22)))-MAX(0,(('ENG_OPS'!$P$81*(1+AVERAGE('ENG_OPS'!$D$84:$P$84)*E22)*(1+F22))-('ENG_COST'!$P$266*(1+'IN_COST'!$D$8*E22))-('ENG_COST'!$P$268*(1+'IN_COST'!$D$9*E22))-('ENG_CAPEX'!$P$81*(1+'ENG_CAPEX'!$D$23*E22))))*'IN_MACRO'!$D$14+('ENG_CAPEX'!$P$81*(1+'ENG_CAPEX'!$D$23*E22))-(('ENG_CAPEX'!$P$21+'ENG_CAPEX'!$P$42)*(1+'ENG_CAPEX'!$D$23*E22))-('ENG_WC'!$P$19*(1+AVERAGE('ENG_OPS'!$D$84:$P$84)*E22)*(1+F22))</f>
        <v/>
      </c>
      <c r="T22" s="30">
        <f>1</f>
        <v/>
      </c>
      <c r="U22" s="30">
        <f>T22/(1+'ENG_DCF'!$E$14+D22)</f>
        <v/>
      </c>
      <c r="V22" s="30">
        <f>U22/(1+'ENG_DCF'!$F$14+D22)</f>
        <v/>
      </c>
      <c r="W22" s="30">
        <f>V22/(1+'ENG_DCF'!$G$14+D22)</f>
        <v/>
      </c>
      <c r="X22" s="30">
        <f>W22/(1+'ENG_DCF'!$H$14+D22)</f>
        <v/>
      </c>
      <c r="Y22" s="30">
        <f>X22/(1+'ENG_DCF'!$I$14+D22)</f>
        <v/>
      </c>
      <c r="Z22" s="30">
        <f>Y22/(1+'ENG_DCF'!$J$14+D22)</f>
        <v/>
      </c>
      <c r="AA22" s="30">
        <f>Z22/(1+'ENG_DCF'!$K$14+D22)</f>
        <v/>
      </c>
      <c r="AB22" s="30">
        <f>AA22/(1+'ENG_DCF'!$L$14+D22)</f>
        <v/>
      </c>
      <c r="AC22" s="30">
        <f>AB22/(1+'ENG_DCF'!$M$14+D22)</f>
        <v/>
      </c>
      <c r="AD22" s="30">
        <f>AC22/(1+'ENG_DCF'!$N$14+D22)</f>
        <v/>
      </c>
      <c r="AE22" s="30">
        <f>AD22/(1+'ENG_DCF'!$O$14+D22)</f>
        <v/>
      </c>
      <c r="AF22" s="30">
        <f>AE22/(1+'ENG_DCF'!$P$14+D22)</f>
        <v/>
      </c>
      <c r="AG22" s="36">
        <f>(G22*T22+H22*U22+I22*V22+J22*W22+K22*X22+L22*Y22+M22*Z22+N22*AA22+O22*AB22+P22*AC22+Q22*AD22+R22*AE22+S22*AF22)+(IF('IN_MACRO'!$D$19=1,MAX(0,(S22+(('ENG_CAPEX'!$P$21+'ENG_CAPEX'!$P$42)*(1+'ENG_CAPEX'!$D$23*E22))))*(1+'IN_MACRO'!$D$18)/MAX(0.005,'ENG_DCF'!$P$14+D22-'IN_MACRO'!$D$18),(('ENG_OPS'!$P$81*(1+AVERAGE('ENG_OPS'!$D$84:$P$84)*E22)*(1+F22))-('ENG_COST'!$P$266*(1+'IN_COST'!$D$8*E22))-('ENG_COST'!$P$268*(1+'IN_COST'!$D$9*E22)))*'IN_MACRO'!$D$20))*AF22</f>
        <v/>
      </c>
    </row>
    <row r="23">
      <c r="A23" t="inlineStr">
        <is>
          <t>PR|1|3</t>
        </is>
      </c>
      <c r="D23" s="38">
        <f>'IN_SCEN'!$E$24</f>
        <v/>
      </c>
      <c r="E23" s="38">
        <f>0</f>
        <v/>
      </c>
      <c r="F23" s="38">
        <f>'IN_SCEN'!$G$26</f>
        <v/>
      </c>
      <c r="G23" s="36">
        <f>(('ENG_OPS'!$D$81*(1+AVERAGE('ENG_OPS'!$D$84:$P$84)*E23)*(1+F23))-('ENG_COST'!$D$266*(1+'IN_COST'!$D$8*E23))-('ENG_COST'!$D$268*(1+'IN_COST'!$D$9*E23))-('ENG_CAPEX'!$D$81*(1+'ENG_CAPEX'!$D$23*E23)))-MAX(0,(('ENG_OPS'!$D$81*(1+AVERAGE('ENG_OPS'!$D$84:$P$84)*E23)*(1+F23))-('ENG_COST'!$D$266*(1+'IN_COST'!$D$8*E23))-('ENG_COST'!$D$268*(1+'IN_COST'!$D$9*E23))-('ENG_CAPEX'!$D$81*(1+'ENG_CAPEX'!$D$23*E23))))*'IN_MACRO'!$D$14+('ENG_CAPEX'!$D$81*(1+'ENG_CAPEX'!$D$23*E23))-(('ENG_CAPEX'!$D$21+'ENG_CAPEX'!$D$42)*(1+'ENG_CAPEX'!$D$23*E23))-('ENG_WC'!$D$19*(1+AVERAGE('ENG_OPS'!$D$84:$P$84)*E23)*(1+F23))</f>
        <v/>
      </c>
      <c r="H23" s="36">
        <f>(('ENG_OPS'!$E$81*(1+AVERAGE('ENG_OPS'!$D$84:$P$84)*E23)*(1+F23))-('ENG_COST'!$E$266*(1+'IN_COST'!$D$8*E23))-('ENG_COST'!$E$268*(1+'IN_COST'!$D$9*E23))-('ENG_CAPEX'!$E$81*(1+'ENG_CAPEX'!$D$23*E23)))-MAX(0,(('ENG_OPS'!$E$81*(1+AVERAGE('ENG_OPS'!$D$84:$P$84)*E23)*(1+F23))-('ENG_COST'!$E$266*(1+'IN_COST'!$D$8*E23))-('ENG_COST'!$E$268*(1+'IN_COST'!$D$9*E23))-('ENG_CAPEX'!$E$81*(1+'ENG_CAPEX'!$D$23*E23))))*'IN_MACRO'!$D$14+('ENG_CAPEX'!$E$81*(1+'ENG_CAPEX'!$D$23*E23))-(('ENG_CAPEX'!$E$21+'ENG_CAPEX'!$E$42)*(1+'ENG_CAPEX'!$D$23*E23))-('ENG_WC'!$E$19*(1+AVERAGE('ENG_OPS'!$D$84:$P$84)*E23)*(1+F23))</f>
        <v/>
      </c>
      <c r="I23" s="36">
        <f>(('ENG_OPS'!$F$81*(1+AVERAGE('ENG_OPS'!$D$84:$P$84)*E23)*(1+F23))-('ENG_COST'!$F$266*(1+'IN_COST'!$D$8*E23))-('ENG_COST'!$F$268*(1+'IN_COST'!$D$9*E23))-('ENG_CAPEX'!$F$81*(1+'ENG_CAPEX'!$D$23*E23)))-MAX(0,(('ENG_OPS'!$F$81*(1+AVERAGE('ENG_OPS'!$D$84:$P$84)*E23)*(1+F23))-('ENG_COST'!$F$266*(1+'IN_COST'!$D$8*E23))-('ENG_COST'!$F$268*(1+'IN_COST'!$D$9*E23))-('ENG_CAPEX'!$F$81*(1+'ENG_CAPEX'!$D$23*E23))))*'IN_MACRO'!$D$14+('ENG_CAPEX'!$F$81*(1+'ENG_CAPEX'!$D$23*E23))-(('ENG_CAPEX'!$F$21+'ENG_CAPEX'!$F$42)*(1+'ENG_CAPEX'!$D$23*E23))-('ENG_WC'!$F$19*(1+AVERAGE('ENG_OPS'!$D$84:$P$84)*E23)*(1+F23))</f>
        <v/>
      </c>
      <c r="J23" s="36">
        <f>(('ENG_OPS'!$G$81*(1+AVERAGE('ENG_OPS'!$D$84:$P$84)*E23)*(1+F23))-('ENG_COST'!$G$266*(1+'IN_COST'!$D$8*E23))-('ENG_COST'!$G$268*(1+'IN_COST'!$D$9*E23))-('ENG_CAPEX'!$G$81*(1+'ENG_CAPEX'!$D$23*E23)))-MAX(0,(('ENG_OPS'!$G$81*(1+AVERAGE('ENG_OPS'!$D$84:$P$84)*E23)*(1+F23))-('ENG_COST'!$G$266*(1+'IN_COST'!$D$8*E23))-('ENG_COST'!$G$268*(1+'IN_COST'!$D$9*E23))-('ENG_CAPEX'!$G$81*(1+'ENG_CAPEX'!$D$23*E23))))*'IN_MACRO'!$D$14+('ENG_CAPEX'!$G$81*(1+'ENG_CAPEX'!$D$23*E23))-(('ENG_CAPEX'!$G$21+'ENG_CAPEX'!$G$42)*(1+'ENG_CAPEX'!$D$23*E23))-('ENG_WC'!$G$19*(1+AVERAGE('ENG_OPS'!$D$84:$P$84)*E23)*(1+F23))</f>
        <v/>
      </c>
      <c r="K23" s="36">
        <f>(('ENG_OPS'!$H$81*(1+AVERAGE('ENG_OPS'!$D$84:$P$84)*E23)*(1+F23))-('ENG_COST'!$H$266*(1+'IN_COST'!$D$8*E23))-('ENG_COST'!$H$268*(1+'IN_COST'!$D$9*E23))-('ENG_CAPEX'!$H$81*(1+'ENG_CAPEX'!$D$23*E23)))-MAX(0,(('ENG_OPS'!$H$81*(1+AVERAGE('ENG_OPS'!$D$84:$P$84)*E23)*(1+F23))-('ENG_COST'!$H$266*(1+'IN_COST'!$D$8*E23))-('ENG_COST'!$H$268*(1+'IN_COST'!$D$9*E23))-('ENG_CAPEX'!$H$81*(1+'ENG_CAPEX'!$D$23*E23))))*'IN_MACRO'!$D$14+('ENG_CAPEX'!$H$81*(1+'ENG_CAPEX'!$D$23*E23))-(('ENG_CAPEX'!$H$21+'ENG_CAPEX'!$H$42)*(1+'ENG_CAPEX'!$D$23*E23))-('ENG_WC'!$H$19*(1+AVERAGE('ENG_OPS'!$D$84:$P$84)*E23)*(1+F23))</f>
        <v/>
      </c>
      <c r="L23" s="36">
        <f>(('ENG_OPS'!$I$81*(1+AVERAGE('ENG_OPS'!$D$84:$P$84)*E23)*(1+F23))-('ENG_COST'!$I$266*(1+'IN_COST'!$D$8*E23))-('ENG_COST'!$I$268*(1+'IN_COST'!$D$9*E23))-('ENG_CAPEX'!$I$81*(1+'ENG_CAPEX'!$D$23*E23)))-MAX(0,(('ENG_OPS'!$I$81*(1+AVERAGE('ENG_OPS'!$D$84:$P$84)*E23)*(1+F23))-('ENG_COST'!$I$266*(1+'IN_COST'!$D$8*E23))-('ENG_COST'!$I$268*(1+'IN_COST'!$D$9*E23))-('ENG_CAPEX'!$I$81*(1+'ENG_CAPEX'!$D$23*E23))))*'IN_MACRO'!$D$14+('ENG_CAPEX'!$I$81*(1+'ENG_CAPEX'!$D$23*E23))-(('ENG_CAPEX'!$I$21+'ENG_CAPEX'!$I$42)*(1+'ENG_CAPEX'!$D$23*E23))-('ENG_WC'!$I$19*(1+AVERAGE('ENG_OPS'!$D$84:$P$84)*E23)*(1+F23))</f>
        <v/>
      </c>
      <c r="M23" s="36">
        <f>(('ENG_OPS'!$J$81*(1+AVERAGE('ENG_OPS'!$D$84:$P$84)*E23)*(1+F23))-('ENG_COST'!$J$266*(1+'IN_COST'!$D$8*E23))-('ENG_COST'!$J$268*(1+'IN_COST'!$D$9*E23))-('ENG_CAPEX'!$J$81*(1+'ENG_CAPEX'!$D$23*E23)))-MAX(0,(('ENG_OPS'!$J$81*(1+AVERAGE('ENG_OPS'!$D$84:$P$84)*E23)*(1+F23))-('ENG_COST'!$J$266*(1+'IN_COST'!$D$8*E23))-('ENG_COST'!$J$268*(1+'IN_COST'!$D$9*E23))-('ENG_CAPEX'!$J$81*(1+'ENG_CAPEX'!$D$23*E23))))*'IN_MACRO'!$D$14+('ENG_CAPEX'!$J$81*(1+'ENG_CAPEX'!$D$23*E23))-(('ENG_CAPEX'!$J$21+'ENG_CAPEX'!$J$42)*(1+'ENG_CAPEX'!$D$23*E23))-('ENG_WC'!$J$19*(1+AVERAGE('ENG_OPS'!$D$84:$P$84)*E23)*(1+F23))</f>
        <v/>
      </c>
      <c r="N23" s="36">
        <f>(('ENG_OPS'!$K$81*(1+AVERAGE('ENG_OPS'!$D$84:$P$84)*E23)*(1+F23))-('ENG_COST'!$K$266*(1+'IN_COST'!$D$8*E23))-('ENG_COST'!$K$268*(1+'IN_COST'!$D$9*E23))-('ENG_CAPEX'!$K$81*(1+'ENG_CAPEX'!$D$23*E23)))-MAX(0,(('ENG_OPS'!$K$81*(1+AVERAGE('ENG_OPS'!$D$84:$P$84)*E23)*(1+F23))-('ENG_COST'!$K$266*(1+'IN_COST'!$D$8*E23))-('ENG_COST'!$K$268*(1+'IN_COST'!$D$9*E23))-('ENG_CAPEX'!$K$81*(1+'ENG_CAPEX'!$D$23*E23))))*'IN_MACRO'!$D$14+('ENG_CAPEX'!$K$81*(1+'ENG_CAPEX'!$D$23*E23))-(('ENG_CAPEX'!$K$21+'ENG_CAPEX'!$K$42)*(1+'ENG_CAPEX'!$D$23*E23))-('ENG_WC'!$K$19*(1+AVERAGE('ENG_OPS'!$D$84:$P$84)*E23)*(1+F23))</f>
        <v/>
      </c>
      <c r="O23" s="36">
        <f>(('ENG_OPS'!$L$81*(1+AVERAGE('ENG_OPS'!$D$84:$P$84)*E23)*(1+F23))-('ENG_COST'!$L$266*(1+'IN_COST'!$D$8*E23))-('ENG_COST'!$L$268*(1+'IN_COST'!$D$9*E23))-('ENG_CAPEX'!$L$81*(1+'ENG_CAPEX'!$D$23*E23)))-MAX(0,(('ENG_OPS'!$L$81*(1+AVERAGE('ENG_OPS'!$D$84:$P$84)*E23)*(1+F23))-('ENG_COST'!$L$266*(1+'IN_COST'!$D$8*E23))-('ENG_COST'!$L$268*(1+'IN_COST'!$D$9*E23))-('ENG_CAPEX'!$L$81*(1+'ENG_CAPEX'!$D$23*E23))))*'IN_MACRO'!$D$14+('ENG_CAPEX'!$L$81*(1+'ENG_CAPEX'!$D$23*E23))-(('ENG_CAPEX'!$L$21+'ENG_CAPEX'!$L$42)*(1+'ENG_CAPEX'!$D$23*E23))-('ENG_WC'!$L$19*(1+AVERAGE('ENG_OPS'!$D$84:$P$84)*E23)*(1+F23))</f>
        <v/>
      </c>
      <c r="P23" s="36">
        <f>(('ENG_OPS'!$M$81*(1+AVERAGE('ENG_OPS'!$D$84:$P$84)*E23)*(1+F23))-('ENG_COST'!$M$266*(1+'IN_COST'!$D$8*E23))-('ENG_COST'!$M$268*(1+'IN_COST'!$D$9*E23))-('ENG_CAPEX'!$M$81*(1+'ENG_CAPEX'!$D$23*E23)))-MAX(0,(('ENG_OPS'!$M$81*(1+AVERAGE('ENG_OPS'!$D$84:$P$84)*E23)*(1+F23))-('ENG_COST'!$M$266*(1+'IN_COST'!$D$8*E23))-('ENG_COST'!$M$268*(1+'IN_COST'!$D$9*E23))-('ENG_CAPEX'!$M$81*(1+'ENG_CAPEX'!$D$23*E23))))*'IN_MACRO'!$D$14+('ENG_CAPEX'!$M$81*(1+'ENG_CAPEX'!$D$23*E23))-(('ENG_CAPEX'!$M$21+'ENG_CAPEX'!$M$42)*(1+'ENG_CAPEX'!$D$23*E23))-('ENG_WC'!$M$19*(1+AVERAGE('ENG_OPS'!$D$84:$P$84)*E23)*(1+F23))</f>
        <v/>
      </c>
      <c r="Q23" s="36">
        <f>(('ENG_OPS'!$N$81*(1+AVERAGE('ENG_OPS'!$D$84:$P$84)*E23)*(1+F23))-('ENG_COST'!$N$266*(1+'IN_COST'!$D$8*E23))-('ENG_COST'!$N$268*(1+'IN_COST'!$D$9*E23))-('ENG_CAPEX'!$N$81*(1+'ENG_CAPEX'!$D$23*E23)))-MAX(0,(('ENG_OPS'!$N$81*(1+AVERAGE('ENG_OPS'!$D$84:$P$84)*E23)*(1+F23))-('ENG_COST'!$N$266*(1+'IN_COST'!$D$8*E23))-('ENG_COST'!$N$268*(1+'IN_COST'!$D$9*E23))-('ENG_CAPEX'!$N$81*(1+'ENG_CAPEX'!$D$23*E23))))*'IN_MACRO'!$D$14+('ENG_CAPEX'!$N$81*(1+'ENG_CAPEX'!$D$23*E23))-(('ENG_CAPEX'!$N$21+'ENG_CAPEX'!$N$42)*(1+'ENG_CAPEX'!$D$23*E23))-('ENG_WC'!$N$19*(1+AVERAGE('ENG_OPS'!$D$84:$P$84)*E23)*(1+F23))</f>
        <v/>
      </c>
      <c r="R23" s="36">
        <f>(('ENG_OPS'!$O$81*(1+AVERAGE('ENG_OPS'!$D$84:$P$84)*E23)*(1+F23))-('ENG_COST'!$O$266*(1+'IN_COST'!$D$8*E23))-('ENG_COST'!$O$268*(1+'IN_COST'!$D$9*E23))-('ENG_CAPEX'!$O$81*(1+'ENG_CAPEX'!$D$23*E23)))-MAX(0,(('ENG_OPS'!$O$81*(1+AVERAGE('ENG_OPS'!$D$84:$P$84)*E23)*(1+F23))-('ENG_COST'!$O$266*(1+'IN_COST'!$D$8*E23))-('ENG_COST'!$O$268*(1+'IN_COST'!$D$9*E23))-('ENG_CAPEX'!$O$81*(1+'ENG_CAPEX'!$D$23*E23))))*'IN_MACRO'!$D$14+('ENG_CAPEX'!$O$81*(1+'ENG_CAPEX'!$D$23*E23))-(('ENG_CAPEX'!$O$21+'ENG_CAPEX'!$O$42)*(1+'ENG_CAPEX'!$D$23*E23))-('ENG_WC'!$O$19*(1+AVERAGE('ENG_OPS'!$D$84:$P$84)*E23)*(1+F23))</f>
        <v/>
      </c>
      <c r="S23" s="36">
        <f>(('ENG_OPS'!$P$81*(1+AVERAGE('ENG_OPS'!$D$84:$P$84)*E23)*(1+F23))-('ENG_COST'!$P$266*(1+'IN_COST'!$D$8*E23))-('ENG_COST'!$P$268*(1+'IN_COST'!$D$9*E23))-('ENG_CAPEX'!$P$81*(1+'ENG_CAPEX'!$D$23*E23)))-MAX(0,(('ENG_OPS'!$P$81*(1+AVERAGE('ENG_OPS'!$D$84:$P$84)*E23)*(1+F23))-('ENG_COST'!$P$266*(1+'IN_COST'!$D$8*E23))-('ENG_COST'!$P$268*(1+'IN_COST'!$D$9*E23))-('ENG_CAPEX'!$P$81*(1+'ENG_CAPEX'!$D$23*E23))))*'IN_MACRO'!$D$14+('ENG_CAPEX'!$P$81*(1+'ENG_CAPEX'!$D$23*E23))-(('ENG_CAPEX'!$P$21+'ENG_CAPEX'!$P$42)*(1+'ENG_CAPEX'!$D$23*E23))-('ENG_WC'!$P$19*(1+AVERAGE('ENG_OPS'!$D$84:$P$84)*E23)*(1+F23))</f>
        <v/>
      </c>
      <c r="T23" s="30">
        <f>1</f>
        <v/>
      </c>
      <c r="U23" s="30">
        <f>T23/(1+'ENG_DCF'!$E$14+D23)</f>
        <v/>
      </c>
      <c r="V23" s="30">
        <f>U23/(1+'ENG_DCF'!$F$14+D23)</f>
        <v/>
      </c>
      <c r="W23" s="30">
        <f>V23/(1+'ENG_DCF'!$G$14+D23)</f>
        <v/>
      </c>
      <c r="X23" s="30">
        <f>W23/(1+'ENG_DCF'!$H$14+D23)</f>
        <v/>
      </c>
      <c r="Y23" s="30">
        <f>X23/(1+'ENG_DCF'!$I$14+D23)</f>
        <v/>
      </c>
      <c r="Z23" s="30">
        <f>Y23/(1+'ENG_DCF'!$J$14+D23)</f>
        <v/>
      </c>
      <c r="AA23" s="30">
        <f>Z23/(1+'ENG_DCF'!$K$14+D23)</f>
        <v/>
      </c>
      <c r="AB23" s="30">
        <f>AA23/(1+'ENG_DCF'!$L$14+D23)</f>
        <v/>
      </c>
      <c r="AC23" s="30">
        <f>AB23/(1+'ENG_DCF'!$M$14+D23)</f>
        <v/>
      </c>
      <c r="AD23" s="30">
        <f>AC23/(1+'ENG_DCF'!$N$14+D23)</f>
        <v/>
      </c>
      <c r="AE23" s="30">
        <f>AD23/(1+'ENG_DCF'!$O$14+D23)</f>
        <v/>
      </c>
      <c r="AF23" s="30">
        <f>AE23/(1+'ENG_DCF'!$P$14+D23)</f>
        <v/>
      </c>
      <c r="AG23" s="36">
        <f>(G23*T23+H23*U23+I23*V23+J23*W23+K23*X23+L23*Y23+M23*Z23+N23*AA23+O23*AB23+P23*AC23+Q23*AD23+R23*AE23+S23*AF23)+(IF('IN_MACRO'!$D$19=1,MAX(0,(S23+(('ENG_CAPEX'!$P$21+'ENG_CAPEX'!$P$42)*(1+'ENG_CAPEX'!$D$23*E23))))*(1+'IN_MACRO'!$D$18)/MAX(0.005,'ENG_DCF'!$P$14+D23-'IN_MACRO'!$D$18),(('ENG_OPS'!$P$81*(1+AVERAGE('ENG_OPS'!$D$84:$P$84)*E23)*(1+F23))-('ENG_COST'!$P$266*(1+'IN_COST'!$D$8*E23))-('ENG_COST'!$P$268*(1+'IN_COST'!$D$9*E23)))*'IN_MACRO'!$D$20))*AF23</f>
        <v/>
      </c>
    </row>
    <row r="24">
      <c r="A24" t="inlineStr">
        <is>
          <t>FX|1|4</t>
        </is>
      </c>
      <c r="D24" s="38">
        <f>'IN_SCEN'!$E$24</f>
        <v/>
      </c>
      <c r="E24" s="38">
        <f>'IN_SCEN'!$H$25</f>
        <v/>
      </c>
      <c r="F24" s="38">
        <f>0</f>
        <v/>
      </c>
      <c r="G24" s="36">
        <f>(('ENG_OPS'!$D$81*(1+AVERAGE('ENG_OPS'!$D$84:$P$84)*E24)*(1+F24))-('ENG_COST'!$D$266*(1+'IN_COST'!$D$8*E24))-('ENG_COST'!$D$268*(1+'IN_COST'!$D$9*E24))-('ENG_CAPEX'!$D$81*(1+'ENG_CAPEX'!$D$23*E24)))-MAX(0,(('ENG_OPS'!$D$81*(1+AVERAGE('ENG_OPS'!$D$84:$P$84)*E24)*(1+F24))-('ENG_COST'!$D$266*(1+'IN_COST'!$D$8*E24))-('ENG_COST'!$D$268*(1+'IN_COST'!$D$9*E24))-('ENG_CAPEX'!$D$81*(1+'ENG_CAPEX'!$D$23*E24))))*'IN_MACRO'!$D$14+('ENG_CAPEX'!$D$81*(1+'ENG_CAPEX'!$D$23*E24))-(('ENG_CAPEX'!$D$21+'ENG_CAPEX'!$D$42)*(1+'ENG_CAPEX'!$D$23*E24))-('ENG_WC'!$D$19*(1+AVERAGE('ENG_OPS'!$D$84:$P$84)*E24)*(1+F24))</f>
        <v/>
      </c>
      <c r="H24" s="36">
        <f>(('ENG_OPS'!$E$81*(1+AVERAGE('ENG_OPS'!$D$84:$P$84)*E24)*(1+F24))-('ENG_COST'!$E$266*(1+'IN_COST'!$D$8*E24))-('ENG_COST'!$E$268*(1+'IN_COST'!$D$9*E24))-('ENG_CAPEX'!$E$81*(1+'ENG_CAPEX'!$D$23*E24)))-MAX(0,(('ENG_OPS'!$E$81*(1+AVERAGE('ENG_OPS'!$D$84:$P$84)*E24)*(1+F24))-('ENG_COST'!$E$266*(1+'IN_COST'!$D$8*E24))-('ENG_COST'!$E$268*(1+'IN_COST'!$D$9*E24))-('ENG_CAPEX'!$E$81*(1+'ENG_CAPEX'!$D$23*E24))))*'IN_MACRO'!$D$14+('ENG_CAPEX'!$E$81*(1+'ENG_CAPEX'!$D$23*E24))-(('ENG_CAPEX'!$E$21+'ENG_CAPEX'!$E$42)*(1+'ENG_CAPEX'!$D$23*E24))-('ENG_WC'!$E$19*(1+AVERAGE('ENG_OPS'!$D$84:$P$84)*E24)*(1+F24))</f>
        <v/>
      </c>
      <c r="I24" s="36">
        <f>(('ENG_OPS'!$F$81*(1+AVERAGE('ENG_OPS'!$D$84:$P$84)*E24)*(1+F24))-('ENG_COST'!$F$266*(1+'IN_COST'!$D$8*E24))-('ENG_COST'!$F$268*(1+'IN_COST'!$D$9*E24))-('ENG_CAPEX'!$F$81*(1+'ENG_CAPEX'!$D$23*E24)))-MAX(0,(('ENG_OPS'!$F$81*(1+AVERAGE('ENG_OPS'!$D$84:$P$84)*E24)*(1+F24))-('ENG_COST'!$F$266*(1+'IN_COST'!$D$8*E24))-('ENG_COST'!$F$268*(1+'IN_COST'!$D$9*E24))-('ENG_CAPEX'!$F$81*(1+'ENG_CAPEX'!$D$23*E24))))*'IN_MACRO'!$D$14+('ENG_CAPEX'!$F$81*(1+'ENG_CAPEX'!$D$23*E24))-(('ENG_CAPEX'!$F$21+'ENG_CAPEX'!$F$42)*(1+'ENG_CAPEX'!$D$23*E24))-('ENG_WC'!$F$19*(1+AVERAGE('ENG_OPS'!$D$84:$P$84)*E24)*(1+F24))</f>
        <v/>
      </c>
      <c r="J24" s="36">
        <f>(('ENG_OPS'!$G$81*(1+AVERAGE('ENG_OPS'!$D$84:$P$84)*E24)*(1+F24))-('ENG_COST'!$G$266*(1+'IN_COST'!$D$8*E24))-('ENG_COST'!$G$268*(1+'IN_COST'!$D$9*E24))-('ENG_CAPEX'!$G$81*(1+'ENG_CAPEX'!$D$23*E24)))-MAX(0,(('ENG_OPS'!$G$81*(1+AVERAGE('ENG_OPS'!$D$84:$P$84)*E24)*(1+F24))-('ENG_COST'!$G$266*(1+'IN_COST'!$D$8*E24))-('ENG_COST'!$G$268*(1+'IN_COST'!$D$9*E24))-('ENG_CAPEX'!$G$81*(1+'ENG_CAPEX'!$D$23*E24))))*'IN_MACRO'!$D$14+('ENG_CAPEX'!$G$81*(1+'ENG_CAPEX'!$D$23*E24))-(('ENG_CAPEX'!$G$21+'ENG_CAPEX'!$G$42)*(1+'ENG_CAPEX'!$D$23*E24))-('ENG_WC'!$G$19*(1+AVERAGE('ENG_OPS'!$D$84:$P$84)*E24)*(1+F24))</f>
        <v/>
      </c>
      <c r="K24" s="36">
        <f>(('ENG_OPS'!$H$81*(1+AVERAGE('ENG_OPS'!$D$84:$P$84)*E24)*(1+F24))-('ENG_COST'!$H$266*(1+'IN_COST'!$D$8*E24))-('ENG_COST'!$H$268*(1+'IN_COST'!$D$9*E24))-('ENG_CAPEX'!$H$81*(1+'ENG_CAPEX'!$D$23*E24)))-MAX(0,(('ENG_OPS'!$H$81*(1+AVERAGE('ENG_OPS'!$D$84:$P$84)*E24)*(1+F24))-('ENG_COST'!$H$266*(1+'IN_COST'!$D$8*E24))-('ENG_COST'!$H$268*(1+'IN_COST'!$D$9*E24))-('ENG_CAPEX'!$H$81*(1+'ENG_CAPEX'!$D$23*E24))))*'IN_MACRO'!$D$14+('ENG_CAPEX'!$H$81*(1+'ENG_CAPEX'!$D$23*E24))-(('ENG_CAPEX'!$H$21+'ENG_CAPEX'!$H$42)*(1+'ENG_CAPEX'!$D$23*E24))-('ENG_WC'!$H$19*(1+AVERAGE('ENG_OPS'!$D$84:$P$84)*E24)*(1+F24))</f>
        <v/>
      </c>
      <c r="L24" s="36">
        <f>(('ENG_OPS'!$I$81*(1+AVERAGE('ENG_OPS'!$D$84:$P$84)*E24)*(1+F24))-('ENG_COST'!$I$266*(1+'IN_COST'!$D$8*E24))-('ENG_COST'!$I$268*(1+'IN_COST'!$D$9*E24))-('ENG_CAPEX'!$I$81*(1+'ENG_CAPEX'!$D$23*E24)))-MAX(0,(('ENG_OPS'!$I$81*(1+AVERAGE('ENG_OPS'!$D$84:$P$84)*E24)*(1+F24))-('ENG_COST'!$I$266*(1+'IN_COST'!$D$8*E24))-('ENG_COST'!$I$268*(1+'IN_COST'!$D$9*E24))-('ENG_CAPEX'!$I$81*(1+'ENG_CAPEX'!$D$23*E24))))*'IN_MACRO'!$D$14+('ENG_CAPEX'!$I$81*(1+'ENG_CAPEX'!$D$23*E24))-(('ENG_CAPEX'!$I$21+'ENG_CAPEX'!$I$42)*(1+'ENG_CAPEX'!$D$23*E24))-('ENG_WC'!$I$19*(1+AVERAGE('ENG_OPS'!$D$84:$P$84)*E24)*(1+F24))</f>
        <v/>
      </c>
      <c r="M24" s="36">
        <f>(('ENG_OPS'!$J$81*(1+AVERAGE('ENG_OPS'!$D$84:$P$84)*E24)*(1+F24))-('ENG_COST'!$J$266*(1+'IN_COST'!$D$8*E24))-('ENG_COST'!$J$268*(1+'IN_COST'!$D$9*E24))-('ENG_CAPEX'!$J$81*(1+'ENG_CAPEX'!$D$23*E24)))-MAX(0,(('ENG_OPS'!$J$81*(1+AVERAGE('ENG_OPS'!$D$84:$P$84)*E24)*(1+F24))-('ENG_COST'!$J$266*(1+'IN_COST'!$D$8*E24))-('ENG_COST'!$J$268*(1+'IN_COST'!$D$9*E24))-('ENG_CAPEX'!$J$81*(1+'ENG_CAPEX'!$D$23*E24))))*'IN_MACRO'!$D$14+('ENG_CAPEX'!$J$81*(1+'ENG_CAPEX'!$D$23*E24))-(('ENG_CAPEX'!$J$21+'ENG_CAPEX'!$J$42)*(1+'ENG_CAPEX'!$D$23*E24))-('ENG_WC'!$J$19*(1+AVERAGE('ENG_OPS'!$D$84:$P$84)*E24)*(1+F24))</f>
        <v/>
      </c>
      <c r="N24" s="36">
        <f>(('ENG_OPS'!$K$81*(1+AVERAGE('ENG_OPS'!$D$84:$P$84)*E24)*(1+F24))-('ENG_COST'!$K$266*(1+'IN_COST'!$D$8*E24))-('ENG_COST'!$K$268*(1+'IN_COST'!$D$9*E24))-('ENG_CAPEX'!$K$81*(1+'ENG_CAPEX'!$D$23*E24)))-MAX(0,(('ENG_OPS'!$K$81*(1+AVERAGE('ENG_OPS'!$D$84:$P$84)*E24)*(1+F24))-('ENG_COST'!$K$266*(1+'IN_COST'!$D$8*E24))-('ENG_COST'!$K$268*(1+'IN_COST'!$D$9*E24))-('ENG_CAPEX'!$K$81*(1+'ENG_CAPEX'!$D$23*E24))))*'IN_MACRO'!$D$14+('ENG_CAPEX'!$K$81*(1+'ENG_CAPEX'!$D$23*E24))-(('ENG_CAPEX'!$K$21+'ENG_CAPEX'!$K$42)*(1+'ENG_CAPEX'!$D$23*E24))-('ENG_WC'!$K$19*(1+AVERAGE('ENG_OPS'!$D$84:$P$84)*E24)*(1+F24))</f>
        <v/>
      </c>
      <c r="O24" s="36">
        <f>(('ENG_OPS'!$L$81*(1+AVERAGE('ENG_OPS'!$D$84:$P$84)*E24)*(1+F24))-('ENG_COST'!$L$266*(1+'IN_COST'!$D$8*E24))-('ENG_COST'!$L$268*(1+'IN_COST'!$D$9*E24))-('ENG_CAPEX'!$L$81*(1+'ENG_CAPEX'!$D$23*E24)))-MAX(0,(('ENG_OPS'!$L$81*(1+AVERAGE('ENG_OPS'!$D$84:$P$84)*E24)*(1+F24))-('ENG_COST'!$L$266*(1+'IN_COST'!$D$8*E24))-('ENG_COST'!$L$268*(1+'IN_COST'!$D$9*E24))-('ENG_CAPEX'!$L$81*(1+'ENG_CAPEX'!$D$23*E24))))*'IN_MACRO'!$D$14+('ENG_CAPEX'!$L$81*(1+'ENG_CAPEX'!$D$23*E24))-(('ENG_CAPEX'!$L$21+'ENG_CAPEX'!$L$42)*(1+'ENG_CAPEX'!$D$23*E24))-('ENG_WC'!$L$19*(1+AVERAGE('ENG_OPS'!$D$84:$P$84)*E24)*(1+F24))</f>
        <v/>
      </c>
      <c r="P24" s="36">
        <f>(('ENG_OPS'!$M$81*(1+AVERAGE('ENG_OPS'!$D$84:$P$84)*E24)*(1+F24))-('ENG_COST'!$M$266*(1+'IN_COST'!$D$8*E24))-('ENG_COST'!$M$268*(1+'IN_COST'!$D$9*E24))-('ENG_CAPEX'!$M$81*(1+'ENG_CAPEX'!$D$23*E24)))-MAX(0,(('ENG_OPS'!$M$81*(1+AVERAGE('ENG_OPS'!$D$84:$P$84)*E24)*(1+F24))-('ENG_COST'!$M$266*(1+'IN_COST'!$D$8*E24))-('ENG_COST'!$M$268*(1+'IN_COST'!$D$9*E24))-('ENG_CAPEX'!$M$81*(1+'ENG_CAPEX'!$D$23*E24))))*'IN_MACRO'!$D$14+('ENG_CAPEX'!$M$81*(1+'ENG_CAPEX'!$D$23*E24))-(('ENG_CAPEX'!$M$21+'ENG_CAPEX'!$M$42)*(1+'ENG_CAPEX'!$D$23*E24))-('ENG_WC'!$M$19*(1+AVERAGE('ENG_OPS'!$D$84:$P$84)*E24)*(1+F24))</f>
        <v/>
      </c>
      <c r="Q24" s="36">
        <f>(('ENG_OPS'!$N$81*(1+AVERAGE('ENG_OPS'!$D$84:$P$84)*E24)*(1+F24))-('ENG_COST'!$N$266*(1+'IN_COST'!$D$8*E24))-('ENG_COST'!$N$268*(1+'IN_COST'!$D$9*E24))-('ENG_CAPEX'!$N$81*(1+'ENG_CAPEX'!$D$23*E24)))-MAX(0,(('ENG_OPS'!$N$81*(1+AVERAGE('ENG_OPS'!$D$84:$P$84)*E24)*(1+F24))-('ENG_COST'!$N$266*(1+'IN_COST'!$D$8*E24))-('ENG_COST'!$N$268*(1+'IN_COST'!$D$9*E24))-('ENG_CAPEX'!$N$81*(1+'ENG_CAPEX'!$D$23*E24))))*'IN_MACRO'!$D$14+('ENG_CAPEX'!$N$81*(1+'ENG_CAPEX'!$D$23*E24))-(('ENG_CAPEX'!$N$21+'ENG_CAPEX'!$N$42)*(1+'ENG_CAPEX'!$D$23*E24))-('ENG_WC'!$N$19*(1+AVERAGE('ENG_OPS'!$D$84:$P$84)*E24)*(1+F24))</f>
        <v/>
      </c>
      <c r="R24" s="36">
        <f>(('ENG_OPS'!$O$81*(1+AVERAGE('ENG_OPS'!$D$84:$P$84)*E24)*(1+F24))-('ENG_COST'!$O$266*(1+'IN_COST'!$D$8*E24))-('ENG_COST'!$O$268*(1+'IN_COST'!$D$9*E24))-('ENG_CAPEX'!$O$81*(1+'ENG_CAPEX'!$D$23*E24)))-MAX(0,(('ENG_OPS'!$O$81*(1+AVERAGE('ENG_OPS'!$D$84:$P$84)*E24)*(1+F24))-('ENG_COST'!$O$266*(1+'IN_COST'!$D$8*E24))-('ENG_COST'!$O$268*(1+'IN_COST'!$D$9*E24))-('ENG_CAPEX'!$O$81*(1+'ENG_CAPEX'!$D$23*E24))))*'IN_MACRO'!$D$14+('ENG_CAPEX'!$O$81*(1+'ENG_CAPEX'!$D$23*E24))-(('ENG_CAPEX'!$O$21+'ENG_CAPEX'!$O$42)*(1+'ENG_CAPEX'!$D$23*E24))-('ENG_WC'!$O$19*(1+AVERAGE('ENG_OPS'!$D$84:$P$84)*E24)*(1+F24))</f>
        <v/>
      </c>
      <c r="S24" s="36">
        <f>(('ENG_OPS'!$P$81*(1+AVERAGE('ENG_OPS'!$D$84:$P$84)*E24)*(1+F24))-('ENG_COST'!$P$266*(1+'IN_COST'!$D$8*E24))-('ENG_COST'!$P$268*(1+'IN_COST'!$D$9*E24))-('ENG_CAPEX'!$P$81*(1+'ENG_CAPEX'!$D$23*E24)))-MAX(0,(('ENG_OPS'!$P$81*(1+AVERAGE('ENG_OPS'!$D$84:$P$84)*E24)*(1+F24))-('ENG_COST'!$P$266*(1+'IN_COST'!$D$8*E24))-('ENG_COST'!$P$268*(1+'IN_COST'!$D$9*E24))-('ENG_CAPEX'!$P$81*(1+'ENG_CAPEX'!$D$23*E24))))*'IN_MACRO'!$D$14+('ENG_CAPEX'!$P$81*(1+'ENG_CAPEX'!$D$23*E24))-(('ENG_CAPEX'!$P$21+'ENG_CAPEX'!$P$42)*(1+'ENG_CAPEX'!$D$23*E24))-('ENG_WC'!$P$19*(1+AVERAGE('ENG_OPS'!$D$84:$P$84)*E24)*(1+F24))</f>
        <v/>
      </c>
      <c r="T24" s="30">
        <f>1</f>
        <v/>
      </c>
      <c r="U24" s="30">
        <f>T24/(1+'ENG_DCF'!$E$14+D24)</f>
        <v/>
      </c>
      <c r="V24" s="30">
        <f>U24/(1+'ENG_DCF'!$F$14+D24)</f>
        <v/>
      </c>
      <c r="W24" s="30">
        <f>V24/(1+'ENG_DCF'!$G$14+D24)</f>
        <v/>
      </c>
      <c r="X24" s="30">
        <f>W24/(1+'ENG_DCF'!$H$14+D24)</f>
        <v/>
      </c>
      <c r="Y24" s="30">
        <f>X24/(1+'ENG_DCF'!$I$14+D24)</f>
        <v/>
      </c>
      <c r="Z24" s="30">
        <f>Y24/(1+'ENG_DCF'!$J$14+D24)</f>
        <v/>
      </c>
      <c r="AA24" s="30">
        <f>Z24/(1+'ENG_DCF'!$K$14+D24)</f>
        <v/>
      </c>
      <c r="AB24" s="30">
        <f>AA24/(1+'ENG_DCF'!$L$14+D24)</f>
        <v/>
      </c>
      <c r="AC24" s="30">
        <f>AB24/(1+'ENG_DCF'!$M$14+D24)</f>
        <v/>
      </c>
      <c r="AD24" s="30">
        <f>AC24/(1+'ENG_DCF'!$N$14+D24)</f>
        <v/>
      </c>
      <c r="AE24" s="30">
        <f>AD24/(1+'ENG_DCF'!$O$14+D24)</f>
        <v/>
      </c>
      <c r="AF24" s="30">
        <f>AE24/(1+'ENG_DCF'!$P$14+D24)</f>
        <v/>
      </c>
      <c r="AG24" s="36">
        <f>(G24*T24+H24*U24+I24*V24+J24*W24+K24*X24+L24*Y24+M24*Z24+N24*AA24+O24*AB24+P24*AC24+Q24*AD24+R24*AE24+S24*AF24)+(IF('IN_MACRO'!$D$19=1,MAX(0,(S24+(('ENG_CAPEX'!$P$21+'ENG_CAPEX'!$P$42)*(1+'ENG_CAPEX'!$D$23*E24))))*(1+'IN_MACRO'!$D$18)/MAX(0.005,'ENG_DCF'!$P$14+D24-'IN_MACRO'!$D$18),(('ENG_OPS'!$P$81*(1+AVERAGE('ENG_OPS'!$D$84:$P$84)*E24)*(1+F24))-('ENG_COST'!$P$266*(1+'IN_COST'!$D$8*E24))-('ENG_COST'!$P$268*(1+'IN_COST'!$D$9*E24)))*'IN_MACRO'!$D$20))*AF24</f>
        <v/>
      </c>
    </row>
    <row r="25">
      <c r="A25" t="inlineStr">
        <is>
          <t>PR|1|4</t>
        </is>
      </c>
      <c r="D25" s="38">
        <f>'IN_SCEN'!$E$24</f>
        <v/>
      </c>
      <c r="E25" s="38">
        <f>0</f>
        <v/>
      </c>
      <c r="F25" s="38">
        <f>'IN_SCEN'!$H$26</f>
        <v/>
      </c>
      <c r="G25" s="36">
        <f>(('ENG_OPS'!$D$81*(1+AVERAGE('ENG_OPS'!$D$84:$P$84)*E25)*(1+F25))-('ENG_COST'!$D$266*(1+'IN_COST'!$D$8*E25))-('ENG_COST'!$D$268*(1+'IN_COST'!$D$9*E25))-('ENG_CAPEX'!$D$81*(1+'ENG_CAPEX'!$D$23*E25)))-MAX(0,(('ENG_OPS'!$D$81*(1+AVERAGE('ENG_OPS'!$D$84:$P$84)*E25)*(1+F25))-('ENG_COST'!$D$266*(1+'IN_COST'!$D$8*E25))-('ENG_COST'!$D$268*(1+'IN_COST'!$D$9*E25))-('ENG_CAPEX'!$D$81*(1+'ENG_CAPEX'!$D$23*E25))))*'IN_MACRO'!$D$14+('ENG_CAPEX'!$D$81*(1+'ENG_CAPEX'!$D$23*E25))-(('ENG_CAPEX'!$D$21+'ENG_CAPEX'!$D$42)*(1+'ENG_CAPEX'!$D$23*E25))-('ENG_WC'!$D$19*(1+AVERAGE('ENG_OPS'!$D$84:$P$84)*E25)*(1+F25))</f>
        <v/>
      </c>
      <c r="H25" s="36">
        <f>(('ENG_OPS'!$E$81*(1+AVERAGE('ENG_OPS'!$D$84:$P$84)*E25)*(1+F25))-('ENG_COST'!$E$266*(1+'IN_COST'!$D$8*E25))-('ENG_COST'!$E$268*(1+'IN_COST'!$D$9*E25))-('ENG_CAPEX'!$E$81*(1+'ENG_CAPEX'!$D$23*E25)))-MAX(0,(('ENG_OPS'!$E$81*(1+AVERAGE('ENG_OPS'!$D$84:$P$84)*E25)*(1+F25))-('ENG_COST'!$E$266*(1+'IN_COST'!$D$8*E25))-('ENG_COST'!$E$268*(1+'IN_COST'!$D$9*E25))-('ENG_CAPEX'!$E$81*(1+'ENG_CAPEX'!$D$23*E25))))*'IN_MACRO'!$D$14+('ENG_CAPEX'!$E$81*(1+'ENG_CAPEX'!$D$23*E25))-(('ENG_CAPEX'!$E$21+'ENG_CAPEX'!$E$42)*(1+'ENG_CAPEX'!$D$23*E25))-('ENG_WC'!$E$19*(1+AVERAGE('ENG_OPS'!$D$84:$P$84)*E25)*(1+F25))</f>
        <v/>
      </c>
      <c r="I25" s="36">
        <f>(('ENG_OPS'!$F$81*(1+AVERAGE('ENG_OPS'!$D$84:$P$84)*E25)*(1+F25))-('ENG_COST'!$F$266*(1+'IN_COST'!$D$8*E25))-('ENG_COST'!$F$268*(1+'IN_COST'!$D$9*E25))-('ENG_CAPEX'!$F$81*(1+'ENG_CAPEX'!$D$23*E25)))-MAX(0,(('ENG_OPS'!$F$81*(1+AVERAGE('ENG_OPS'!$D$84:$P$84)*E25)*(1+F25))-('ENG_COST'!$F$266*(1+'IN_COST'!$D$8*E25))-('ENG_COST'!$F$268*(1+'IN_COST'!$D$9*E25))-('ENG_CAPEX'!$F$81*(1+'ENG_CAPEX'!$D$23*E25))))*'IN_MACRO'!$D$14+('ENG_CAPEX'!$F$81*(1+'ENG_CAPEX'!$D$23*E25))-(('ENG_CAPEX'!$F$21+'ENG_CAPEX'!$F$42)*(1+'ENG_CAPEX'!$D$23*E25))-('ENG_WC'!$F$19*(1+AVERAGE('ENG_OPS'!$D$84:$P$84)*E25)*(1+F25))</f>
        <v/>
      </c>
      <c r="J25" s="36">
        <f>(('ENG_OPS'!$G$81*(1+AVERAGE('ENG_OPS'!$D$84:$P$84)*E25)*(1+F25))-('ENG_COST'!$G$266*(1+'IN_COST'!$D$8*E25))-('ENG_COST'!$G$268*(1+'IN_COST'!$D$9*E25))-('ENG_CAPEX'!$G$81*(1+'ENG_CAPEX'!$D$23*E25)))-MAX(0,(('ENG_OPS'!$G$81*(1+AVERAGE('ENG_OPS'!$D$84:$P$84)*E25)*(1+F25))-('ENG_COST'!$G$266*(1+'IN_COST'!$D$8*E25))-('ENG_COST'!$G$268*(1+'IN_COST'!$D$9*E25))-('ENG_CAPEX'!$G$81*(1+'ENG_CAPEX'!$D$23*E25))))*'IN_MACRO'!$D$14+('ENG_CAPEX'!$G$81*(1+'ENG_CAPEX'!$D$23*E25))-(('ENG_CAPEX'!$G$21+'ENG_CAPEX'!$G$42)*(1+'ENG_CAPEX'!$D$23*E25))-('ENG_WC'!$G$19*(1+AVERAGE('ENG_OPS'!$D$84:$P$84)*E25)*(1+F25))</f>
        <v/>
      </c>
      <c r="K25" s="36">
        <f>(('ENG_OPS'!$H$81*(1+AVERAGE('ENG_OPS'!$D$84:$P$84)*E25)*(1+F25))-('ENG_COST'!$H$266*(1+'IN_COST'!$D$8*E25))-('ENG_COST'!$H$268*(1+'IN_COST'!$D$9*E25))-('ENG_CAPEX'!$H$81*(1+'ENG_CAPEX'!$D$23*E25)))-MAX(0,(('ENG_OPS'!$H$81*(1+AVERAGE('ENG_OPS'!$D$84:$P$84)*E25)*(1+F25))-('ENG_COST'!$H$266*(1+'IN_COST'!$D$8*E25))-('ENG_COST'!$H$268*(1+'IN_COST'!$D$9*E25))-('ENG_CAPEX'!$H$81*(1+'ENG_CAPEX'!$D$23*E25))))*'IN_MACRO'!$D$14+('ENG_CAPEX'!$H$81*(1+'ENG_CAPEX'!$D$23*E25))-(('ENG_CAPEX'!$H$21+'ENG_CAPEX'!$H$42)*(1+'ENG_CAPEX'!$D$23*E25))-('ENG_WC'!$H$19*(1+AVERAGE('ENG_OPS'!$D$84:$P$84)*E25)*(1+F25))</f>
        <v/>
      </c>
      <c r="L25" s="36">
        <f>(('ENG_OPS'!$I$81*(1+AVERAGE('ENG_OPS'!$D$84:$P$84)*E25)*(1+F25))-('ENG_COST'!$I$266*(1+'IN_COST'!$D$8*E25))-('ENG_COST'!$I$268*(1+'IN_COST'!$D$9*E25))-('ENG_CAPEX'!$I$81*(1+'ENG_CAPEX'!$D$23*E25)))-MAX(0,(('ENG_OPS'!$I$81*(1+AVERAGE('ENG_OPS'!$D$84:$P$84)*E25)*(1+F25))-('ENG_COST'!$I$266*(1+'IN_COST'!$D$8*E25))-('ENG_COST'!$I$268*(1+'IN_COST'!$D$9*E25))-('ENG_CAPEX'!$I$81*(1+'ENG_CAPEX'!$D$23*E25))))*'IN_MACRO'!$D$14+('ENG_CAPEX'!$I$81*(1+'ENG_CAPEX'!$D$23*E25))-(('ENG_CAPEX'!$I$21+'ENG_CAPEX'!$I$42)*(1+'ENG_CAPEX'!$D$23*E25))-('ENG_WC'!$I$19*(1+AVERAGE('ENG_OPS'!$D$84:$P$84)*E25)*(1+F25))</f>
        <v/>
      </c>
      <c r="M25" s="36">
        <f>(('ENG_OPS'!$J$81*(1+AVERAGE('ENG_OPS'!$D$84:$P$84)*E25)*(1+F25))-('ENG_COST'!$J$266*(1+'IN_COST'!$D$8*E25))-('ENG_COST'!$J$268*(1+'IN_COST'!$D$9*E25))-('ENG_CAPEX'!$J$81*(1+'ENG_CAPEX'!$D$23*E25)))-MAX(0,(('ENG_OPS'!$J$81*(1+AVERAGE('ENG_OPS'!$D$84:$P$84)*E25)*(1+F25))-('ENG_COST'!$J$266*(1+'IN_COST'!$D$8*E25))-('ENG_COST'!$J$268*(1+'IN_COST'!$D$9*E25))-('ENG_CAPEX'!$J$81*(1+'ENG_CAPEX'!$D$23*E25))))*'IN_MACRO'!$D$14+('ENG_CAPEX'!$J$81*(1+'ENG_CAPEX'!$D$23*E25))-(('ENG_CAPEX'!$J$21+'ENG_CAPEX'!$J$42)*(1+'ENG_CAPEX'!$D$23*E25))-('ENG_WC'!$J$19*(1+AVERAGE('ENG_OPS'!$D$84:$P$84)*E25)*(1+F25))</f>
        <v/>
      </c>
      <c r="N25" s="36">
        <f>(('ENG_OPS'!$K$81*(1+AVERAGE('ENG_OPS'!$D$84:$P$84)*E25)*(1+F25))-('ENG_COST'!$K$266*(1+'IN_COST'!$D$8*E25))-('ENG_COST'!$K$268*(1+'IN_COST'!$D$9*E25))-('ENG_CAPEX'!$K$81*(1+'ENG_CAPEX'!$D$23*E25)))-MAX(0,(('ENG_OPS'!$K$81*(1+AVERAGE('ENG_OPS'!$D$84:$P$84)*E25)*(1+F25))-('ENG_COST'!$K$266*(1+'IN_COST'!$D$8*E25))-('ENG_COST'!$K$268*(1+'IN_COST'!$D$9*E25))-('ENG_CAPEX'!$K$81*(1+'ENG_CAPEX'!$D$23*E25))))*'IN_MACRO'!$D$14+('ENG_CAPEX'!$K$81*(1+'ENG_CAPEX'!$D$23*E25))-(('ENG_CAPEX'!$K$21+'ENG_CAPEX'!$K$42)*(1+'ENG_CAPEX'!$D$23*E25))-('ENG_WC'!$K$19*(1+AVERAGE('ENG_OPS'!$D$84:$P$84)*E25)*(1+F25))</f>
        <v/>
      </c>
      <c r="O25" s="36">
        <f>(('ENG_OPS'!$L$81*(1+AVERAGE('ENG_OPS'!$D$84:$P$84)*E25)*(1+F25))-('ENG_COST'!$L$266*(1+'IN_COST'!$D$8*E25))-('ENG_COST'!$L$268*(1+'IN_COST'!$D$9*E25))-('ENG_CAPEX'!$L$81*(1+'ENG_CAPEX'!$D$23*E25)))-MAX(0,(('ENG_OPS'!$L$81*(1+AVERAGE('ENG_OPS'!$D$84:$P$84)*E25)*(1+F25))-('ENG_COST'!$L$266*(1+'IN_COST'!$D$8*E25))-('ENG_COST'!$L$268*(1+'IN_COST'!$D$9*E25))-('ENG_CAPEX'!$L$81*(1+'ENG_CAPEX'!$D$23*E25))))*'IN_MACRO'!$D$14+('ENG_CAPEX'!$L$81*(1+'ENG_CAPEX'!$D$23*E25))-(('ENG_CAPEX'!$L$21+'ENG_CAPEX'!$L$42)*(1+'ENG_CAPEX'!$D$23*E25))-('ENG_WC'!$L$19*(1+AVERAGE('ENG_OPS'!$D$84:$P$84)*E25)*(1+F25))</f>
        <v/>
      </c>
      <c r="P25" s="36">
        <f>(('ENG_OPS'!$M$81*(1+AVERAGE('ENG_OPS'!$D$84:$P$84)*E25)*(1+F25))-('ENG_COST'!$M$266*(1+'IN_COST'!$D$8*E25))-('ENG_COST'!$M$268*(1+'IN_COST'!$D$9*E25))-('ENG_CAPEX'!$M$81*(1+'ENG_CAPEX'!$D$23*E25)))-MAX(0,(('ENG_OPS'!$M$81*(1+AVERAGE('ENG_OPS'!$D$84:$P$84)*E25)*(1+F25))-('ENG_COST'!$M$266*(1+'IN_COST'!$D$8*E25))-('ENG_COST'!$M$268*(1+'IN_COST'!$D$9*E25))-('ENG_CAPEX'!$M$81*(1+'ENG_CAPEX'!$D$23*E25))))*'IN_MACRO'!$D$14+('ENG_CAPEX'!$M$81*(1+'ENG_CAPEX'!$D$23*E25))-(('ENG_CAPEX'!$M$21+'ENG_CAPEX'!$M$42)*(1+'ENG_CAPEX'!$D$23*E25))-('ENG_WC'!$M$19*(1+AVERAGE('ENG_OPS'!$D$84:$P$84)*E25)*(1+F25))</f>
        <v/>
      </c>
      <c r="Q25" s="36">
        <f>(('ENG_OPS'!$N$81*(1+AVERAGE('ENG_OPS'!$D$84:$P$84)*E25)*(1+F25))-('ENG_COST'!$N$266*(1+'IN_COST'!$D$8*E25))-('ENG_COST'!$N$268*(1+'IN_COST'!$D$9*E25))-('ENG_CAPEX'!$N$81*(1+'ENG_CAPEX'!$D$23*E25)))-MAX(0,(('ENG_OPS'!$N$81*(1+AVERAGE('ENG_OPS'!$D$84:$P$84)*E25)*(1+F25))-('ENG_COST'!$N$266*(1+'IN_COST'!$D$8*E25))-('ENG_COST'!$N$268*(1+'IN_COST'!$D$9*E25))-('ENG_CAPEX'!$N$81*(1+'ENG_CAPEX'!$D$23*E25))))*'IN_MACRO'!$D$14+('ENG_CAPEX'!$N$81*(1+'ENG_CAPEX'!$D$23*E25))-(('ENG_CAPEX'!$N$21+'ENG_CAPEX'!$N$42)*(1+'ENG_CAPEX'!$D$23*E25))-('ENG_WC'!$N$19*(1+AVERAGE('ENG_OPS'!$D$84:$P$84)*E25)*(1+F25))</f>
        <v/>
      </c>
      <c r="R25" s="36">
        <f>(('ENG_OPS'!$O$81*(1+AVERAGE('ENG_OPS'!$D$84:$P$84)*E25)*(1+F25))-('ENG_COST'!$O$266*(1+'IN_COST'!$D$8*E25))-('ENG_COST'!$O$268*(1+'IN_COST'!$D$9*E25))-('ENG_CAPEX'!$O$81*(1+'ENG_CAPEX'!$D$23*E25)))-MAX(0,(('ENG_OPS'!$O$81*(1+AVERAGE('ENG_OPS'!$D$84:$P$84)*E25)*(1+F25))-('ENG_COST'!$O$266*(1+'IN_COST'!$D$8*E25))-('ENG_COST'!$O$268*(1+'IN_COST'!$D$9*E25))-('ENG_CAPEX'!$O$81*(1+'ENG_CAPEX'!$D$23*E25))))*'IN_MACRO'!$D$14+('ENG_CAPEX'!$O$81*(1+'ENG_CAPEX'!$D$23*E25))-(('ENG_CAPEX'!$O$21+'ENG_CAPEX'!$O$42)*(1+'ENG_CAPEX'!$D$23*E25))-('ENG_WC'!$O$19*(1+AVERAGE('ENG_OPS'!$D$84:$P$84)*E25)*(1+F25))</f>
        <v/>
      </c>
      <c r="S25" s="36">
        <f>(('ENG_OPS'!$P$81*(1+AVERAGE('ENG_OPS'!$D$84:$P$84)*E25)*(1+F25))-('ENG_COST'!$P$266*(1+'IN_COST'!$D$8*E25))-('ENG_COST'!$P$268*(1+'IN_COST'!$D$9*E25))-('ENG_CAPEX'!$P$81*(1+'ENG_CAPEX'!$D$23*E25)))-MAX(0,(('ENG_OPS'!$P$81*(1+AVERAGE('ENG_OPS'!$D$84:$P$84)*E25)*(1+F25))-('ENG_COST'!$P$266*(1+'IN_COST'!$D$8*E25))-('ENG_COST'!$P$268*(1+'IN_COST'!$D$9*E25))-('ENG_CAPEX'!$P$81*(1+'ENG_CAPEX'!$D$23*E25))))*'IN_MACRO'!$D$14+('ENG_CAPEX'!$P$81*(1+'ENG_CAPEX'!$D$23*E25))-(('ENG_CAPEX'!$P$21+'ENG_CAPEX'!$P$42)*(1+'ENG_CAPEX'!$D$23*E25))-('ENG_WC'!$P$19*(1+AVERAGE('ENG_OPS'!$D$84:$P$84)*E25)*(1+F25))</f>
        <v/>
      </c>
      <c r="T25" s="30">
        <f>1</f>
        <v/>
      </c>
      <c r="U25" s="30">
        <f>T25/(1+'ENG_DCF'!$E$14+D25)</f>
        <v/>
      </c>
      <c r="V25" s="30">
        <f>U25/(1+'ENG_DCF'!$F$14+D25)</f>
        <v/>
      </c>
      <c r="W25" s="30">
        <f>V25/(1+'ENG_DCF'!$G$14+D25)</f>
        <v/>
      </c>
      <c r="X25" s="30">
        <f>W25/(1+'ENG_DCF'!$H$14+D25)</f>
        <v/>
      </c>
      <c r="Y25" s="30">
        <f>X25/(1+'ENG_DCF'!$I$14+D25)</f>
        <v/>
      </c>
      <c r="Z25" s="30">
        <f>Y25/(1+'ENG_DCF'!$J$14+D25)</f>
        <v/>
      </c>
      <c r="AA25" s="30">
        <f>Z25/(1+'ENG_DCF'!$K$14+D25)</f>
        <v/>
      </c>
      <c r="AB25" s="30">
        <f>AA25/(1+'ENG_DCF'!$L$14+D25)</f>
        <v/>
      </c>
      <c r="AC25" s="30">
        <f>AB25/(1+'ENG_DCF'!$M$14+D25)</f>
        <v/>
      </c>
      <c r="AD25" s="30">
        <f>AC25/(1+'ENG_DCF'!$N$14+D25)</f>
        <v/>
      </c>
      <c r="AE25" s="30">
        <f>AD25/(1+'ENG_DCF'!$O$14+D25)</f>
        <v/>
      </c>
      <c r="AF25" s="30">
        <f>AE25/(1+'ENG_DCF'!$P$14+D25)</f>
        <v/>
      </c>
      <c r="AG25" s="36">
        <f>(G25*T25+H25*U25+I25*V25+J25*W25+K25*X25+L25*Y25+M25*Z25+N25*AA25+O25*AB25+P25*AC25+Q25*AD25+R25*AE25+S25*AF25)+(IF('IN_MACRO'!$D$19=1,MAX(0,(S25+(('ENG_CAPEX'!$P$21+'ENG_CAPEX'!$P$42)*(1+'ENG_CAPEX'!$D$23*E25))))*(1+'IN_MACRO'!$D$18)/MAX(0.005,'ENG_DCF'!$P$14+D25-'IN_MACRO'!$D$18),(('ENG_OPS'!$P$81*(1+AVERAGE('ENG_OPS'!$D$84:$P$84)*E25)*(1+F25))-('ENG_COST'!$P$266*(1+'IN_COST'!$D$8*E25))-('ENG_COST'!$P$268*(1+'IN_COST'!$D$9*E25)))*'IN_MACRO'!$D$20))*AF25</f>
        <v/>
      </c>
    </row>
    <row r="26">
      <c r="A26" t="inlineStr">
        <is>
          <t>FX|2|0</t>
        </is>
      </c>
      <c r="D26" s="38">
        <f>'IN_SCEN'!$F$24</f>
        <v/>
      </c>
      <c r="E26" s="38">
        <f>'IN_SCEN'!$D$25</f>
        <v/>
      </c>
      <c r="F26" s="38">
        <f>0</f>
        <v/>
      </c>
      <c r="G26" s="36">
        <f>(('ENG_OPS'!$D$81*(1+AVERAGE('ENG_OPS'!$D$84:$P$84)*E26)*(1+F26))-('ENG_COST'!$D$266*(1+'IN_COST'!$D$8*E26))-('ENG_COST'!$D$268*(1+'IN_COST'!$D$9*E26))-('ENG_CAPEX'!$D$81*(1+'ENG_CAPEX'!$D$23*E26)))-MAX(0,(('ENG_OPS'!$D$81*(1+AVERAGE('ENG_OPS'!$D$84:$P$84)*E26)*(1+F26))-('ENG_COST'!$D$266*(1+'IN_COST'!$D$8*E26))-('ENG_COST'!$D$268*(1+'IN_COST'!$D$9*E26))-('ENG_CAPEX'!$D$81*(1+'ENG_CAPEX'!$D$23*E26))))*'IN_MACRO'!$D$14+('ENG_CAPEX'!$D$81*(1+'ENG_CAPEX'!$D$23*E26))-(('ENG_CAPEX'!$D$21+'ENG_CAPEX'!$D$42)*(1+'ENG_CAPEX'!$D$23*E26))-('ENG_WC'!$D$19*(1+AVERAGE('ENG_OPS'!$D$84:$P$84)*E26)*(1+F26))</f>
        <v/>
      </c>
      <c r="H26" s="36">
        <f>(('ENG_OPS'!$E$81*(1+AVERAGE('ENG_OPS'!$D$84:$P$84)*E26)*(1+F26))-('ENG_COST'!$E$266*(1+'IN_COST'!$D$8*E26))-('ENG_COST'!$E$268*(1+'IN_COST'!$D$9*E26))-('ENG_CAPEX'!$E$81*(1+'ENG_CAPEX'!$D$23*E26)))-MAX(0,(('ENG_OPS'!$E$81*(1+AVERAGE('ENG_OPS'!$D$84:$P$84)*E26)*(1+F26))-('ENG_COST'!$E$266*(1+'IN_COST'!$D$8*E26))-('ENG_COST'!$E$268*(1+'IN_COST'!$D$9*E26))-('ENG_CAPEX'!$E$81*(1+'ENG_CAPEX'!$D$23*E26))))*'IN_MACRO'!$D$14+('ENG_CAPEX'!$E$81*(1+'ENG_CAPEX'!$D$23*E26))-(('ENG_CAPEX'!$E$21+'ENG_CAPEX'!$E$42)*(1+'ENG_CAPEX'!$D$23*E26))-('ENG_WC'!$E$19*(1+AVERAGE('ENG_OPS'!$D$84:$P$84)*E26)*(1+F26))</f>
        <v/>
      </c>
      <c r="I26" s="36">
        <f>(('ENG_OPS'!$F$81*(1+AVERAGE('ENG_OPS'!$D$84:$P$84)*E26)*(1+F26))-('ENG_COST'!$F$266*(1+'IN_COST'!$D$8*E26))-('ENG_COST'!$F$268*(1+'IN_COST'!$D$9*E26))-('ENG_CAPEX'!$F$81*(1+'ENG_CAPEX'!$D$23*E26)))-MAX(0,(('ENG_OPS'!$F$81*(1+AVERAGE('ENG_OPS'!$D$84:$P$84)*E26)*(1+F26))-('ENG_COST'!$F$266*(1+'IN_COST'!$D$8*E26))-('ENG_COST'!$F$268*(1+'IN_COST'!$D$9*E26))-('ENG_CAPEX'!$F$81*(1+'ENG_CAPEX'!$D$23*E26))))*'IN_MACRO'!$D$14+('ENG_CAPEX'!$F$81*(1+'ENG_CAPEX'!$D$23*E26))-(('ENG_CAPEX'!$F$21+'ENG_CAPEX'!$F$42)*(1+'ENG_CAPEX'!$D$23*E26))-('ENG_WC'!$F$19*(1+AVERAGE('ENG_OPS'!$D$84:$P$84)*E26)*(1+F26))</f>
        <v/>
      </c>
      <c r="J26" s="36">
        <f>(('ENG_OPS'!$G$81*(1+AVERAGE('ENG_OPS'!$D$84:$P$84)*E26)*(1+F26))-('ENG_COST'!$G$266*(1+'IN_COST'!$D$8*E26))-('ENG_COST'!$G$268*(1+'IN_COST'!$D$9*E26))-('ENG_CAPEX'!$G$81*(1+'ENG_CAPEX'!$D$23*E26)))-MAX(0,(('ENG_OPS'!$G$81*(1+AVERAGE('ENG_OPS'!$D$84:$P$84)*E26)*(1+F26))-('ENG_COST'!$G$266*(1+'IN_COST'!$D$8*E26))-('ENG_COST'!$G$268*(1+'IN_COST'!$D$9*E26))-('ENG_CAPEX'!$G$81*(1+'ENG_CAPEX'!$D$23*E26))))*'IN_MACRO'!$D$14+('ENG_CAPEX'!$G$81*(1+'ENG_CAPEX'!$D$23*E26))-(('ENG_CAPEX'!$G$21+'ENG_CAPEX'!$G$42)*(1+'ENG_CAPEX'!$D$23*E26))-('ENG_WC'!$G$19*(1+AVERAGE('ENG_OPS'!$D$84:$P$84)*E26)*(1+F26))</f>
        <v/>
      </c>
      <c r="K26" s="36">
        <f>(('ENG_OPS'!$H$81*(1+AVERAGE('ENG_OPS'!$D$84:$P$84)*E26)*(1+F26))-('ENG_COST'!$H$266*(1+'IN_COST'!$D$8*E26))-('ENG_COST'!$H$268*(1+'IN_COST'!$D$9*E26))-('ENG_CAPEX'!$H$81*(1+'ENG_CAPEX'!$D$23*E26)))-MAX(0,(('ENG_OPS'!$H$81*(1+AVERAGE('ENG_OPS'!$D$84:$P$84)*E26)*(1+F26))-('ENG_COST'!$H$266*(1+'IN_COST'!$D$8*E26))-('ENG_COST'!$H$268*(1+'IN_COST'!$D$9*E26))-('ENG_CAPEX'!$H$81*(1+'ENG_CAPEX'!$D$23*E26))))*'IN_MACRO'!$D$14+('ENG_CAPEX'!$H$81*(1+'ENG_CAPEX'!$D$23*E26))-(('ENG_CAPEX'!$H$21+'ENG_CAPEX'!$H$42)*(1+'ENG_CAPEX'!$D$23*E26))-('ENG_WC'!$H$19*(1+AVERAGE('ENG_OPS'!$D$84:$P$84)*E26)*(1+F26))</f>
        <v/>
      </c>
      <c r="L26" s="36">
        <f>(('ENG_OPS'!$I$81*(1+AVERAGE('ENG_OPS'!$D$84:$P$84)*E26)*(1+F26))-('ENG_COST'!$I$266*(1+'IN_COST'!$D$8*E26))-('ENG_COST'!$I$268*(1+'IN_COST'!$D$9*E26))-('ENG_CAPEX'!$I$81*(1+'ENG_CAPEX'!$D$23*E26)))-MAX(0,(('ENG_OPS'!$I$81*(1+AVERAGE('ENG_OPS'!$D$84:$P$84)*E26)*(1+F26))-('ENG_COST'!$I$266*(1+'IN_COST'!$D$8*E26))-('ENG_COST'!$I$268*(1+'IN_COST'!$D$9*E26))-('ENG_CAPEX'!$I$81*(1+'ENG_CAPEX'!$D$23*E26))))*'IN_MACRO'!$D$14+('ENG_CAPEX'!$I$81*(1+'ENG_CAPEX'!$D$23*E26))-(('ENG_CAPEX'!$I$21+'ENG_CAPEX'!$I$42)*(1+'ENG_CAPEX'!$D$23*E26))-('ENG_WC'!$I$19*(1+AVERAGE('ENG_OPS'!$D$84:$P$84)*E26)*(1+F26))</f>
        <v/>
      </c>
      <c r="M26" s="36">
        <f>(('ENG_OPS'!$J$81*(1+AVERAGE('ENG_OPS'!$D$84:$P$84)*E26)*(1+F26))-('ENG_COST'!$J$266*(1+'IN_COST'!$D$8*E26))-('ENG_COST'!$J$268*(1+'IN_COST'!$D$9*E26))-('ENG_CAPEX'!$J$81*(1+'ENG_CAPEX'!$D$23*E26)))-MAX(0,(('ENG_OPS'!$J$81*(1+AVERAGE('ENG_OPS'!$D$84:$P$84)*E26)*(1+F26))-('ENG_COST'!$J$266*(1+'IN_COST'!$D$8*E26))-('ENG_COST'!$J$268*(1+'IN_COST'!$D$9*E26))-('ENG_CAPEX'!$J$81*(1+'ENG_CAPEX'!$D$23*E26))))*'IN_MACRO'!$D$14+('ENG_CAPEX'!$J$81*(1+'ENG_CAPEX'!$D$23*E26))-(('ENG_CAPEX'!$J$21+'ENG_CAPEX'!$J$42)*(1+'ENG_CAPEX'!$D$23*E26))-('ENG_WC'!$J$19*(1+AVERAGE('ENG_OPS'!$D$84:$P$84)*E26)*(1+F26))</f>
        <v/>
      </c>
      <c r="N26" s="36">
        <f>(('ENG_OPS'!$K$81*(1+AVERAGE('ENG_OPS'!$D$84:$P$84)*E26)*(1+F26))-('ENG_COST'!$K$266*(1+'IN_COST'!$D$8*E26))-('ENG_COST'!$K$268*(1+'IN_COST'!$D$9*E26))-('ENG_CAPEX'!$K$81*(1+'ENG_CAPEX'!$D$23*E26)))-MAX(0,(('ENG_OPS'!$K$81*(1+AVERAGE('ENG_OPS'!$D$84:$P$84)*E26)*(1+F26))-('ENG_COST'!$K$266*(1+'IN_COST'!$D$8*E26))-('ENG_COST'!$K$268*(1+'IN_COST'!$D$9*E26))-('ENG_CAPEX'!$K$81*(1+'ENG_CAPEX'!$D$23*E26))))*'IN_MACRO'!$D$14+('ENG_CAPEX'!$K$81*(1+'ENG_CAPEX'!$D$23*E26))-(('ENG_CAPEX'!$K$21+'ENG_CAPEX'!$K$42)*(1+'ENG_CAPEX'!$D$23*E26))-('ENG_WC'!$K$19*(1+AVERAGE('ENG_OPS'!$D$84:$P$84)*E26)*(1+F26))</f>
        <v/>
      </c>
      <c r="O26" s="36">
        <f>(('ENG_OPS'!$L$81*(1+AVERAGE('ENG_OPS'!$D$84:$P$84)*E26)*(1+F26))-('ENG_COST'!$L$266*(1+'IN_COST'!$D$8*E26))-('ENG_COST'!$L$268*(1+'IN_COST'!$D$9*E26))-('ENG_CAPEX'!$L$81*(1+'ENG_CAPEX'!$D$23*E26)))-MAX(0,(('ENG_OPS'!$L$81*(1+AVERAGE('ENG_OPS'!$D$84:$P$84)*E26)*(1+F26))-('ENG_COST'!$L$266*(1+'IN_COST'!$D$8*E26))-('ENG_COST'!$L$268*(1+'IN_COST'!$D$9*E26))-('ENG_CAPEX'!$L$81*(1+'ENG_CAPEX'!$D$23*E26))))*'IN_MACRO'!$D$14+('ENG_CAPEX'!$L$81*(1+'ENG_CAPEX'!$D$23*E26))-(('ENG_CAPEX'!$L$21+'ENG_CAPEX'!$L$42)*(1+'ENG_CAPEX'!$D$23*E26))-('ENG_WC'!$L$19*(1+AVERAGE('ENG_OPS'!$D$84:$P$84)*E26)*(1+F26))</f>
        <v/>
      </c>
      <c r="P26" s="36">
        <f>(('ENG_OPS'!$M$81*(1+AVERAGE('ENG_OPS'!$D$84:$P$84)*E26)*(1+F26))-('ENG_COST'!$M$266*(1+'IN_COST'!$D$8*E26))-('ENG_COST'!$M$268*(1+'IN_COST'!$D$9*E26))-('ENG_CAPEX'!$M$81*(1+'ENG_CAPEX'!$D$23*E26)))-MAX(0,(('ENG_OPS'!$M$81*(1+AVERAGE('ENG_OPS'!$D$84:$P$84)*E26)*(1+F26))-('ENG_COST'!$M$266*(1+'IN_COST'!$D$8*E26))-('ENG_COST'!$M$268*(1+'IN_COST'!$D$9*E26))-('ENG_CAPEX'!$M$81*(1+'ENG_CAPEX'!$D$23*E26))))*'IN_MACRO'!$D$14+('ENG_CAPEX'!$M$81*(1+'ENG_CAPEX'!$D$23*E26))-(('ENG_CAPEX'!$M$21+'ENG_CAPEX'!$M$42)*(1+'ENG_CAPEX'!$D$23*E26))-('ENG_WC'!$M$19*(1+AVERAGE('ENG_OPS'!$D$84:$P$84)*E26)*(1+F26))</f>
        <v/>
      </c>
      <c r="Q26" s="36">
        <f>(('ENG_OPS'!$N$81*(1+AVERAGE('ENG_OPS'!$D$84:$P$84)*E26)*(1+F26))-('ENG_COST'!$N$266*(1+'IN_COST'!$D$8*E26))-('ENG_COST'!$N$268*(1+'IN_COST'!$D$9*E26))-('ENG_CAPEX'!$N$81*(1+'ENG_CAPEX'!$D$23*E26)))-MAX(0,(('ENG_OPS'!$N$81*(1+AVERAGE('ENG_OPS'!$D$84:$P$84)*E26)*(1+F26))-('ENG_COST'!$N$266*(1+'IN_COST'!$D$8*E26))-('ENG_COST'!$N$268*(1+'IN_COST'!$D$9*E26))-('ENG_CAPEX'!$N$81*(1+'ENG_CAPEX'!$D$23*E26))))*'IN_MACRO'!$D$14+('ENG_CAPEX'!$N$81*(1+'ENG_CAPEX'!$D$23*E26))-(('ENG_CAPEX'!$N$21+'ENG_CAPEX'!$N$42)*(1+'ENG_CAPEX'!$D$23*E26))-('ENG_WC'!$N$19*(1+AVERAGE('ENG_OPS'!$D$84:$P$84)*E26)*(1+F26))</f>
        <v/>
      </c>
      <c r="R26" s="36">
        <f>(('ENG_OPS'!$O$81*(1+AVERAGE('ENG_OPS'!$D$84:$P$84)*E26)*(1+F26))-('ENG_COST'!$O$266*(1+'IN_COST'!$D$8*E26))-('ENG_COST'!$O$268*(1+'IN_COST'!$D$9*E26))-('ENG_CAPEX'!$O$81*(1+'ENG_CAPEX'!$D$23*E26)))-MAX(0,(('ENG_OPS'!$O$81*(1+AVERAGE('ENG_OPS'!$D$84:$P$84)*E26)*(1+F26))-('ENG_COST'!$O$266*(1+'IN_COST'!$D$8*E26))-('ENG_COST'!$O$268*(1+'IN_COST'!$D$9*E26))-('ENG_CAPEX'!$O$81*(1+'ENG_CAPEX'!$D$23*E26))))*'IN_MACRO'!$D$14+('ENG_CAPEX'!$O$81*(1+'ENG_CAPEX'!$D$23*E26))-(('ENG_CAPEX'!$O$21+'ENG_CAPEX'!$O$42)*(1+'ENG_CAPEX'!$D$23*E26))-('ENG_WC'!$O$19*(1+AVERAGE('ENG_OPS'!$D$84:$P$84)*E26)*(1+F26))</f>
        <v/>
      </c>
      <c r="S26" s="36">
        <f>(('ENG_OPS'!$P$81*(1+AVERAGE('ENG_OPS'!$D$84:$P$84)*E26)*(1+F26))-('ENG_COST'!$P$266*(1+'IN_COST'!$D$8*E26))-('ENG_COST'!$P$268*(1+'IN_COST'!$D$9*E26))-('ENG_CAPEX'!$P$81*(1+'ENG_CAPEX'!$D$23*E26)))-MAX(0,(('ENG_OPS'!$P$81*(1+AVERAGE('ENG_OPS'!$D$84:$P$84)*E26)*(1+F26))-('ENG_COST'!$P$266*(1+'IN_COST'!$D$8*E26))-('ENG_COST'!$P$268*(1+'IN_COST'!$D$9*E26))-('ENG_CAPEX'!$P$81*(1+'ENG_CAPEX'!$D$23*E26))))*'IN_MACRO'!$D$14+('ENG_CAPEX'!$P$81*(1+'ENG_CAPEX'!$D$23*E26))-(('ENG_CAPEX'!$P$21+'ENG_CAPEX'!$P$42)*(1+'ENG_CAPEX'!$D$23*E26))-('ENG_WC'!$P$19*(1+AVERAGE('ENG_OPS'!$D$84:$P$84)*E26)*(1+F26))</f>
        <v/>
      </c>
      <c r="T26" s="30">
        <f>1</f>
        <v/>
      </c>
      <c r="U26" s="30">
        <f>T26/(1+'ENG_DCF'!$E$14+D26)</f>
        <v/>
      </c>
      <c r="V26" s="30">
        <f>U26/(1+'ENG_DCF'!$F$14+D26)</f>
        <v/>
      </c>
      <c r="W26" s="30">
        <f>V26/(1+'ENG_DCF'!$G$14+D26)</f>
        <v/>
      </c>
      <c r="X26" s="30">
        <f>W26/(1+'ENG_DCF'!$H$14+D26)</f>
        <v/>
      </c>
      <c r="Y26" s="30">
        <f>X26/(1+'ENG_DCF'!$I$14+D26)</f>
        <v/>
      </c>
      <c r="Z26" s="30">
        <f>Y26/(1+'ENG_DCF'!$J$14+D26)</f>
        <v/>
      </c>
      <c r="AA26" s="30">
        <f>Z26/(1+'ENG_DCF'!$K$14+D26)</f>
        <v/>
      </c>
      <c r="AB26" s="30">
        <f>AA26/(1+'ENG_DCF'!$L$14+D26)</f>
        <v/>
      </c>
      <c r="AC26" s="30">
        <f>AB26/(1+'ENG_DCF'!$M$14+D26)</f>
        <v/>
      </c>
      <c r="AD26" s="30">
        <f>AC26/(1+'ENG_DCF'!$N$14+D26)</f>
        <v/>
      </c>
      <c r="AE26" s="30">
        <f>AD26/(1+'ENG_DCF'!$O$14+D26)</f>
        <v/>
      </c>
      <c r="AF26" s="30">
        <f>AE26/(1+'ENG_DCF'!$P$14+D26)</f>
        <v/>
      </c>
      <c r="AG26" s="36">
        <f>(G26*T26+H26*U26+I26*V26+J26*W26+K26*X26+L26*Y26+M26*Z26+N26*AA26+O26*AB26+P26*AC26+Q26*AD26+R26*AE26+S26*AF26)+(IF('IN_MACRO'!$D$19=1,MAX(0,(S26+(('ENG_CAPEX'!$P$21+'ENG_CAPEX'!$P$42)*(1+'ENG_CAPEX'!$D$23*E26))))*(1+'IN_MACRO'!$D$18)/MAX(0.005,'ENG_DCF'!$P$14+D26-'IN_MACRO'!$D$18),(('ENG_OPS'!$P$81*(1+AVERAGE('ENG_OPS'!$D$84:$P$84)*E26)*(1+F26))-('ENG_COST'!$P$266*(1+'IN_COST'!$D$8*E26))-('ENG_COST'!$P$268*(1+'IN_COST'!$D$9*E26)))*'IN_MACRO'!$D$20))*AF26</f>
        <v/>
      </c>
    </row>
    <row r="27">
      <c r="A27" t="inlineStr">
        <is>
          <t>PR|2|0</t>
        </is>
      </c>
      <c r="D27" s="38">
        <f>'IN_SCEN'!$F$24</f>
        <v/>
      </c>
      <c r="E27" s="38">
        <f>0</f>
        <v/>
      </c>
      <c r="F27" s="38">
        <f>'IN_SCEN'!$D$26</f>
        <v/>
      </c>
      <c r="G27" s="36">
        <f>(('ENG_OPS'!$D$81*(1+AVERAGE('ENG_OPS'!$D$84:$P$84)*E27)*(1+F27))-('ENG_COST'!$D$266*(1+'IN_COST'!$D$8*E27))-('ENG_COST'!$D$268*(1+'IN_COST'!$D$9*E27))-('ENG_CAPEX'!$D$81*(1+'ENG_CAPEX'!$D$23*E27)))-MAX(0,(('ENG_OPS'!$D$81*(1+AVERAGE('ENG_OPS'!$D$84:$P$84)*E27)*(1+F27))-('ENG_COST'!$D$266*(1+'IN_COST'!$D$8*E27))-('ENG_COST'!$D$268*(1+'IN_COST'!$D$9*E27))-('ENG_CAPEX'!$D$81*(1+'ENG_CAPEX'!$D$23*E27))))*'IN_MACRO'!$D$14+('ENG_CAPEX'!$D$81*(1+'ENG_CAPEX'!$D$23*E27))-(('ENG_CAPEX'!$D$21+'ENG_CAPEX'!$D$42)*(1+'ENG_CAPEX'!$D$23*E27))-('ENG_WC'!$D$19*(1+AVERAGE('ENG_OPS'!$D$84:$P$84)*E27)*(1+F27))</f>
        <v/>
      </c>
      <c r="H27" s="36">
        <f>(('ENG_OPS'!$E$81*(1+AVERAGE('ENG_OPS'!$D$84:$P$84)*E27)*(1+F27))-('ENG_COST'!$E$266*(1+'IN_COST'!$D$8*E27))-('ENG_COST'!$E$268*(1+'IN_COST'!$D$9*E27))-('ENG_CAPEX'!$E$81*(1+'ENG_CAPEX'!$D$23*E27)))-MAX(0,(('ENG_OPS'!$E$81*(1+AVERAGE('ENG_OPS'!$D$84:$P$84)*E27)*(1+F27))-('ENG_COST'!$E$266*(1+'IN_COST'!$D$8*E27))-('ENG_COST'!$E$268*(1+'IN_COST'!$D$9*E27))-('ENG_CAPEX'!$E$81*(1+'ENG_CAPEX'!$D$23*E27))))*'IN_MACRO'!$D$14+('ENG_CAPEX'!$E$81*(1+'ENG_CAPEX'!$D$23*E27))-(('ENG_CAPEX'!$E$21+'ENG_CAPEX'!$E$42)*(1+'ENG_CAPEX'!$D$23*E27))-('ENG_WC'!$E$19*(1+AVERAGE('ENG_OPS'!$D$84:$P$84)*E27)*(1+F27))</f>
        <v/>
      </c>
      <c r="I27" s="36">
        <f>(('ENG_OPS'!$F$81*(1+AVERAGE('ENG_OPS'!$D$84:$P$84)*E27)*(1+F27))-('ENG_COST'!$F$266*(1+'IN_COST'!$D$8*E27))-('ENG_COST'!$F$268*(1+'IN_COST'!$D$9*E27))-('ENG_CAPEX'!$F$81*(1+'ENG_CAPEX'!$D$23*E27)))-MAX(0,(('ENG_OPS'!$F$81*(1+AVERAGE('ENG_OPS'!$D$84:$P$84)*E27)*(1+F27))-('ENG_COST'!$F$266*(1+'IN_COST'!$D$8*E27))-('ENG_COST'!$F$268*(1+'IN_COST'!$D$9*E27))-('ENG_CAPEX'!$F$81*(1+'ENG_CAPEX'!$D$23*E27))))*'IN_MACRO'!$D$14+('ENG_CAPEX'!$F$81*(1+'ENG_CAPEX'!$D$23*E27))-(('ENG_CAPEX'!$F$21+'ENG_CAPEX'!$F$42)*(1+'ENG_CAPEX'!$D$23*E27))-('ENG_WC'!$F$19*(1+AVERAGE('ENG_OPS'!$D$84:$P$84)*E27)*(1+F27))</f>
        <v/>
      </c>
      <c r="J27" s="36">
        <f>(('ENG_OPS'!$G$81*(1+AVERAGE('ENG_OPS'!$D$84:$P$84)*E27)*(1+F27))-('ENG_COST'!$G$266*(1+'IN_COST'!$D$8*E27))-('ENG_COST'!$G$268*(1+'IN_COST'!$D$9*E27))-('ENG_CAPEX'!$G$81*(1+'ENG_CAPEX'!$D$23*E27)))-MAX(0,(('ENG_OPS'!$G$81*(1+AVERAGE('ENG_OPS'!$D$84:$P$84)*E27)*(1+F27))-('ENG_COST'!$G$266*(1+'IN_COST'!$D$8*E27))-('ENG_COST'!$G$268*(1+'IN_COST'!$D$9*E27))-('ENG_CAPEX'!$G$81*(1+'ENG_CAPEX'!$D$23*E27))))*'IN_MACRO'!$D$14+('ENG_CAPEX'!$G$81*(1+'ENG_CAPEX'!$D$23*E27))-(('ENG_CAPEX'!$G$21+'ENG_CAPEX'!$G$42)*(1+'ENG_CAPEX'!$D$23*E27))-('ENG_WC'!$G$19*(1+AVERAGE('ENG_OPS'!$D$84:$P$84)*E27)*(1+F27))</f>
        <v/>
      </c>
      <c r="K27" s="36">
        <f>(('ENG_OPS'!$H$81*(1+AVERAGE('ENG_OPS'!$D$84:$P$84)*E27)*(1+F27))-('ENG_COST'!$H$266*(1+'IN_COST'!$D$8*E27))-('ENG_COST'!$H$268*(1+'IN_COST'!$D$9*E27))-('ENG_CAPEX'!$H$81*(1+'ENG_CAPEX'!$D$23*E27)))-MAX(0,(('ENG_OPS'!$H$81*(1+AVERAGE('ENG_OPS'!$D$84:$P$84)*E27)*(1+F27))-('ENG_COST'!$H$266*(1+'IN_COST'!$D$8*E27))-('ENG_COST'!$H$268*(1+'IN_COST'!$D$9*E27))-('ENG_CAPEX'!$H$81*(1+'ENG_CAPEX'!$D$23*E27))))*'IN_MACRO'!$D$14+('ENG_CAPEX'!$H$81*(1+'ENG_CAPEX'!$D$23*E27))-(('ENG_CAPEX'!$H$21+'ENG_CAPEX'!$H$42)*(1+'ENG_CAPEX'!$D$23*E27))-('ENG_WC'!$H$19*(1+AVERAGE('ENG_OPS'!$D$84:$P$84)*E27)*(1+F27))</f>
        <v/>
      </c>
      <c r="L27" s="36">
        <f>(('ENG_OPS'!$I$81*(1+AVERAGE('ENG_OPS'!$D$84:$P$84)*E27)*(1+F27))-('ENG_COST'!$I$266*(1+'IN_COST'!$D$8*E27))-('ENG_COST'!$I$268*(1+'IN_COST'!$D$9*E27))-('ENG_CAPEX'!$I$81*(1+'ENG_CAPEX'!$D$23*E27)))-MAX(0,(('ENG_OPS'!$I$81*(1+AVERAGE('ENG_OPS'!$D$84:$P$84)*E27)*(1+F27))-('ENG_COST'!$I$266*(1+'IN_COST'!$D$8*E27))-('ENG_COST'!$I$268*(1+'IN_COST'!$D$9*E27))-('ENG_CAPEX'!$I$81*(1+'ENG_CAPEX'!$D$23*E27))))*'IN_MACRO'!$D$14+('ENG_CAPEX'!$I$81*(1+'ENG_CAPEX'!$D$23*E27))-(('ENG_CAPEX'!$I$21+'ENG_CAPEX'!$I$42)*(1+'ENG_CAPEX'!$D$23*E27))-('ENG_WC'!$I$19*(1+AVERAGE('ENG_OPS'!$D$84:$P$84)*E27)*(1+F27))</f>
        <v/>
      </c>
      <c r="M27" s="36">
        <f>(('ENG_OPS'!$J$81*(1+AVERAGE('ENG_OPS'!$D$84:$P$84)*E27)*(1+F27))-('ENG_COST'!$J$266*(1+'IN_COST'!$D$8*E27))-('ENG_COST'!$J$268*(1+'IN_COST'!$D$9*E27))-('ENG_CAPEX'!$J$81*(1+'ENG_CAPEX'!$D$23*E27)))-MAX(0,(('ENG_OPS'!$J$81*(1+AVERAGE('ENG_OPS'!$D$84:$P$84)*E27)*(1+F27))-('ENG_COST'!$J$266*(1+'IN_COST'!$D$8*E27))-('ENG_COST'!$J$268*(1+'IN_COST'!$D$9*E27))-('ENG_CAPEX'!$J$81*(1+'ENG_CAPEX'!$D$23*E27))))*'IN_MACRO'!$D$14+('ENG_CAPEX'!$J$81*(1+'ENG_CAPEX'!$D$23*E27))-(('ENG_CAPEX'!$J$21+'ENG_CAPEX'!$J$42)*(1+'ENG_CAPEX'!$D$23*E27))-('ENG_WC'!$J$19*(1+AVERAGE('ENG_OPS'!$D$84:$P$84)*E27)*(1+F27))</f>
        <v/>
      </c>
      <c r="N27" s="36">
        <f>(('ENG_OPS'!$K$81*(1+AVERAGE('ENG_OPS'!$D$84:$P$84)*E27)*(1+F27))-('ENG_COST'!$K$266*(1+'IN_COST'!$D$8*E27))-('ENG_COST'!$K$268*(1+'IN_COST'!$D$9*E27))-('ENG_CAPEX'!$K$81*(1+'ENG_CAPEX'!$D$23*E27)))-MAX(0,(('ENG_OPS'!$K$81*(1+AVERAGE('ENG_OPS'!$D$84:$P$84)*E27)*(1+F27))-('ENG_COST'!$K$266*(1+'IN_COST'!$D$8*E27))-('ENG_COST'!$K$268*(1+'IN_COST'!$D$9*E27))-('ENG_CAPEX'!$K$81*(1+'ENG_CAPEX'!$D$23*E27))))*'IN_MACRO'!$D$14+('ENG_CAPEX'!$K$81*(1+'ENG_CAPEX'!$D$23*E27))-(('ENG_CAPEX'!$K$21+'ENG_CAPEX'!$K$42)*(1+'ENG_CAPEX'!$D$23*E27))-('ENG_WC'!$K$19*(1+AVERAGE('ENG_OPS'!$D$84:$P$84)*E27)*(1+F27))</f>
        <v/>
      </c>
      <c r="O27" s="36">
        <f>(('ENG_OPS'!$L$81*(1+AVERAGE('ENG_OPS'!$D$84:$P$84)*E27)*(1+F27))-('ENG_COST'!$L$266*(1+'IN_COST'!$D$8*E27))-('ENG_COST'!$L$268*(1+'IN_COST'!$D$9*E27))-('ENG_CAPEX'!$L$81*(1+'ENG_CAPEX'!$D$23*E27)))-MAX(0,(('ENG_OPS'!$L$81*(1+AVERAGE('ENG_OPS'!$D$84:$P$84)*E27)*(1+F27))-('ENG_COST'!$L$266*(1+'IN_COST'!$D$8*E27))-('ENG_COST'!$L$268*(1+'IN_COST'!$D$9*E27))-('ENG_CAPEX'!$L$81*(1+'ENG_CAPEX'!$D$23*E27))))*'IN_MACRO'!$D$14+('ENG_CAPEX'!$L$81*(1+'ENG_CAPEX'!$D$23*E27))-(('ENG_CAPEX'!$L$21+'ENG_CAPEX'!$L$42)*(1+'ENG_CAPEX'!$D$23*E27))-('ENG_WC'!$L$19*(1+AVERAGE('ENG_OPS'!$D$84:$P$84)*E27)*(1+F27))</f>
        <v/>
      </c>
      <c r="P27" s="36">
        <f>(('ENG_OPS'!$M$81*(1+AVERAGE('ENG_OPS'!$D$84:$P$84)*E27)*(1+F27))-('ENG_COST'!$M$266*(1+'IN_COST'!$D$8*E27))-('ENG_COST'!$M$268*(1+'IN_COST'!$D$9*E27))-('ENG_CAPEX'!$M$81*(1+'ENG_CAPEX'!$D$23*E27)))-MAX(0,(('ENG_OPS'!$M$81*(1+AVERAGE('ENG_OPS'!$D$84:$P$84)*E27)*(1+F27))-('ENG_COST'!$M$266*(1+'IN_COST'!$D$8*E27))-('ENG_COST'!$M$268*(1+'IN_COST'!$D$9*E27))-('ENG_CAPEX'!$M$81*(1+'ENG_CAPEX'!$D$23*E27))))*'IN_MACRO'!$D$14+('ENG_CAPEX'!$M$81*(1+'ENG_CAPEX'!$D$23*E27))-(('ENG_CAPEX'!$M$21+'ENG_CAPEX'!$M$42)*(1+'ENG_CAPEX'!$D$23*E27))-('ENG_WC'!$M$19*(1+AVERAGE('ENG_OPS'!$D$84:$P$84)*E27)*(1+F27))</f>
        <v/>
      </c>
      <c r="Q27" s="36">
        <f>(('ENG_OPS'!$N$81*(1+AVERAGE('ENG_OPS'!$D$84:$P$84)*E27)*(1+F27))-('ENG_COST'!$N$266*(1+'IN_COST'!$D$8*E27))-('ENG_COST'!$N$268*(1+'IN_COST'!$D$9*E27))-('ENG_CAPEX'!$N$81*(1+'ENG_CAPEX'!$D$23*E27)))-MAX(0,(('ENG_OPS'!$N$81*(1+AVERAGE('ENG_OPS'!$D$84:$P$84)*E27)*(1+F27))-('ENG_COST'!$N$266*(1+'IN_COST'!$D$8*E27))-('ENG_COST'!$N$268*(1+'IN_COST'!$D$9*E27))-('ENG_CAPEX'!$N$81*(1+'ENG_CAPEX'!$D$23*E27))))*'IN_MACRO'!$D$14+('ENG_CAPEX'!$N$81*(1+'ENG_CAPEX'!$D$23*E27))-(('ENG_CAPEX'!$N$21+'ENG_CAPEX'!$N$42)*(1+'ENG_CAPEX'!$D$23*E27))-('ENG_WC'!$N$19*(1+AVERAGE('ENG_OPS'!$D$84:$P$84)*E27)*(1+F27))</f>
        <v/>
      </c>
      <c r="R27" s="36">
        <f>(('ENG_OPS'!$O$81*(1+AVERAGE('ENG_OPS'!$D$84:$P$84)*E27)*(1+F27))-('ENG_COST'!$O$266*(1+'IN_COST'!$D$8*E27))-('ENG_COST'!$O$268*(1+'IN_COST'!$D$9*E27))-('ENG_CAPEX'!$O$81*(1+'ENG_CAPEX'!$D$23*E27)))-MAX(0,(('ENG_OPS'!$O$81*(1+AVERAGE('ENG_OPS'!$D$84:$P$84)*E27)*(1+F27))-('ENG_COST'!$O$266*(1+'IN_COST'!$D$8*E27))-('ENG_COST'!$O$268*(1+'IN_COST'!$D$9*E27))-('ENG_CAPEX'!$O$81*(1+'ENG_CAPEX'!$D$23*E27))))*'IN_MACRO'!$D$14+('ENG_CAPEX'!$O$81*(1+'ENG_CAPEX'!$D$23*E27))-(('ENG_CAPEX'!$O$21+'ENG_CAPEX'!$O$42)*(1+'ENG_CAPEX'!$D$23*E27))-('ENG_WC'!$O$19*(1+AVERAGE('ENG_OPS'!$D$84:$P$84)*E27)*(1+F27))</f>
        <v/>
      </c>
      <c r="S27" s="36">
        <f>(('ENG_OPS'!$P$81*(1+AVERAGE('ENG_OPS'!$D$84:$P$84)*E27)*(1+F27))-('ENG_COST'!$P$266*(1+'IN_COST'!$D$8*E27))-('ENG_COST'!$P$268*(1+'IN_COST'!$D$9*E27))-('ENG_CAPEX'!$P$81*(1+'ENG_CAPEX'!$D$23*E27)))-MAX(0,(('ENG_OPS'!$P$81*(1+AVERAGE('ENG_OPS'!$D$84:$P$84)*E27)*(1+F27))-('ENG_COST'!$P$266*(1+'IN_COST'!$D$8*E27))-('ENG_COST'!$P$268*(1+'IN_COST'!$D$9*E27))-('ENG_CAPEX'!$P$81*(1+'ENG_CAPEX'!$D$23*E27))))*'IN_MACRO'!$D$14+('ENG_CAPEX'!$P$81*(1+'ENG_CAPEX'!$D$23*E27))-(('ENG_CAPEX'!$P$21+'ENG_CAPEX'!$P$42)*(1+'ENG_CAPEX'!$D$23*E27))-('ENG_WC'!$P$19*(1+AVERAGE('ENG_OPS'!$D$84:$P$84)*E27)*(1+F27))</f>
        <v/>
      </c>
      <c r="T27" s="30">
        <f>1</f>
        <v/>
      </c>
      <c r="U27" s="30">
        <f>T27/(1+'ENG_DCF'!$E$14+D27)</f>
        <v/>
      </c>
      <c r="V27" s="30">
        <f>U27/(1+'ENG_DCF'!$F$14+D27)</f>
        <v/>
      </c>
      <c r="W27" s="30">
        <f>V27/(1+'ENG_DCF'!$G$14+D27)</f>
        <v/>
      </c>
      <c r="X27" s="30">
        <f>W27/(1+'ENG_DCF'!$H$14+D27)</f>
        <v/>
      </c>
      <c r="Y27" s="30">
        <f>X27/(1+'ENG_DCF'!$I$14+D27)</f>
        <v/>
      </c>
      <c r="Z27" s="30">
        <f>Y27/(1+'ENG_DCF'!$J$14+D27)</f>
        <v/>
      </c>
      <c r="AA27" s="30">
        <f>Z27/(1+'ENG_DCF'!$K$14+D27)</f>
        <v/>
      </c>
      <c r="AB27" s="30">
        <f>AA27/(1+'ENG_DCF'!$L$14+D27)</f>
        <v/>
      </c>
      <c r="AC27" s="30">
        <f>AB27/(1+'ENG_DCF'!$M$14+D27)</f>
        <v/>
      </c>
      <c r="AD27" s="30">
        <f>AC27/(1+'ENG_DCF'!$N$14+D27)</f>
        <v/>
      </c>
      <c r="AE27" s="30">
        <f>AD27/(1+'ENG_DCF'!$O$14+D27)</f>
        <v/>
      </c>
      <c r="AF27" s="30">
        <f>AE27/(1+'ENG_DCF'!$P$14+D27)</f>
        <v/>
      </c>
      <c r="AG27" s="36">
        <f>(G27*T27+H27*U27+I27*V27+J27*W27+K27*X27+L27*Y27+M27*Z27+N27*AA27+O27*AB27+P27*AC27+Q27*AD27+R27*AE27+S27*AF27)+(IF('IN_MACRO'!$D$19=1,MAX(0,(S27+(('ENG_CAPEX'!$P$21+'ENG_CAPEX'!$P$42)*(1+'ENG_CAPEX'!$D$23*E27))))*(1+'IN_MACRO'!$D$18)/MAX(0.005,'ENG_DCF'!$P$14+D27-'IN_MACRO'!$D$18),(('ENG_OPS'!$P$81*(1+AVERAGE('ENG_OPS'!$D$84:$P$84)*E27)*(1+F27))-('ENG_COST'!$P$266*(1+'IN_COST'!$D$8*E27))-('ENG_COST'!$P$268*(1+'IN_COST'!$D$9*E27)))*'IN_MACRO'!$D$20))*AF27</f>
        <v/>
      </c>
    </row>
    <row r="28">
      <c r="A28" t="inlineStr">
        <is>
          <t>FX|2|1</t>
        </is>
      </c>
      <c r="D28" s="38">
        <f>'IN_SCEN'!$F$24</f>
        <v/>
      </c>
      <c r="E28" s="38">
        <f>'IN_SCEN'!$E$25</f>
        <v/>
      </c>
      <c r="F28" s="38">
        <f>0</f>
        <v/>
      </c>
      <c r="G28" s="36">
        <f>(('ENG_OPS'!$D$81*(1+AVERAGE('ENG_OPS'!$D$84:$P$84)*E28)*(1+F28))-('ENG_COST'!$D$266*(1+'IN_COST'!$D$8*E28))-('ENG_COST'!$D$268*(1+'IN_COST'!$D$9*E28))-('ENG_CAPEX'!$D$81*(1+'ENG_CAPEX'!$D$23*E28)))-MAX(0,(('ENG_OPS'!$D$81*(1+AVERAGE('ENG_OPS'!$D$84:$P$84)*E28)*(1+F28))-('ENG_COST'!$D$266*(1+'IN_COST'!$D$8*E28))-('ENG_COST'!$D$268*(1+'IN_COST'!$D$9*E28))-('ENG_CAPEX'!$D$81*(1+'ENG_CAPEX'!$D$23*E28))))*'IN_MACRO'!$D$14+('ENG_CAPEX'!$D$81*(1+'ENG_CAPEX'!$D$23*E28))-(('ENG_CAPEX'!$D$21+'ENG_CAPEX'!$D$42)*(1+'ENG_CAPEX'!$D$23*E28))-('ENG_WC'!$D$19*(1+AVERAGE('ENG_OPS'!$D$84:$P$84)*E28)*(1+F28))</f>
        <v/>
      </c>
      <c r="H28" s="36">
        <f>(('ENG_OPS'!$E$81*(1+AVERAGE('ENG_OPS'!$D$84:$P$84)*E28)*(1+F28))-('ENG_COST'!$E$266*(1+'IN_COST'!$D$8*E28))-('ENG_COST'!$E$268*(1+'IN_COST'!$D$9*E28))-('ENG_CAPEX'!$E$81*(1+'ENG_CAPEX'!$D$23*E28)))-MAX(0,(('ENG_OPS'!$E$81*(1+AVERAGE('ENG_OPS'!$D$84:$P$84)*E28)*(1+F28))-('ENG_COST'!$E$266*(1+'IN_COST'!$D$8*E28))-('ENG_COST'!$E$268*(1+'IN_COST'!$D$9*E28))-('ENG_CAPEX'!$E$81*(1+'ENG_CAPEX'!$D$23*E28))))*'IN_MACRO'!$D$14+('ENG_CAPEX'!$E$81*(1+'ENG_CAPEX'!$D$23*E28))-(('ENG_CAPEX'!$E$21+'ENG_CAPEX'!$E$42)*(1+'ENG_CAPEX'!$D$23*E28))-('ENG_WC'!$E$19*(1+AVERAGE('ENG_OPS'!$D$84:$P$84)*E28)*(1+F28))</f>
        <v/>
      </c>
      <c r="I28" s="36">
        <f>(('ENG_OPS'!$F$81*(1+AVERAGE('ENG_OPS'!$D$84:$P$84)*E28)*(1+F28))-('ENG_COST'!$F$266*(1+'IN_COST'!$D$8*E28))-('ENG_COST'!$F$268*(1+'IN_COST'!$D$9*E28))-('ENG_CAPEX'!$F$81*(1+'ENG_CAPEX'!$D$23*E28)))-MAX(0,(('ENG_OPS'!$F$81*(1+AVERAGE('ENG_OPS'!$D$84:$P$84)*E28)*(1+F28))-('ENG_COST'!$F$266*(1+'IN_COST'!$D$8*E28))-('ENG_COST'!$F$268*(1+'IN_COST'!$D$9*E28))-('ENG_CAPEX'!$F$81*(1+'ENG_CAPEX'!$D$23*E28))))*'IN_MACRO'!$D$14+('ENG_CAPEX'!$F$81*(1+'ENG_CAPEX'!$D$23*E28))-(('ENG_CAPEX'!$F$21+'ENG_CAPEX'!$F$42)*(1+'ENG_CAPEX'!$D$23*E28))-('ENG_WC'!$F$19*(1+AVERAGE('ENG_OPS'!$D$84:$P$84)*E28)*(1+F28))</f>
        <v/>
      </c>
      <c r="J28" s="36">
        <f>(('ENG_OPS'!$G$81*(1+AVERAGE('ENG_OPS'!$D$84:$P$84)*E28)*(1+F28))-('ENG_COST'!$G$266*(1+'IN_COST'!$D$8*E28))-('ENG_COST'!$G$268*(1+'IN_COST'!$D$9*E28))-('ENG_CAPEX'!$G$81*(1+'ENG_CAPEX'!$D$23*E28)))-MAX(0,(('ENG_OPS'!$G$81*(1+AVERAGE('ENG_OPS'!$D$84:$P$84)*E28)*(1+F28))-('ENG_COST'!$G$266*(1+'IN_COST'!$D$8*E28))-('ENG_COST'!$G$268*(1+'IN_COST'!$D$9*E28))-('ENG_CAPEX'!$G$81*(1+'ENG_CAPEX'!$D$23*E28))))*'IN_MACRO'!$D$14+('ENG_CAPEX'!$G$81*(1+'ENG_CAPEX'!$D$23*E28))-(('ENG_CAPEX'!$G$21+'ENG_CAPEX'!$G$42)*(1+'ENG_CAPEX'!$D$23*E28))-('ENG_WC'!$G$19*(1+AVERAGE('ENG_OPS'!$D$84:$P$84)*E28)*(1+F28))</f>
        <v/>
      </c>
      <c r="K28" s="36">
        <f>(('ENG_OPS'!$H$81*(1+AVERAGE('ENG_OPS'!$D$84:$P$84)*E28)*(1+F28))-('ENG_COST'!$H$266*(1+'IN_COST'!$D$8*E28))-('ENG_COST'!$H$268*(1+'IN_COST'!$D$9*E28))-('ENG_CAPEX'!$H$81*(1+'ENG_CAPEX'!$D$23*E28)))-MAX(0,(('ENG_OPS'!$H$81*(1+AVERAGE('ENG_OPS'!$D$84:$P$84)*E28)*(1+F28))-('ENG_COST'!$H$266*(1+'IN_COST'!$D$8*E28))-('ENG_COST'!$H$268*(1+'IN_COST'!$D$9*E28))-('ENG_CAPEX'!$H$81*(1+'ENG_CAPEX'!$D$23*E28))))*'IN_MACRO'!$D$14+('ENG_CAPEX'!$H$81*(1+'ENG_CAPEX'!$D$23*E28))-(('ENG_CAPEX'!$H$21+'ENG_CAPEX'!$H$42)*(1+'ENG_CAPEX'!$D$23*E28))-('ENG_WC'!$H$19*(1+AVERAGE('ENG_OPS'!$D$84:$P$84)*E28)*(1+F28))</f>
        <v/>
      </c>
      <c r="L28" s="36">
        <f>(('ENG_OPS'!$I$81*(1+AVERAGE('ENG_OPS'!$D$84:$P$84)*E28)*(1+F28))-('ENG_COST'!$I$266*(1+'IN_COST'!$D$8*E28))-('ENG_COST'!$I$268*(1+'IN_COST'!$D$9*E28))-('ENG_CAPEX'!$I$81*(1+'ENG_CAPEX'!$D$23*E28)))-MAX(0,(('ENG_OPS'!$I$81*(1+AVERAGE('ENG_OPS'!$D$84:$P$84)*E28)*(1+F28))-('ENG_COST'!$I$266*(1+'IN_COST'!$D$8*E28))-('ENG_COST'!$I$268*(1+'IN_COST'!$D$9*E28))-('ENG_CAPEX'!$I$81*(1+'ENG_CAPEX'!$D$23*E28))))*'IN_MACRO'!$D$14+('ENG_CAPEX'!$I$81*(1+'ENG_CAPEX'!$D$23*E28))-(('ENG_CAPEX'!$I$21+'ENG_CAPEX'!$I$42)*(1+'ENG_CAPEX'!$D$23*E28))-('ENG_WC'!$I$19*(1+AVERAGE('ENG_OPS'!$D$84:$P$84)*E28)*(1+F28))</f>
        <v/>
      </c>
      <c r="M28" s="36">
        <f>(('ENG_OPS'!$J$81*(1+AVERAGE('ENG_OPS'!$D$84:$P$84)*E28)*(1+F28))-('ENG_COST'!$J$266*(1+'IN_COST'!$D$8*E28))-('ENG_COST'!$J$268*(1+'IN_COST'!$D$9*E28))-('ENG_CAPEX'!$J$81*(1+'ENG_CAPEX'!$D$23*E28)))-MAX(0,(('ENG_OPS'!$J$81*(1+AVERAGE('ENG_OPS'!$D$84:$P$84)*E28)*(1+F28))-('ENG_COST'!$J$266*(1+'IN_COST'!$D$8*E28))-('ENG_COST'!$J$268*(1+'IN_COST'!$D$9*E28))-('ENG_CAPEX'!$J$81*(1+'ENG_CAPEX'!$D$23*E28))))*'IN_MACRO'!$D$14+('ENG_CAPEX'!$J$81*(1+'ENG_CAPEX'!$D$23*E28))-(('ENG_CAPEX'!$J$21+'ENG_CAPEX'!$J$42)*(1+'ENG_CAPEX'!$D$23*E28))-('ENG_WC'!$J$19*(1+AVERAGE('ENG_OPS'!$D$84:$P$84)*E28)*(1+F28))</f>
        <v/>
      </c>
      <c r="N28" s="36">
        <f>(('ENG_OPS'!$K$81*(1+AVERAGE('ENG_OPS'!$D$84:$P$84)*E28)*(1+F28))-('ENG_COST'!$K$266*(1+'IN_COST'!$D$8*E28))-('ENG_COST'!$K$268*(1+'IN_COST'!$D$9*E28))-('ENG_CAPEX'!$K$81*(1+'ENG_CAPEX'!$D$23*E28)))-MAX(0,(('ENG_OPS'!$K$81*(1+AVERAGE('ENG_OPS'!$D$84:$P$84)*E28)*(1+F28))-('ENG_COST'!$K$266*(1+'IN_COST'!$D$8*E28))-('ENG_COST'!$K$268*(1+'IN_COST'!$D$9*E28))-('ENG_CAPEX'!$K$81*(1+'ENG_CAPEX'!$D$23*E28))))*'IN_MACRO'!$D$14+('ENG_CAPEX'!$K$81*(1+'ENG_CAPEX'!$D$23*E28))-(('ENG_CAPEX'!$K$21+'ENG_CAPEX'!$K$42)*(1+'ENG_CAPEX'!$D$23*E28))-('ENG_WC'!$K$19*(1+AVERAGE('ENG_OPS'!$D$84:$P$84)*E28)*(1+F28))</f>
        <v/>
      </c>
      <c r="O28" s="36">
        <f>(('ENG_OPS'!$L$81*(1+AVERAGE('ENG_OPS'!$D$84:$P$84)*E28)*(1+F28))-('ENG_COST'!$L$266*(1+'IN_COST'!$D$8*E28))-('ENG_COST'!$L$268*(1+'IN_COST'!$D$9*E28))-('ENG_CAPEX'!$L$81*(1+'ENG_CAPEX'!$D$23*E28)))-MAX(0,(('ENG_OPS'!$L$81*(1+AVERAGE('ENG_OPS'!$D$84:$P$84)*E28)*(1+F28))-('ENG_COST'!$L$266*(1+'IN_COST'!$D$8*E28))-('ENG_COST'!$L$268*(1+'IN_COST'!$D$9*E28))-('ENG_CAPEX'!$L$81*(1+'ENG_CAPEX'!$D$23*E28))))*'IN_MACRO'!$D$14+('ENG_CAPEX'!$L$81*(1+'ENG_CAPEX'!$D$23*E28))-(('ENG_CAPEX'!$L$21+'ENG_CAPEX'!$L$42)*(1+'ENG_CAPEX'!$D$23*E28))-('ENG_WC'!$L$19*(1+AVERAGE('ENG_OPS'!$D$84:$P$84)*E28)*(1+F28))</f>
        <v/>
      </c>
      <c r="P28" s="36">
        <f>(('ENG_OPS'!$M$81*(1+AVERAGE('ENG_OPS'!$D$84:$P$84)*E28)*(1+F28))-('ENG_COST'!$M$266*(1+'IN_COST'!$D$8*E28))-('ENG_COST'!$M$268*(1+'IN_COST'!$D$9*E28))-('ENG_CAPEX'!$M$81*(1+'ENG_CAPEX'!$D$23*E28)))-MAX(0,(('ENG_OPS'!$M$81*(1+AVERAGE('ENG_OPS'!$D$84:$P$84)*E28)*(1+F28))-('ENG_COST'!$M$266*(1+'IN_COST'!$D$8*E28))-('ENG_COST'!$M$268*(1+'IN_COST'!$D$9*E28))-('ENG_CAPEX'!$M$81*(1+'ENG_CAPEX'!$D$23*E28))))*'IN_MACRO'!$D$14+('ENG_CAPEX'!$M$81*(1+'ENG_CAPEX'!$D$23*E28))-(('ENG_CAPEX'!$M$21+'ENG_CAPEX'!$M$42)*(1+'ENG_CAPEX'!$D$23*E28))-('ENG_WC'!$M$19*(1+AVERAGE('ENG_OPS'!$D$84:$P$84)*E28)*(1+F28))</f>
        <v/>
      </c>
      <c r="Q28" s="36">
        <f>(('ENG_OPS'!$N$81*(1+AVERAGE('ENG_OPS'!$D$84:$P$84)*E28)*(1+F28))-('ENG_COST'!$N$266*(1+'IN_COST'!$D$8*E28))-('ENG_COST'!$N$268*(1+'IN_COST'!$D$9*E28))-('ENG_CAPEX'!$N$81*(1+'ENG_CAPEX'!$D$23*E28)))-MAX(0,(('ENG_OPS'!$N$81*(1+AVERAGE('ENG_OPS'!$D$84:$P$84)*E28)*(1+F28))-('ENG_COST'!$N$266*(1+'IN_COST'!$D$8*E28))-('ENG_COST'!$N$268*(1+'IN_COST'!$D$9*E28))-('ENG_CAPEX'!$N$81*(1+'ENG_CAPEX'!$D$23*E28))))*'IN_MACRO'!$D$14+('ENG_CAPEX'!$N$81*(1+'ENG_CAPEX'!$D$23*E28))-(('ENG_CAPEX'!$N$21+'ENG_CAPEX'!$N$42)*(1+'ENG_CAPEX'!$D$23*E28))-('ENG_WC'!$N$19*(1+AVERAGE('ENG_OPS'!$D$84:$P$84)*E28)*(1+F28))</f>
        <v/>
      </c>
      <c r="R28" s="36">
        <f>(('ENG_OPS'!$O$81*(1+AVERAGE('ENG_OPS'!$D$84:$P$84)*E28)*(1+F28))-('ENG_COST'!$O$266*(1+'IN_COST'!$D$8*E28))-('ENG_COST'!$O$268*(1+'IN_COST'!$D$9*E28))-('ENG_CAPEX'!$O$81*(1+'ENG_CAPEX'!$D$23*E28)))-MAX(0,(('ENG_OPS'!$O$81*(1+AVERAGE('ENG_OPS'!$D$84:$P$84)*E28)*(1+F28))-('ENG_COST'!$O$266*(1+'IN_COST'!$D$8*E28))-('ENG_COST'!$O$268*(1+'IN_COST'!$D$9*E28))-('ENG_CAPEX'!$O$81*(1+'ENG_CAPEX'!$D$23*E28))))*'IN_MACRO'!$D$14+('ENG_CAPEX'!$O$81*(1+'ENG_CAPEX'!$D$23*E28))-(('ENG_CAPEX'!$O$21+'ENG_CAPEX'!$O$42)*(1+'ENG_CAPEX'!$D$23*E28))-('ENG_WC'!$O$19*(1+AVERAGE('ENG_OPS'!$D$84:$P$84)*E28)*(1+F28))</f>
        <v/>
      </c>
      <c r="S28" s="36">
        <f>(('ENG_OPS'!$P$81*(1+AVERAGE('ENG_OPS'!$D$84:$P$84)*E28)*(1+F28))-('ENG_COST'!$P$266*(1+'IN_COST'!$D$8*E28))-('ENG_COST'!$P$268*(1+'IN_COST'!$D$9*E28))-('ENG_CAPEX'!$P$81*(1+'ENG_CAPEX'!$D$23*E28)))-MAX(0,(('ENG_OPS'!$P$81*(1+AVERAGE('ENG_OPS'!$D$84:$P$84)*E28)*(1+F28))-('ENG_COST'!$P$266*(1+'IN_COST'!$D$8*E28))-('ENG_COST'!$P$268*(1+'IN_COST'!$D$9*E28))-('ENG_CAPEX'!$P$81*(1+'ENG_CAPEX'!$D$23*E28))))*'IN_MACRO'!$D$14+('ENG_CAPEX'!$P$81*(1+'ENG_CAPEX'!$D$23*E28))-(('ENG_CAPEX'!$P$21+'ENG_CAPEX'!$P$42)*(1+'ENG_CAPEX'!$D$23*E28))-('ENG_WC'!$P$19*(1+AVERAGE('ENG_OPS'!$D$84:$P$84)*E28)*(1+F28))</f>
        <v/>
      </c>
      <c r="T28" s="30">
        <f>1</f>
        <v/>
      </c>
      <c r="U28" s="30">
        <f>T28/(1+'ENG_DCF'!$E$14+D28)</f>
        <v/>
      </c>
      <c r="V28" s="30">
        <f>U28/(1+'ENG_DCF'!$F$14+D28)</f>
        <v/>
      </c>
      <c r="W28" s="30">
        <f>V28/(1+'ENG_DCF'!$G$14+D28)</f>
        <v/>
      </c>
      <c r="X28" s="30">
        <f>W28/(1+'ENG_DCF'!$H$14+D28)</f>
        <v/>
      </c>
      <c r="Y28" s="30">
        <f>X28/(1+'ENG_DCF'!$I$14+D28)</f>
        <v/>
      </c>
      <c r="Z28" s="30">
        <f>Y28/(1+'ENG_DCF'!$J$14+D28)</f>
        <v/>
      </c>
      <c r="AA28" s="30">
        <f>Z28/(1+'ENG_DCF'!$K$14+D28)</f>
        <v/>
      </c>
      <c r="AB28" s="30">
        <f>AA28/(1+'ENG_DCF'!$L$14+D28)</f>
        <v/>
      </c>
      <c r="AC28" s="30">
        <f>AB28/(1+'ENG_DCF'!$M$14+D28)</f>
        <v/>
      </c>
      <c r="AD28" s="30">
        <f>AC28/(1+'ENG_DCF'!$N$14+D28)</f>
        <v/>
      </c>
      <c r="AE28" s="30">
        <f>AD28/(1+'ENG_DCF'!$O$14+D28)</f>
        <v/>
      </c>
      <c r="AF28" s="30">
        <f>AE28/(1+'ENG_DCF'!$P$14+D28)</f>
        <v/>
      </c>
      <c r="AG28" s="36">
        <f>(G28*T28+H28*U28+I28*V28+J28*W28+K28*X28+L28*Y28+M28*Z28+N28*AA28+O28*AB28+P28*AC28+Q28*AD28+R28*AE28+S28*AF28)+(IF('IN_MACRO'!$D$19=1,MAX(0,(S28+(('ENG_CAPEX'!$P$21+'ENG_CAPEX'!$P$42)*(1+'ENG_CAPEX'!$D$23*E28))))*(1+'IN_MACRO'!$D$18)/MAX(0.005,'ENG_DCF'!$P$14+D28-'IN_MACRO'!$D$18),(('ENG_OPS'!$P$81*(1+AVERAGE('ENG_OPS'!$D$84:$P$84)*E28)*(1+F28))-('ENG_COST'!$P$266*(1+'IN_COST'!$D$8*E28))-('ENG_COST'!$P$268*(1+'IN_COST'!$D$9*E28)))*'IN_MACRO'!$D$20))*AF28</f>
        <v/>
      </c>
    </row>
    <row r="29">
      <c r="A29" t="inlineStr">
        <is>
          <t>PR|2|1</t>
        </is>
      </c>
      <c r="D29" s="38">
        <f>'IN_SCEN'!$F$24</f>
        <v/>
      </c>
      <c r="E29" s="38">
        <f>0</f>
        <v/>
      </c>
      <c r="F29" s="38">
        <f>'IN_SCEN'!$E$26</f>
        <v/>
      </c>
      <c r="G29" s="36">
        <f>(('ENG_OPS'!$D$81*(1+AVERAGE('ENG_OPS'!$D$84:$P$84)*E29)*(1+F29))-('ENG_COST'!$D$266*(1+'IN_COST'!$D$8*E29))-('ENG_COST'!$D$268*(1+'IN_COST'!$D$9*E29))-('ENG_CAPEX'!$D$81*(1+'ENG_CAPEX'!$D$23*E29)))-MAX(0,(('ENG_OPS'!$D$81*(1+AVERAGE('ENG_OPS'!$D$84:$P$84)*E29)*(1+F29))-('ENG_COST'!$D$266*(1+'IN_COST'!$D$8*E29))-('ENG_COST'!$D$268*(1+'IN_COST'!$D$9*E29))-('ENG_CAPEX'!$D$81*(1+'ENG_CAPEX'!$D$23*E29))))*'IN_MACRO'!$D$14+('ENG_CAPEX'!$D$81*(1+'ENG_CAPEX'!$D$23*E29))-(('ENG_CAPEX'!$D$21+'ENG_CAPEX'!$D$42)*(1+'ENG_CAPEX'!$D$23*E29))-('ENG_WC'!$D$19*(1+AVERAGE('ENG_OPS'!$D$84:$P$84)*E29)*(1+F29))</f>
        <v/>
      </c>
      <c r="H29" s="36">
        <f>(('ENG_OPS'!$E$81*(1+AVERAGE('ENG_OPS'!$D$84:$P$84)*E29)*(1+F29))-('ENG_COST'!$E$266*(1+'IN_COST'!$D$8*E29))-('ENG_COST'!$E$268*(1+'IN_COST'!$D$9*E29))-('ENG_CAPEX'!$E$81*(1+'ENG_CAPEX'!$D$23*E29)))-MAX(0,(('ENG_OPS'!$E$81*(1+AVERAGE('ENG_OPS'!$D$84:$P$84)*E29)*(1+F29))-('ENG_COST'!$E$266*(1+'IN_COST'!$D$8*E29))-('ENG_COST'!$E$268*(1+'IN_COST'!$D$9*E29))-('ENG_CAPEX'!$E$81*(1+'ENG_CAPEX'!$D$23*E29))))*'IN_MACRO'!$D$14+('ENG_CAPEX'!$E$81*(1+'ENG_CAPEX'!$D$23*E29))-(('ENG_CAPEX'!$E$21+'ENG_CAPEX'!$E$42)*(1+'ENG_CAPEX'!$D$23*E29))-('ENG_WC'!$E$19*(1+AVERAGE('ENG_OPS'!$D$84:$P$84)*E29)*(1+F29))</f>
        <v/>
      </c>
      <c r="I29" s="36">
        <f>(('ENG_OPS'!$F$81*(1+AVERAGE('ENG_OPS'!$D$84:$P$84)*E29)*(1+F29))-('ENG_COST'!$F$266*(1+'IN_COST'!$D$8*E29))-('ENG_COST'!$F$268*(1+'IN_COST'!$D$9*E29))-('ENG_CAPEX'!$F$81*(1+'ENG_CAPEX'!$D$23*E29)))-MAX(0,(('ENG_OPS'!$F$81*(1+AVERAGE('ENG_OPS'!$D$84:$P$84)*E29)*(1+F29))-('ENG_COST'!$F$266*(1+'IN_COST'!$D$8*E29))-('ENG_COST'!$F$268*(1+'IN_COST'!$D$9*E29))-('ENG_CAPEX'!$F$81*(1+'ENG_CAPEX'!$D$23*E29))))*'IN_MACRO'!$D$14+('ENG_CAPEX'!$F$81*(1+'ENG_CAPEX'!$D$23*E29))-(('ENG_CAPEX'!$F$21+'ENG_CAPEX'!$F$42)*(1+'ENG_CAPEX'!$D$23*E29))-('ENG_WC'!$F$19*(1+AVERAGE('ENG_OPS'!$D$84:$P$84)*E29)*(1+F29))</f>
        <v/>
      </c>
      <c r="J29" s="36">
        <f>(('ENG_OPS'!$G$81*(1+AVERAGE('ENG_OPS'!$D$84:$P$84)*E29)*(1+F29))-('ENG_COST'!$G$266*(1+'IN_COST'!$D$8*E29))-('ENG_COST'!$G$268*(1+'IN_COST'!$D$9*E29))-('ENG_CAPEX'!$G$81*(1+'ENG_CAPEX'!$D$23*E29)))-MAX(0,(('ENG_OPS'!$G$81*(1+AVERAGE('ENG_OPS'!$D$84:$P$84)*E29)*(1+F29))-('ENG_COST'!$G$266*(1+'IN_COST'!$D$8*E29))-('ENG_COST'!$G$268*(1+'IN_COST'!$D$9*E29))-('ENG_CAPEX'!$G$81*(1+'ENG_CAPEX'!$D$23*E29))))*'IN_MACRO'!$D$14+('ENG_CAPEX'!$G$81*(1+'ENG_CAPEX'!$D$23*E29))-(('ENG_CAPEX'!$G$21+'ENG_CAPEX'!$G$42)*(1+'ENG_CAPEX'!$D$23*E29))-('ENG_WC'!$G$19*(1+AVERAGE('ENG_OPS'!$D$84:$P$84)*E29)*(1+F29))</f>
        <v/>
      </c>
      <c r="K29" s="36">
        <f>(('ENG_OPS'!$H$81*(1+AVERAGE('ENG_OPS'!$D$84:$P$84)*E29)*(1+F29))-('ENG_COST'!$H$266*(1+'IN_COST'!$D$8*E29))-('ENG_COST'!$H$268*(1+'IN_COST'!$D$9*E29))-('ENG_CAPEX'!$H$81*(1+'ENG_CAPEX'!$D$23*E29)))-MAX(0,(('ENG_OPS'!$H$81*(1+AVERAGE('ENG_OPS'!$D$84:$P$84)*E29)*(1+F29))-('ENG_COST'!$H$266*(1+'IN_COST'!$D$8*E29))-('ENG_COST'!$H$268*(1+'IN_COST'!$D$9*E29))-('ENG_CAPEX'!$H$81*(1+'ENG_CAPEX'!$D$23*E29))))*'IN_MACRO'!$D$14+('ENG_CAPEX'!$H$81*(1+'ENG_CAPEX'!$D$23*E29))-(('ENG_CAPEX'!$H$21+'ENG_CAPEX'!$H$42)*(1+'ENG_CAPEX'!$D$23*E29))-('ENG_WC'!$H$19*(1+AVERAGE('ENG_OPS'!$D$84:$P$84)*E29)*(1+F29))</f>
        <v/>
      </c>
      <c r="L29" s="36">
        <f>(('ENG_OPS'!$I$81*(1+AVERAGE('ENG_OPS'!$D$84:$P$84)*E29)*(1+F29))-('ENG_COST'!$I$266*(1+'IN_COST'!$D$8*E29))-('ENG_COST'!$I$268*(1+'IN_COST'!$D$9*E29))-('ENG_CAPEX'!$I$81*(1+'ENG_CAPEX'!$D$23*E29)))-MAX(0,(('ENG_OPS'!$I$81*(1+AVERAGE('ENG_OPS'!$D$84:$P$84)*E29)*(1+F29))-('ENG_COST'!$I$266*(1+'IN_COST'!$D$8*E29))-('ENG_COST'!$I$268*(1+'IN_COST'!$D$9*E29))-('ENG_CAPEX'!$I$81*(1+'ENG_CAPEX'!$D$23*E29))))*'IN_MACRO'!$D$14+('ENG_CAPEX'!$I$81*(1+'ENG_CAPEX'!$D$23*E29))-(('ENG_CAPEX'!$I$21+'ENG_CAPEX'!$I$42)*(1+'ENG_CAPEX'!$D$23*E29))-('ENG_WC'!$I$19*(1+AVERAGE('ENG_OPS'!$D$84:$P$84)*E29)*(1+F29))</f>
        <v/>
      </c>
      <c r="M29" s="36">
        <f>(('ENG_OPS'!$J$81*(1+AVERAGE('ENG_OPS'!$D$84:$P$84)*E29)*(1+F29))-('ENG_COST'!$J$266*(1+'IN_COST'!$D$8*E29))-('ENG_COST'!$J$268*(1+'IN_COST'!$D$9*E29))-('ENG_CAPEX'!$J$81*(1+'ENG_CAPEX'!$D$23*E29)))-MAX(0,(('ENG_OPS'!$J$81*(1+AVERAGE('ENG_OPS'!$D$84:$P$84)*E29)*(1+F29))-('ENG_COST'!$J$266*(1+'IN_COST'!$D$8*E29))-('ENG_COST'!$J$268*(1+'IN_COST'!$D$9*E29))-('ENG_CAPEX'!$J$81*(1+'ENG_CAPEX'!$D$23*E29))))*'IN_MACRO'!$D$14+('ENG_CAPEX'!$J$81*(1+'ENG_CAPEX'!$D$23*E29))-(('ENG_CAPEX'!$J$21+'ENG_CAPEX'!$J$42)*(1+'ENG_CAPEX'!$D$23*E29))-('ENG_WC'!$J$19*(1+AVERAGE('ENG_OPS'!$D$84:$P$84)*E29)*(1+F29))</f>
        <v/>
      </c>
      <c r="N29" s="36">
        <f>(('ENG_OPS'!$K$81*(1+AVERAGE('ENG_OPS'!$D$84:$P$84)*E29)*(1+F29))-('ENG_COST'!$K$266*(1+'IN_COST'!$D$8*E29))-('ENG_COST'!$K$268*(1+'IN_COST'!$D$9*E29))-('ENG_CAPEX'!$K$81*(1+'ENG_CAPEX'!$D$23*E29)))-MAX(0,(('ENG_OPS'!$K$81*(1+AVERAGE('ENG_OPS'!$D$84:$P$84)*E29)*(1+F29))-('ENG_COST'!$K$266*(1+'IN_COST'!$D$8*E29))-('ENG_COST'!$K$268*(1+'IN_COST'!$D$9*E29))-('ENG_CAPEX'!$K$81*(1+'ENG_CAPEX'!$D$23*E29))))*'IN_MACRO'!$D$14+('ENG_CAPEX'!$K$81*(1+'ENG_CAPEX'!$D$23*E29))-(('ENG_CAPEX'!$K$21+'ENG_CAPEX'!$K$42)*(1+'ENG_CAPEX'!$D$23*E29))-('ENG_WC'!$K$19*(1+AVERAGE('ENG_OPS'!$D$84:$P$84)*E29)*(1+F29))</f>
        <v/>
      </c>
      <c r="O29" s="36">
        <f>(('ENG_OPS'!$L$81*(1+AVERAGE('ENG_OPS'!$D$84:$P$84)*E29)*(1+F29))-('ENG_COST'!$L$266*(1+'IN_COST'!$D$8*E29))-('ENG_COST'!$L$268*(1+'IN_COST'!$D$9*E29))-('ENG_CAPEX'!$L$81*(1+'ENG_CAPEX'!$D$23*E29)))-MAX(0,(('ENG_OPS'!$L$81*(1+AVERAGE('ENG_OPS'!$D$84:$P$84)*E29)*(1+F29))-('ENG_COST'!$L$266*(1+'IN_COST'!$D$8*E29))-('ENG_COST'!$L$268*(1+'IN_COST'!$D$9*E29))-('ENG_CAPEX'!$L$81*(1+'ENG_CAPEX'!$D$23*E29))))*'IN_MACRO'!$D$14+('ENG_CAPEX'!$L$81*(1+'ENG_CAPEX'!$D$23*E29))-(('ENG_CAPEX'!$L$21+'ENG_CAPEX'!$L$42)*(1+'ENG_CAPEX'!$D$23*E29))-('ENG_WC'!$L$19*(1+AVERAGE('ENG_OPS'!$D$84:$P$84)*E29)*(1+F29))</f>
        <v/>
      </c>
      <c r="P29" s="36">
        <f>(('ENG_OPS'!$M$81*(1+AVERAGE('ENG_OPS'!$D$84:$P$84)*E29)*(1+F29))-('ENG_COST'!$M$266*(1+'IN_COST'!$D$8*E29))-('ENG_COST'!$M$268*(1+'IN_COST'!$D$9*E29))-('ENG_CAPEX'!$M$81*(1+'ENG_CAPEX'!$D$23*E29)))-MAX(0,(('ENG_OPS'!$M$81*(1+AVERAGE('ENG_OPS'!$D$84:$P$84)*E29)*(1+F29))-('ENG_COST'!$M$266*(1+'IN_COST'!$D$8*E29))-('ENG_COST'!$M$268*(1+'IN_COST'!$D$9*E29))-('ENG_CAPEX'!$M$81*(1+'ENG_CAPEX'!$D$23*E29))))*'IN_MACRO'!$D$14+('ENG_CAPEX'!$M$81*(1+'ENG_CAPEX'!$D$23*E29))-(('ENG_CAPEX'!$M$21+'ENG_CAPEX'!$M$42)*(1+'ENG_CAPEX'!$D$23*E29))-('ENG_WC'!$M$19*(1+AVERAGE('ENG_OPS'!$D$84:$P$84)*E29)*(1+F29))</f>
        <v/>
      </c>
      <c r="Q29" s="36">
        <f>(('ENG_OPS'!$N$81*(1+AVERAGE('ENG_OPS'!$D$84:$P$84)*E29)*(1+F29))-('ENG_COST'!$N$266*(1+'IN_COST'!$D$8*E29))-('ENG_COST'!$N$268*(1+'IN_COST'!$D$9*E29))-('ENG_CAPEX'!$N$81*(1+'ENG_CAPEX'!$D$23*E29)))-MAX(0,(('ENG_OPS'!$N$81*(1+AVERAGE('ENG_OPS'!$D$84:$P$84)*E29)*(1+F29))-('ENG_COST'!$N$266*(1+'IN_COST'!$D$8*E29))-('ENG_COST'!$N$268*(1+'IN_COST'!$D$9*E29))-('ENG_CAPEX'!$N$81*(1+'ENG_CAPEX'!$D$23*E29))))*'IN_MACRO'!$D$14+('ENG_CAPEX'!$N$81*(1+'ENG_CAPEX'!$D$23*E29))-(('ENG_CAPEX'!$N$21+'ENG_CAPEX'!$N$42)*(1+'ENG_CAPEX'!$D$23*E29))-('ENG_WC'!$N$19*(1+AVERAGE('ENG_OPS'!$D$84:$P$84)*E29)*(1+F29))</f>
        <v/>
      </c>
      <c r="R29" s="36">
        <f>(('ENG_OPS'!$O$81*(1+AVERAGE('ENG_OPS'!$D$84:$P$84)*E29)*(1+F29))-('ENG_COST'!$O$266*(1+'IN_COST'!$D$8*E29))-('ENG_COST'!$O$268*(1+'IN_COST'!$D$9*E29))-('ENG_CAPEX'!$O$81*(1+'ENG_CAPEX'!$D$23*E29)))-MAX(0,(('ENG_OPS'!$O$81*(1+AVERAGE('ENG_OPS'!$D$84:$P$84)*E29)*(1+F29))-('ENG_COST'!$O$266*(1+'IN_COST'!$D$8*E29))-('ENG_COST'!$O$268*(1+'IN_COST'!$D$9*E29))-('ENG_CAPEX'!$O$81*(1+'ENG_CAPEX'!$D$23*E29))))*'IN_MACRO'!$D$14+('ENG_CAPEX'!$O$81*(1+'ENG_CAPEX'!$D$23*E29))-(('ENG_CAPEX'!$O$21+'ENG_CAPEX'!$O$42)*(1+'ENG_CAPEX'!$D$23*E29))-('ENG_WC'!$O$19*(1+AVERAGE('ENG_OPS'!$D$84:$P$84)*E29)*(1+F29))</f>
        <v/>
      </c>
      <c r="S29" s="36">
        <f>(('ENG_OPS'!$P$81*(1+AVERAGE('ENG_OPS'!$D$84:$P$84)*E29)*(1+F29))-('ENG_COST'!$P$266*(1+'IN_COST'!$D$8*E29))-('ENG_COST'!$P$268*(1+'IN_COST'!$D$9*E29))-('ENG_CAPEX'!$P$81*(1+'ENG_CAPEX'!$D$23*E29)))-MAX(0,(('ENG_OPS'!$P$81*(1+AVERAGE('ENG_OPS'!$D$84:$P$84)*E29)*(1+F29))-('ENG_COST'!$P$266*(1+'IN_COST'!$D$8*E29))-('ENG_COST'!$P$268*(1+'IN_COST'!$D$9*E29))-('ENG_CAPEX'!$P$81*(1+'ENG_CAPEX'!$D$23*E29))))*'IN_MACRO'!$D$14+('ENG_CAPEX'!$P$81*(1+'ENG_CAPEX'!$D$23*E29))-(('ENG_CAPEX'!$P$21+'ENG_CAPEX'!$P$42)*(1+'ENG_CAPEX'!$D$23*E29))-('ENG_WC'!$P$19*(1+AVERAGE('ENG_OPS'!$D$84:$P$84)*E29)*(1+F29))</f>
        <v/>
      </c>
      <c r="T29" s="30">
        <f>1</f>
        <v/>
      </c>
      <c r="U29" s="30">
        <f>T29/(1+'ENG_DCF'!$E$14+D29)</f>
        <v/>
      </c>
      <c r="V29" s="30">
        <f>U29/(1+'ENG_DCF'!$F$14+D29)</f>
        <v/>
      </c>
      <c r="W29" s="30">
        <f>V29/(1+'ENG_DCF'!$G$14+D29)</f>
        <v/>
      </c>
      <c r="X29" s="30">
        <f>W29/(1+'ENG_DCF'!$H$14+D29)</f>
        <v/>
      </c>
      <c r="Y29" s="30">
        <f>X29/(1+'ENG_DCF'!$I$14+D29)</f>
        <v/>
      </c>
      <c r="Z29" s="30">
        <f>Y29/(1+'ENG_DCF'!$J$14+D29)</f>
        <v/>
      </c>
      <c r="AA29" s="30">
        <f>Z29/(1+'ENG_DCF'!$K$14+D29)</f>
        <v/>
      </c>
      <c r="AB29" s="30">
        <f>AA29/(1+'ENG_DCF'!$L$14+D29)</f>
        <v/>
      </c>
      <c r="AC29" s="30">
        <f>AB29/(1+'ENG_DCF'!$M$14+D29)</f>
        <v/>
      </c>
      <c r="AD29" s="30">
        <f>AC29/(1+'ENG_DCF'!$N$14+D29)</f>
        <v/>
      </c>
      <c r="AE29" s="30">
        <f>AD29/(1+'ENG_DCF'!$O$14+D29)</f>
        <v/>
      </c>
      <c r="AF29" s="30">
        <f>AE29/(1+'ENG_DCF'!$P$14+D29)</f>
        <v/>
      </c>
      <c r="AG29" s="36">
        <f>(G29*T29+H29*U29+I29*V29+J29*W29+K29*X29+L29*Y29+M29*Z29+N29*AA29+O29*AB29+P29*AC29+Q29*AD29+R29*AE29+S29*AF29)+(IF('IN_MACRO'!$D$19=1,MAX(0,(S29+(('ENG_CAPEX'!$P$21+'ENG_CAPEX'!$P$42)*(1+'ENG_CAPEX'!$D$23*E29))))*(1+'IN_MACRO'!$D$18)/MAX(0.005,'ENG_DCF'!$P$14+D29-'IN_MACRO'!$D$18),(('ENG_OPS'!$P$81*(1+AVERAGE('ENG_OPS'!$D$84:$P$84)*E29)*(1+F29))-('ENG_COST'!$P$266*(1+'IN_COST'!$D$8*E29))-('ENG_COST'!$P$268*(1+'IN_COST'!$D$9*E29)))*'IN_MACRO'!$D$20))*AF29</f>
        <v/>
      </c>
    </row>
    <row r="30">
      <c r="A30" t="inlineStr">
        <is>
          <t>FX|2|2</t>
        </is>
      </c>
      <c r="D30" s="38">
        <f>'IN_SCEN'!$F$24</f>
        <v/>
      </c>
      <c r="E30" s="38">
        <f>'IN_SCEN'!$F$25</f>
        <v/>
      </c>
      <c r="F30" s="38">
        <f>0</f>
        <v/>
      </c>
      <c r="G30" s="36">
        <f>(('ENG_OPS'!$D$81*(1+AVERAGE('ENG_OPS'!$D$84:$P$84)*E30)*(1+F30))-('ENG_COST'!$D$266*(1+'IN_COST'!$D$8*E30))-('ENG_COST'!$D$268*(1+'IN_COST'!$D$9*E30))-('ENG_CAPEX'!$D$81*(1+'ENG_CAPEX'!$D$23*E30)))-MAX(0,(('ENG_OPS'!$D$81*(1+AVERAGE('ENG_OPS'!$D$84:$P$84)*E30)*(1+F30))-('ENG_COST'!$D$266*(1+'IN_COST'!$D$8*E30))-('ENG_COST'!$D$268*(1+'IN_COST'!$D$9*E30))-('ENG_CAPEX'!$D$81*(1+'ENG_CAPEX'!$D$23*E30))))*'IN_MACRO'!$D$14+('ENG_CAPEX'!$D$81*(1+'ENG_CAPEX'!$D$23*E30))-(('ENG_CAPEX'!$D$21+'ENG_CAPEX'!$D$42)*(1+'ENG_CAPEX'!$D$23*E30))-('ENG_WC'!$D$19*(1+AVERAGE('ENG_OPS'!$D$84:$P$84)*E30)*(1+F30))</f>
        <v/>
      </c>
      <c r="H30" s="36">
        <f>(('ENG_OPS'!$E$81*(1+AVERAGE('ENG_OPS'!$D$84:$P$84)*E30)*(1+F30))-('ENG_COST'!$E$266*(1+'IN_COST'!$D$8*E30))-('ENG_COST'!$E$268*(1+'IN_COST'!$D$9*E30))-('ENG_CAPEX'!$E$81*(1+'ENG_CAPEX'!$D$23*E30)))-MAX(0,(('ENG_OPS'!$E$81*(1+AVERAGE('ENG_OPS'!$D$84:$P$84)*E30)*(1+F30))-('ENG_COST'!$E$266*(1+'IN_COST'!$D$8*E30))-('ENG_COST'!$E$268*(1+'IN_COST'!$D$9*E30))-('ENG_CAPEX'!$E$81*(1+'ENG_CAPEX'!$D$23*E30))))*'IN_MACRO'!$D$14+('ENG_CAPEX'!$E$81*(1+'ENG_CAPEX'!$D$23*E30))-(('ENG_CAPEX'!$E$21+'ENG_CAPEX'!$E$42)*(1+'ENG_CAPEX'!$D$23*E30))-('ENG_WC'!$E$19*(1+AVERAGE('ENG_OPS'!$D$84:$P$84)*E30)*(1+F30))</f>
        <v/>
      </c>
      <c r="I30" s="36">
        <f>(('ENG_OPS'!$F$81*(1+AVERAGE('ENG_OPS'!$D$84:$P$84)*E30)*(1+F30))-('ENG_COST'!$F$266*(1+'IN_COST'!$D$8*E30))-('ENG_COST'!$F$268*(1+'IN_COST'!$D$9*E30))-('ENG_CAPEX'!$F$81*(1+'ENG_CAPEX'!$D$23*E30)))-MAX(0,(('ENG_OPS'!$F$81*(1+AVERAGE('ENG_OPS'!$D$84:$P$84)*E30)*(1+F30))-('ENG_COST'!$F$266*(1+'IN_COST'!$D$8*E30))-('ENG_COST'!$F$268*(1+'IN_COST'!$D$9*E30))-('ENG_CAPEX'!$F$81*(1+'ENG_CAPEX'!$D$23*E30))))*'IN_MACRO'!$D$14+('ENG_CAPEX'!$F$81*(1+'ENG_CAPEX'!$D$23*E30))-(('ENG_CAPEX'!$F$21+'ENG_CAPEX'!$F$42)*(1+'ENG_CAPEX'!$D$23*E30))-('ENG_WC'!$F$19*(1+AVERAGE('ENG_OPS'!$D$84:$P$84)*E30)*(1+F30))</f>
        <v/>
      </c>
      <c r="J30" s="36">
        <f>(('ENG_OPS'!$G$81*(1+AVERAGE('ENG_OPS'!$D$84:$P$84)*E30)*(1+F30))-('ENG_COST'!$G$266*(1+'IN_COST'!$D$8*E30))-('ENG_COST'!$G$268*(1+'IN_COST'!$D$9*E30))-('ENG_CAPEX'!$G$81*(1+'ENG_CAPEX'!$D$23*E30)))-MAX(0,(('ENG_OPS'!$G$81*(1+AVERAGE('ENG_OPS'!$D$84:$P$84)*E30)*(1+F30))-('ENG_COST'!$G$266*(1+'IN_COST'!$D$8*E30))-('ENG_COST'!$G$268*(1+'IN_COST'!$D$9*E30))-('ENG_CAPEX'!$G$81*(1+'ENG_CAPEX'!$D$23*E30))))*'IN_MACRO'!$D$14+('ENG_CAPEX'!$G$81*(1+'ENG_CAPEX'!$D$23*E30))-(('ENG_CAPEX'!$G$21+'ENG_CAPEX'!$G$42)*(1+'ENG_CAPEX'!$D$23*E30))-('ENG_WC'!$G$19*(1+AVERAGE('ENG_OPS'!$D$84:$P$84)*E30)*(1+F30))</f>
        <v/>
      </c>
      <c r="K30" s="36">
        <f>(('ENG_OPS'!$H$81*(1+AVERAGE('ENG_OPS'!$D$84:$P$84)*E30)*(1+F30))-('ENG_COST'!$H$266*(1+'IN_COST'!$D$8*E30))-('ENG_COST'!$H$268*(1+'IN_COST'!$D$9*E30))-('ENG_CAPEX'!$H$81*(1+'ENG_CAPEX'!$D$23*E30)))-MAX(0,(('ENG_OPS'!$H$81*(1+AVERAGE('ENG_OPS'!$D$84:$P$84)*E30)*(1+F30))-('ENG_COST'!$H$266*(1+'IN_COST'!$D$8*E30))-('ENG_COST'!$H$268*(1+'IN_COST'!$D$9*E30))-('ENG_CAPEX'!$H$81*(1+'ENG_CAPEX'!$D$23*E30))))*'IN_MACRO'!$D$14+('ENG_CAPEX'!$H$81*(1+'ENG_CAPEX'!$D$23*E30))-(('ENG_CAPEX'!$H$21+'ENG_CAPEX'!$H$42)*(1+'ENG_CAPEX'!$D$23*E30))-('ENG_WC'!$H$19*(1+AVERAGE('ENG_OPS'!$D$84:$P$84)*E30)*(1+F30))</f>
        <v/>
      </c>
      <c r="L30" s="36">
        <f>(('ENG_OPS'!$I$81*(1+AVERAGE('ENG_OPS'!$D$84:$P$84)*E30)*(1+F30))-('ENG_COST'!$I$266*(1+'IN_COST'!$D$8*E30))-('ENG_COST'!$I$268*(1+'IN_COST'!$D$9*E30))-('ENG_CAPEX'!$I$81*(1+'ENG_CAPEX'!$D$23*E30)))-MAX(0,(('ENG_OPS'!$I$81*(1+AVERAGE('ENG_OPS'!$D$84:$P$84)*E30)*(1+F30))-('ENG_COST'!$I$266*(1+'IN_COST'!$D$8*E30))-('ENG_COST'!$I$268*(1+'IN_COST'!$D$9*E30))-('ENG_CAPEX'!$I$81*(1+'ENG_CAPEX'!$D$23*E30))))*'IN_MACRO'!$D$14+('ENG_CAPEX'!$I$81*(1+'ENG_CAPEX'!$D$23*E30))-(('ENG_CAPEX'!$I$21+'ENG_CAPEX'!$I$42)*(1+'ENG_CAPEX'!$D$23*E30))-('ENG_WC'!$I$19*(1+AVERAGE('ENG_OPS'!$D$84:$P$84)*E30)*(1+F30))</f>
        <v/>
      </c>
      <c r="M30" s="36">
        <f>(('ENG_OPS'!$J$81*(1+AVERAGE('ENG_OPS'!$D$84:$P$84)*E30)*(1+F30))-('ENG_COST'!$J$266*(1+'IN_COST'!$D$8*E30))-('ENG_COST'!$J$268*(1+'IN_COST'!$D$9*E30))-('ENG_CAPEX'!$J$81*(1+'ENG_CAPEX'!$D$23*E30)))-MAX(0,(('ENG_OPS'!$J$81*(1+AVERAGE('ENG_OPS'!$D$84:$P$84)*E30)*(1+F30))-('ENG_COST'!$J$266*(1+'IN_COST'!$D$8*E30))-('ENG_COST'!$J$268*(1+'IN_COST'!$D$9*E30))-('ENG_CAPEX'!$J$81*(1+'ENG_CAPEX'!$D$23*E30))))*'IN_MACRO'!$D$14+('ENG_CAPEX'!$J$81*(1+'ENG_CAPEX'!$D$23*E30))-(('ENG_CAPEX'!$J$21+'ENG_CAPEX'!$J$42)*(1+'ENG_CAPEX'!$D$23*E30))-('ENG_WC'!$J$19*(1+AVERAGE('ENG_OPS'!$D$84:$P$84)*E30)*(1+F30))</f>
        <v/>
      </c>
      <c r="N30" s="36">
        <f>(('ENG_OPS'!$K$81*(1+AVERAGE('ENG_OPS'!$D$84:$P$84)*E30)*(1+F30))-('ENG_COST'!$K$266*(1+'IN_COST'!$D$8*E30))-('ENG_COST'!$K$268*(1+'IN_COST'!$D$9*E30))-('ENG_CAPEX'!$K$81*(1+'ENG_CAPEX'!$D$23*E30)))-MAX(0,(('ENG_OPS'!$K$81*(1+AVERAGE('ENG_OPS'!$D$84:$P$84)*E30)*(1+F30))-('ENG_COST'!$K$266*(1+'IN_COST'!$D$8*E30))-('ENG_COST'!$K$268*(1+'IN_COST'!$D$9*E30))-('ENG_CAPEX'!$K$81*(1+'ENG_CAPEX'!$D$23*E30))))*'IN_MACRO'!$D$14+('ENG_CAPEX'!$K$81*(1+'ENG_CAPEX'!$D$23*E30))-(('ENG_CAPEX'!$K$21+'ENG_CAPEX'!$K$42)*(1+'ENG_CAPEX'!$D$23*E30))-('ENG_WC'!$K$19*(1+AVERAGE('ENG_OPS'!$D$84:$P$84)*E30)*(1+F30))</f>
        <v/>
      </c>
      <c r="O30" s="36">
        <f>(('ENG_OPS'!$L$81*(1+AVERAGE('ENG_OPS'!$D$84:$P$84)*E30)*(1+F30))-('ENG_COST'!$L$266*(1+'IN_COST'!$D$8*E30))-('ENG_COST'!$L$268*(1+'IN_COST'!$D$9*E30))-('ENG_CAPEX'!$L$81*(1+'ENG_CAPEX'!$D$23*E30)))-MAX(0,(('ENG_OPS'!$L$81*(1+AVERAGE('ENG_OPS'!$D$84:$P$84)*E30)*(1+F30))-('ENG_COST'!$L$266*(1+'IN_COST'!$D$8*E30))-('ENG_COST'!$L$268*(1+'IN_COST'!$D$9*E30))-('ENG_CAPEX'!$L$81*(1+'ENG_CAPEX'!$D$23*E30))))*'IN_MACRO'!$D$14+('ENG_CAPEX'!$L$81*(1+'ENG_CAPEX'!$D$23*E30))-(('ENG_CAPEX'!$L$21+'ENG_CAPEX'!$L$42)*(1+'ENG_CAPEX'!$D$23*E30))-('ENG_WC'!$L$19*(1+AVERAGE('ENG_OPS'!$D$84:$P$84)*E30)*(1+F30))</f>
        <v/>
      </c>
      <c r="P30" s="36">
        <f>(('ENG_OPS'!$M$81*(1+AVERAGE('ENG_OPS'!$D$84:$P$84)*E30)*(1+F30))-('ENG_COST'!$M$266*(1+'IN_COST'!$D$8*E30))-('ENG_COST'!$M$268*(1+'IN_COST'!$D$9*E30))-('ENG_CAPEX'!$M$81*(1+'ENG_CAPEX'!$D$23*E30)))-MAX(0,(('ENG_OPS'!$M$81*(1+AVERAGE('ENG_OPS'!$D$84:$P$84)*E30)*(1+F30))-('ENG_COST'!$M$266*(1+'IN_COST'!$D$8*E30))-('ENG_COST'!$M$268*(1+'IN_COST'!$D$9*E30))-('ENG_CAPEX'!$M$81*(1+'ENG_CAPEX'!$D$23*E30))))*'IN_MACRO'!$D$14+('ENG_CAPEX'!$M$81*(1+'ENG_CAPEX'!$D$23*E30))-(('ENG_CAPEX'!$M$21+'ENG_CAPEX'!$M$42)*(1+'ENG_CAPEX'!$D$23*E30))-('ENG_WC'!$M$19*(1+AVERAGE('ENG_OPS'!$D$84:$P$84)*E30)*(1+F30))</f>
        <v/>
      </c>
      <c r="Q30" s="36">
        <f>(('ENG_OPS'!$N$81*(1+AVERAGE('ENG_OPS'!$D$84:$P$84)*E30)*(1+F30))-('ENG_COST'!$N$266*(1+'IN_COST'!$D$8*E30))-('ENG_COST'!$N$268*(1+'IN_COST'!$D$9*E30))-('ENG_CAPEX'!$N$81*(1+'ENG_CAPEX'!$D$23*E30)))-MAX(0,(('ENG_OPS'!$N$81*(1+AVERAGE('ENG_OPS'!$D$84:$P$84)*E30)*(1+F30))-('ENG_COST'!$N$266*(1+'IN_COST'!$D$8*E30))-('ENG_COST'!$N$268*(1+'IN_COST'!$D$9*E30))-('ENG_CAPEX'!$N$81*(1+'ENG_CAPEX'!$D$23*E30))))*'IN_MACRO'!$D$14+('ENG_CAPEX'!$N$81*(1+'ENG_CAPEX'!$D$23*E30))-(('ENG_CAPEX'!$N$21+'ENG_CAPEX'!$N$42)*(1+'ENG_CAPEX'!$D$23*E30))-('ENG_WC'!$N$19*(1+AVERAGE('ENG_OPS'!$D$84:$P$84)*E30)*(1+F30))</f>
        <v/>
      </c>
      <c r="R30" s="36">
        <f>(('ENG_OPS'!$O$81*(1+AVERAGE('ENG_OPS'!$D$84:$P$84)*E30)*(1+F30))-('ENG_COST'!$O$266*(1+'IN_COST'!$D$8*E30))-('ENG_COST'!$O$268*(1+'IN_COST'!$D$9*E30))-('ENG_CAPEX'!$O$81*(1+'ENG_CAPEX'!$D$23*E30)))-MAX(0,(('ENG_OPS'!$O$81*(1+AVERAGE('ENG_OPS'!$D$84:$P$84)*E30)*(1+F30))-('ENG_COST'!$O$266*(1+'IN_COST'!$D$8*E30))-('ENG_COST'!$O$268*(1+'IN_COST'!$D$9*E30))-('ENG_CAPEX'!$O$81*(1+'ENG_CAPEX'!$D$23*E30))))*'IN_MACRO'!$D$14+('ENG_CAPEX'!$O$81*(1+'ENG_CAPEX'!$D$23*E30))-(('ENG_CAPEX'!$O$21+'ENG_CAPEX'!$O$42)*(1+'ENG_CAPEX'!$D$23*E30))-('ENG_WC'!$O$19*(1+AVERAGE('ENG_OPS'!$D$84:$P$84)*E30)*(1+F30))</f>
        <v/>
      </c>
      <c r="S30" s="36">
        <f>(('ENG_OPS'!$P$81*(1+AVERAGE('ENG_OPS'!$D$84:$P$84)*E30)*(1+F30))-('ENG_COST'!$P$266*(1+'IN_COST'!$D$8*E30))-('ENG_COST'!$P$268*(1+'IN_COST'!$D$9*E30))-('ENG_CAPEX'!$P$81*(1+'ENG_CAPEX'!$D$23*E30)))-MAX(0,(('ENG_OPS'!$P$81*(1+AVERAGE('ENG_OPS'!$D$84:$P$84)*E30)*(1+F30))-('ENG_COST'!$P$266*(1+'IN_COST'!$D$8*E30))-('ENG_COST'!$P$268*(1+'IN_COST'!$D$9*E30))-('ENG_CAPEX'!$P$81*(1+'ENG_CAPEX'!$D$23*E30))))*'IN_MACRO'!$D$14+('ENG_CAPEX'!$P$81*(1+'ENG_CAPEX'!$D$23*E30))-(('ENG_CAPEX'!$P$21+'ENG_CAPEX'!$P$42)*(1+'ENG_CAPEX'!$D$23*E30))-('ENG_WC'!$P$19*(1+AVERAGE('ENG_OPS'!$D$84:$P$84)*E30)*(1+F30))</f>
        <v/>
      </c>
      <c r="T30" s="30">
        <f>1</f>
        <v/>
      </c>
      <c r="U30" s="30">
        <f>T30/(1+'ENG_DCF'!$E$14+D30)</f>
        <v/>
      </c>
      <c r="V30" s="30">
        <f>U30/(1+'ENG_DCF'!$F$14+D30)</f>
        <v/>
      </c>
      <c r="W30" s="30">
        <f>V30/(1+'ENG_DCF'!$G$14+D30)</f>
        <v/>
      </c>
      <c r="X30" s="30">
        <f>W30/(1+'ENG_DCF'!$H$14+D30)</f>
        <v/>
      </c>
      <c r="Y30" s="30">
        <f>X30/(1+'ENG_DCF'!$I$14+D30)</f>
        <v/>
      </c>
      <c r="Z30" s="30">
        <f>Y30/(1+'ENG_DCF'!$J$14+D30)</f>
        <v/>
      </c>
      <c r="AA30" s="30">
        <f>Z30/(1+'ENG_DCF'!$K$14+D30)</f>
        <v/>
      </c>
      <c r="AB30" s="30">
        <f>AA30/(1+'ENG_DCF'!$L$14+D30)</f>
        <v/>
      </c>
      <c r="AC30" s="30">
        <f>AB30/(1+'ENG_DCF'!$M$14+D30)</f>
        <v/>
      </c>
      <c r="AD30" s="30">
        <f>AC30/(1+'ENG_DCF'!$N$14+D30)</f>
        <v/>
      </c>
      <c r="AE30" s="30">
        <f>AD30/(1+'ENG_DCF'!$O$14+D30)</f>
        <v/>
      </c>
      <c r="AF30" s="30">
        <f>AE30/(1+'ENG_DCF'!$P$14+D30)</f>
        <v/>
      </c>
      <c r="AG30" s="36">
        <f>(G30*T30+H30*U30+I30*V30+J30*W30+K30*X30+L30*Y30+M30*Z30+N30*AA30+O30*AB30+P30*AC30+Q30*AD30+R30*AE30+S30*AF30)+(IF('IN_MACRO'!$D$19=1,MAX(0,(S30+(('ENG_CAPEX'!$P$21+'ENG_CAPEX'!$P$42)*(1+'ENG_CAPEX'!$D$23*E30))))*(1+'IN_MACRO'!$D$18)/MAX(0.005,'ENG_DCF'!$P$14+D30-'IN_MACRO'!$D$18),(('ENG_OPS'!$P$81*(1+AVERAGE('ENG_OPS'!$D$84:$P$84)*E30)*(1+F30))-('ENG_COST'!$P$266*(1+'IN_COST'!$D$8*E30))-('ENG_COST'!$P$268*(1+'IN_COST'!$D$9*E30)))*'IN_MACRO'!$D$20))*AF30</f>
        <v/>
      </c>
    </row>
    <row r="31">
      <c r="A31" t="inlineStr">
        <is>
          <t>PR|2|2</t>
        </is>
      </c>
      <c r="D31" s="38">
        <f>'IN_SCEN'!$F$24</f>
        <v/>
      </c>
      <c r="E31" s="38">
        <f>0</f>
        <v/>
      </c>
      <c r="F31" s="38">
        <f>'IN_SCEN'!$F$26</f>
        <v/>
      </c>
      <c r="G31" s="36">
        <f>(('ENG_OPS'!$D$81*(1+AVERAGE('ENG_OPS'!$D$84:$P$84)*E31)*(1+F31))-('ENG_COST'!$D$266*(1+'IN_COST'!$D$8*E31))-('ENG_COST'!$D$268*(1+'IN_COST'!$D$9*E31))-('ENG_CAPEX'!$D$81*(1+'ENG_CAPEX'!$D$23*E31)))-MAX(0,(('ENG_OPS'!$D$81*(1+AVERAGE('ENG_OPS'!$D$84:$P$84)*E31)*(1+F31))-('ENG_COST'!$D$266*(1+'IN_COST'!$D$8*E31))-('ENG_COST'!$D$268*(1+'IN_COST'!$D$9*E31))-('ENG_CAPEX'!$D$81*(1+'ENG_CAPEX'!$D$23*E31))))*'IN_MACRO'!$D$14+('ENG_CAPEX'!$D$81*(1+'ENG_CAPEX'!$D$23*E31))-(('ENG_CAPEX'!$D$21+'ENG_CAPEX'!$D$42)*(1+'ENG_CAPEX'!$D$23*E31))-('ENG_WC'!$D$19*(1+AVERAGE('ENG_OPS'!$D$84:$P$84)*E31)*(1+F31))</f>
        <v/>
      </c>
      <c r="H31" s="36">
        <f>(('ENG_OPS'!$E$81*(1+AVERAGE('ENG_OPS'!$D$84:$P$84)*E31)*(1+F31))-('ENG_COST'!$E$266*(1+'IN_COST'!$D$8*E31))-('ENG_COST'!$E$268*(1+'IN_COST'!$D$9*E31))-('ENG_CAPEX'!$E$81*(1+'ENG_CAPEX'!$D$23*E31)))-MAX(0,(('ENG_OPS'!$E$81*(1+AVERAGE('ENG_OPS'!$D$84:$P$84)*E31)*(1+F31))-('ENG_COST'!$E$266*(1+'IN_COST'!$D$8*E31))-('ENG_COST'!$E$268*(1+'IN_COST'!$D$9*E31))-('ENG_CAPEX'!$E$81*(1+'ENG_CAPEX'!$D$23*E31))))*'IN_MACRO'!$D$14+('ENG_CAPEX'!$E$81*(1+'ENG_CAPEX'!$D$23*E31))-(('ENG_CAPEX'!$E$21+'ENG_CAPEX'!$E$42)*(1+'ENG_CAPEX'!$D$23*E31))-('ENG_WC'!$E$19*(1+AVERAGE('ENG_OPS'!$D$84:$P$84)*E31)*(1+F31))</f>
        <v/>
      </c>
      <c r="I31" s="36">
        <f>(('ENG_OPS'!$F$81*(1+AVERAGE('ENG_OPS'!$D$84:$P$84)*E31)*(1+F31))-('ENG_COST'!$F$266*(1+'IN_COST'!$D$8*E31))-('ENG_COST'!$F$268*(1+'IN_COST'!$D$9*E31))-('ENG_CAPEX'!$F$81*(1+'ENG_CAPEX'!$D$23*E31)))-MAX(0,(('ENG_OPS'!$F$81*(1+AVERAGE('ENG_OPS'!$D$84:$P$84)*E31)*(1+F31))-('ENG_COST'!$F$266*(1+'IN_COST'!$D$8*E31))-('ENG_COST'!$F$268*(1+'IN_COST'!$D$9*E31))-('ENG_CAPEX'!$F$81*(1+'ENG_CAPEX'!$D$23*E31))))*'IN_MACRO'!$D$14+('ENG_CAPEX'!$F$81*(1+'ENG_CAPEX'!$D$23*E31))-(('ENG_CAPEX'!$F$21+'ENG_CAPEX'!$F$42)*(1+'ENG_CAPEX'!$D$23*E31))-('ENG_WC'!$F$19*(1+AVERAGE('ENG_OPS'!$D$84:$P$84)*E31)*(1+F31))</f>
        <v/>
      </c>
      <c r="J31" s="36">
        <f>(('ENG_OPS'!$G$81*(1+AVERAGE('ENG_OPS'!$D$84:$P$84)*E31)*(1+F31))-('ENG_COST'!$G$266*(1+'IN_COST'!$D$8*E31))-('ENG_COST'!$G$268*(1+'IN_COST'!$D$9*E31))-('ENG_CAPEX'!$G$81*(1+'ENG_CAPEX'!$D$23*E31)))-MAX(0,(('ENG_OPS'!$G$81*(1+AVERAGE('ENG_OPS'!$D$84:$P$84)*E31)*(1+F31))-('ENG_COST'!$G$266*(1+'IN_COST'!$D$8*E31))-('ENG_COST'!$G$268*(1+'IN_COST'!$D$9*E31))-('ENG_CAPEX'!$G$81*(1+'ENG_CAPEX'!$D$23*E31))))*'IN_MACRO'!$D$14+('ENG_CAPEX'!$G$81*(1+'ENG_CAPEX'!$D$23*E31))-(('ENG_CAPEX'!$G$21+'ENG_CAPEX'!$G$42)*(1+'ENG_CAPEX'!$D$23*E31))-('ENG_WC'!$G$19*(1+AVERAGE('ENG_OPS'!$D$84:$P$84)*E31)*(1+F31))</f>
        <v/>
      </c>
      <c r="K31" s="36">
        <f>(('ENG_OPS'!$H$81*(1+AVERAGE('ENG_OPS'!$D$84:$P$84)*E31)*(1+F31))-('ENG_COST'!$H$266*(1+'IN_COST'!$D$8*E31))-('ENG_COST'!$H$268*(1+'IN_COST'!$D$9*E31))-('ENG_CAPEX'!$H$81*(1+'ENG_CAPEX'!$D$23*E31)))-MAX(0,(('ENG_OPS'!$H$81*(1+AVERAGE('ENG_OPS'!$D$84:$P$84)*E31)*(1+F31))-('ENG_COST'!$H$266*(1+'IN_COST'!$D$8*E31))-('ENG_COST'!$H$268*(1+'IN_COST'!$D$9*E31))-('ENG_CAPEX'!$H$81*(1+'ENG_CAPEX'!$D$23*E31))))*'IN_MACRO'!$D$14+('ENG_CAPEX'!$H$81*(1+'ENG_CAPEX'!$D$23*E31))-(('ENG_CAPEX'!$H$21+'ENG_CAPEX'!$H$42)*(1+'ENG_CAPEX'!$D$23*E31))-('ENG_WC'!$H$19*(1+AVERAGE('ENG_OPS'!$D$84:$P$84)*E31)*(1+F31))</f>
        <v/>
      </c>
      <c r="L31" s="36">
        <f>(('ENG_OPS'!$I$81*(1+AVERAGE('ENG_OPS'!$D$84:$P$84)*E31)*(1+F31))-('ENG_COST'!$I$266*(1+'IN_COST'!$D$8*E31))-('ENG_COST'!$I$268*(1+'IN_COST'!$D$9*E31))-('ENG_CAPEX'!$I$81*(1+'ENG_CAPEX'!$D$23*E31)))-MAX(0,(('ENG_OPS'!$I$81*(1+AVERAGE('ENG_OPS'!$D$84:$P$84)*E31)*(1+F31))-('ENG_COST'!$I$266*(1+'IN_COST'!$D$8*E31))-('ENG_COST'!$I$268*(1+'IN_COST'!$D$9*E31))-('ENG_CAPEX'!$I$81*(1+'ENG_CAPEX'!$D$23*E31))))*'IN_MACRO'!$D$14+('ENG_CAPEX'!$I$81*(1+'ENG_CAPEX'!$D$23*E31))-(('ENG_CAPEX'!$I$21+'ENG_CAPEX'!$I$42)*(1+'ENG_CAPEX'!$D$23*E31))-('ENG_WC'!$I$19*(1+AVERAGE('ENG_OPS'!$D$84:$P$84)*E31)*(1+F31))</f>
        <v/>
      </c>
      <c r="M31" s="36">
        <f>(('ENG_OPS'!$J$81*(1+AVERAGE('ENG_OPS'!$D$84:$P$84)*E31)*(1+F31))-('ENG_COST'!$J$266*(1+'IN_COST'!$D$8*E31))-('ENG_COST'!$J$268*(1+'IN_COST'!$D$9*E31))-('ENG_CAPEX'!$J$81*(1+'ENG_CAPEX'!$D$23*E31)))-MAX(0,(('ENG_OPS'!$J$81*(1+AVERAGE('ENG_OPS'!$D$84:$P$84)*E31)*(1+F31))-('ENG_COST'!$J$266*(1+'IN_COST'!$D$8*E31))-('ENG_COST'!$J$268*(1+'IN_COST'!$D$9*E31))-('ENG_CAPEX'!$J$81*(1+'ENG_CAPEX'!$D$23*E31))))*'IN_MACRO'!$D$14+('ENG_CAPEX'!$J$81*(1+'ENG_CAPEX'!$D$23*E31))-(('ENG_CAPEX'!$J$21+'ENG_CAPEX'!$J$42)*(1+'ENG_CAPEX'!$D$23*E31))-('ENG_WC'!$J$19*(1+AVERAGE('ENG_OPS'!$D$84:$P$84)*E31)*(1+F31))</f>
        <v/>
      </c>
      <c r="N31" s="36">
        <f>(('ENG_OPS'!$K$81*(1+AVERAGE('ENG_OPS'!$D$84:$P$84)*E31)*(1+F31))-('ENG_COST'!$K$266*(1+'IN_COST'!$D$8*E31))-('ENG_COST'!$K$268*(1+'IN_COST'!$D$9*E31))-('ENG_CAPEX'!$K$81*(1+'ENG_CAPEX'!$D$23*E31)))-MAX(0,(('ENG_OPS'!$K$81*(1+AVERAGE('ENG_OPS'!$D$84:$P$84)*E31)*(1+F31))-('ENG_COST'!$K$266*(1+'IN_COST'!$D$8*E31))-('ENG_COST'!$K$268*(1+'IN_COST'!$D$9*E31))-('ENG_CAPEX'!$K$81*(1+'ENG_CAPEX'!$D$23*E31))))*'IN_MACRO'!$D$14+('ENG_CAPEX'!$K$81*(1+'ENG_CAPEX'!$D$23*E31))-(('ENG_CAPEX'!$K$21+'ENG_CAPEX'!$K$42)*(1+'ENG_CAPEX'!$D$23*E31))-('ENG_WC'!$K$19*(1+AVERAGE('ENG_OPS'!$D$84:$P$84)*E31)*(1+F31))</f>
        <v/>
      </c>
      <c r="O31" s="36">
        <f>(('ENG_OPS'!$L$81*(1+AVERAGE('ENG_OPS'!$D$84:$P$84)*E31)*(1+F31))-('ENG_COST'!$L$266*(1+'IN_COST'!$D$8*E31))-('ENG_COST'!$L$268*(1+'IN_COST'!$D$9*E31))-('ENG_CAPEX'!$L$81*(1+'ENG_CAPEX'!$D$23*E31)))-MAX(0,(('ENG_OPS'!$L$81*(1+AVERAGE('ENG_OPS'!$D$84:$P$84)*E31)*(1+F31))-('ENG_COST'!$L$266*(1+'IN_COST'!$D$8*E31))-('ENG_COST'!$L$268*(1+'IN_COST'!$D$9*E31))-('ENG_CAPEX'!$L$81*(1+'ENG_CAPEX'!$D$23*E31))))*'IN_MACRO'!$D$14+('ENG_CAPEX'!$L$81*(1+'ENG_CAPEX'!$D$23*E31))-(('ENG_CAPEX'!$L$21+'ENG_CAPEX'!$L$42)*(1+'ENG_CAPEX'!$D$23*E31))-('ENG_WC'!$L$19*(1+AVERAGE('ENG_OPS'!$D$84:$P$84)*E31)*(1+F31))</f>
        <v/>
      </c>
      <c r="P31" s="36">
        <f>(('ENG_OPS'!$M$81*(1+AVERAGE('ENG_OPS'!$D$84:$P$84)*E31)*(1+F31))-('ENG_COST'!$M$266*(1+'IN_COST'!$D$8*E31))-('ENG_COST'!$M$268*(1+'IN_COST'!$D$9*E31))-('ENG_CAPEX'!$M$81*(1+'ENG_CAPEX'!$D$23*E31)))-MAX(0,(('ENG_OPS'!$M$81*(1+AVERAGE('ENG_OPS'!$D$84:$P$84)*E31)*(1+F31))-('ENG_COST'!$M$266*(1+'IN_COST'!$D$8*E31))-('ENG_COST'!$M$268*(1+'IN_COST'!$D$9*E31))-('ENG_CAPEX'!$M$81*(1+'ENG_CAPEX'!$D$23*E31))))*'IN_MACRO'!$D$14+('ENG_CAPEX'!$M$81*(1+'ENG_CAPEX'!$D$23*E31))-(('ENG_CAPEX'!$M$21+'ENG_CAPEX'!$M$42)*(1+'ENG_CAPEX'!$D$23*E31))-('ENG_WC'!$M$19*(1+AVERAGE('ENG_OPS'!$D$84:$P$84)*E31)*(1+F31))</f>
        <v/>
      </c>
      <c r="Q31" s="36">
        <f>(('ENG_OPS'!$N$81*(1+AVERAGE('ENG_OPS'!$D$84:$P$84)*E31)*(1+F31))-('ENG_COST'!$N$266*(1+'IN_COST'!$D$8*E31))-('ENG_COST'!$N$268*(1+'IN_COST'!$D$9*E31))-('ENG_CAPEX'!$N$81*(1+'ENG_CAPEX'!$D$23*E31)))-MAX(0,(('ENG_OPS'!$N$81*(1+AVERAGE('ENG_OPS'!$D$84:$P$84)*E31)*(1+F31))-('ENG_COST'!$N$266*(1+'IN_COST'!$D$8*E31))-('ENG_COST'!$N$268*(1+'IN_COST'!$D$9*E31))-('ENG_CAPEX'!$N$81*(1+'ENG_CAPEX'!$D$23*E31))))*'IN_MACRO'!$D$14+('ENG_CAPEX'!$N$81*(1+'ENG_CAPEX'!$D$23*E31))-(('ENG_CAPEX'!$N$21+'ENG_CAPEX'!$N$42)*(1+'ENG_CAPEX'!$D$23*E31))-('ENG_WC'!$N$19*(1+AVERAGE('ENG_OPS'!$D$84:$P$84)*E31)*(1+F31))</f>
        <v/>
      </c>
      <c r="R31" s="36">
        <f>(('ENG_OPS'!$O$81*(1+AVERAGE('ENG_OPS'!$D$84:$P$84)*E31)*(1+F31))-('ENG_COST'!$O$266*(1+'IN_COST'!$D$8*E31))-('ENG_COST'!$O$268*(1+'IN_COST'!$D$9*E31))-('ENG_CAPEX'!$O$81*(1+'ENG_CAPEX'!$D$23*E31)))-MAX(0,(('ENG_OPS'!$O$81*(1+AVERAGE('ENG_OPS'!$D$84:$P$84)*E31)*(1+F31))-('ENG_COST'!$O$266*(1+'IN_COST'!$D$8*E31))-('ENG_COST'!$O$268*(1+'IN_COST'!$D$9*E31))-('ENG_CAPEX'!$O$81*(1+'ENG_CAPEX'!$D$23*E31))))*'IN_MACRO'!$D$14+('ENG_CAPEX'!$O$81*(1+'ENG_CAPEX'!$D$23*E31))-(('ENG_CAPEX'!$O$21+'ENG_CAPEX'!$O$42)*(1+'ENG_CAPEX'!$D$23*E31))-('ENG_WC'!$O$19*(1+AVERAGE('ENG_OPS'!$D$84:$P$84)*E31)*(1+F31))</f>
        <v/>
      </c>
      <c r="S31" s="36">
        <f>(('ENG_OPS'!$P$81*(1+AVERAGE('ENG_OPS'!$D$84:$P$84)*E31)*(1+F31))-('ENG_COST'!$P$266*(1+'IN_COST'!$D$8*E31))-('ENG_COST'!$P$268*(1+'IN_COST'!$D$9*E31))-('ENG_CAPEX'!$P$81*(1+'ENG_CAPEX'!$D$23*E31)))-MAX(0,(('ENG_OPS'!$P$81*(1+AVERAGE('ENG_OPS'!$D$84:$P$84)*E31)*(1+F31))-('ENG_COST'!$P$266*(1+'IN_COST'!$D$8*E31))-('ENG_COST'!$P$268*(1+'IN_COST'!$D$9*E31))-('ENG_CAPEX'!$P$81*(1+'ENG_CAPEX'!$D$23*E31))))*'IN_MACRO'!$D$14+('ENG_CAPEX'!$P$81*(1+'ENG_CAPEX'!$D$23*E31))-(('ENG_CAPEX'!$P$21+'ENG_CAPEX'!$P$42)*(1+'ENG_CAPEX'!$D$23*E31))-('ENG_WC'!$P$19*(1+AVERAGE('ENG_OPS'!$D$84:$P$84)*E31)*(1+F31))</f>
        <v/>
      </c>
      <c r="T31" s="30">
        <f>1</f>
        <v/>
      </c>
      <c r="U31" s="30">
        <f>T31/(1+'ENG_DCF'!$E$14+D31)</f>
        <v/>
      </c>
      <c r="V31" s="30">
        <f>U31/(1+'ENG_DCF'!$F$14+D31)</f>
        <v/>
      </c>
      <c r="W31" s="30">
        <f>V31/(1+'ENG_DCF'!$G$14+D31)</f>
        <v/>
      </c>
      <c r="X31" s="30">
        <f>W31/(1+'ENG_DCF'!$H$14+D31)</f>
        <v/>
      </c>
      <c r="Y31" s="30">
        <f>X31/(1+'ENG_DCF'!$I$14+D31)</f>
        <v/>
      </c>
      <c r="Z31" s="30">
        <f>Y31/(1+'ENG_DCF'!$J$14+D31)</f>
        <v/>
      </c>
      <c r="AA31" s="30">
        <f>Z31/(1+'ENG_DCF'!$K$14+D31)</f>
        <v/>
      </c>
      <c r="AB31" s="30">
        <f>AA31/(1+'ENG_DCF'!$L$14+D31)</f>
        <v/>
      </c>
      <c r="AC31" s="30">
        <f>AB31/(1+'ENG_DCF'!$M$14+D31)</f>
        <v/>
      </c>
      <c r="AD31" s="30">
        <f>AC31/(1+'ENG_DCF'!$N$14+D31)</f>
        <v/>
      </c>
      <c r="AE31" s="30">
        <f>AD31/(1+'ENG_DCF'!$O$14+D31)</f>
        <v/>
      </c>
      <c r="AF31" s="30">
        <f>AE31/(1+'ENG_DCF'!$P$14+D31)</f>
        <v/>
      </c>
      <c r="AG31" s="36">
        <f>(G31*T31+H31*U31+I31*V31+J31*W31+K31*X31+L31*Y31+M31*Z31+N31*AA31+O31*AB31+P31*AC31+Q31*AD31+R31*AE31+S31*AF31)+(IF('IN_MACRO'!$D$19=1,MAX(0,(S31+(('ENG_CAPEX'!$P$21+'ENG_CAPEX'!$P$42)*(1+'ENG_CAPEX'!$D$23*E31))))*(1+'IN_MACRO'!$D$18)/MAX(0.005,'ENG_DCF'!$P$14+D31-'IN_MACRO'!$D$18),(('ENG_OPS'!$P$81*(1+AVERAGE('ENG_OPS'!$D$84:$P$84)*E31)*(1+F31))-('ENG_COST'!$P$266*(1+'IN_COST'!$D$8*E31))-('ENG_COST'!$P$268*(1+'IN_COST'!$D$9*E31)))*'IN_MACRO'!$D$20))*AF31</f>
        <v/>
      </c>
    </row>
    <row r="32">
      <c r="A32" t="inlineStr">
        <is>
          <t>FX|2|3</t>
        </is>
      </c>
      <c r="D32" s="38">
        <f>'IN_SCEN'!$F$24</f>
        <v/>
      </c>
      <c r="E32" s="38">
        <f>'IN_SCEN'!$G$25</f>
        <v/>
      </c>
      <c r="F32" s="38">
        <f>0</f>
        <v/>
      </c>
      <c r="G32" s="36">
        <f>(('ENG_OPS'!$D$81*(1+AVERAGE('ENG_OPS'!$D$84:$P$84)*E32)*(1+F32))-('ENG_COST'!$D$266*(1+'IN_COST'!$D$8*E32))-('ENG_COST'!$D$268*(1+'IN_COST'!$D$9*E32))-('ENG_CAPEX'!$D$81*(1+'ENG_CAPEX'!$D$23*E32)))-MAX(0,(('ENG_OPS'!$D$81*(1+AVERAGE('ENG_OPS'!$D$84:$P$84)*E32)*(1+F32))-('ENG_COST'!$D$266*(1+'IN_COST'!$D$8*E32))-('ENG_COST'!$D$268*(1+'IN_COST'!$D$9*E32))-('ENG_CAPEX'!$D$81*(1+'ENG_CAPEX'!$D$23*E32))))*'IN_MACRO'!$D$14+('ENG_CAPEX'!$D$81*(1+'ENG_CAPEX'!$D$23*E32))-(('ENG_CAPEX'!$D$21+'ENG_CAPEX'!$D$42)*(1+'ENG_CAPEX'!$D$23*E32))-('ENG_WC'!$D$19*(1+AVERAGE('ENG_OPS'!$D$84:$P$84)*E32)*(1+F32))</f>
        <v/>
      </c>
      <c r="H32" s="36">
        <f>(('ENG_OPS'!$E$81*(1+AVERAGE('ENG_OPS'!$D$84:$P$84)*E32)*(1+F32))-('ENG_COST'!$E$266*(1+'IN_COST'!$D$8*E32))-('ENG_COST'!$E$268*(1+'IN_COST'!$D$9*E32))-('ENG_CAPEX'!$E$81*(1+'ENG_CAPEX'!$D$23*E32)))-MAX(0,(('ENG_OPS'!$E$81*(1+AVERAGE('ENG_OPS'!$D$84:$P$84)*E32)*(1+F32))-('ENG_COST'!$E$266*(1+'IN_COST'!$D$8*E32))-('ENG_COST'!$E$268*(1+'IN_COST'!$D$9*E32))-('ENG_CAPEX'!$E$81*(1+'ENG_CAPEX'!$D$23*E32))))*'IN_MACRO'!$D$14+('ENG_CAPEX'!$E$81*(1+'ENG_CAPEX'!$D$23*E32))-(('ENG_CAPEX'!$E$21+'ENG_CAPEX'!$E$42)*(1+'ENG_CAPEX'!$D$23*E32))-('ENG_WC'!$E$19*(1+AVERAGE('ENG_OPS'!$D$84:$P$84)*E32)*(1+F32))</f>
        <v/>
      </c>
      <c r="I32" s="36">
        <f>(('ENG_OPS'!$F$81*(1+AVERAGE('ENG_OPS'!$D$84:$P$84)*E32)*(1+F32))-('ENG_COST'!$F$266*(1+'IN_COST'!$D$8*E32))-('ENG_COST'!$F$268*(1+'IN_COST'!$D$9*E32))-('ENG_CAPEX'!$F$81*(1+'ENG_CAPEX'!$D$23*E32)))-MAX(0,(('ENG_OPS'!$F$81*(1+AVERAGE('ENG_OPS'!$D$84:$P$84)*E32)*(1+F32))-('ENG_COST'!$F$266*(1+'IN_COST'!$D$8*E32))-('ENG_COST'!$F$268*(1+'IN_COST'!$D$9*E32))-('ENG_CAPEX'!$F$81*(1+'ENG_CAPEX'!$D$23*E32))))*'IN_MACRO'!$D$14+('ENG_CAPEX'!$F$81*(1+'ENG_CAPEX'!$D$23*E32))-(('ENG_CAPEX'!$F$21+'ENG_CAPEX'!$F$42)*(1+'ENG_CAPEX'!$D$23*E32))-('ENG_WC'!$F$19*(1+AVERAGE('ENG_OPS'!$D$84:$P$84)*E32)*(1+F32))</f>
        <v/>
      </c>
      <c r="J32" s="36">
        <f>(('ENG_OPS'!$G$81*(1+AVERAGE('ENG_OPS'!$D$84:$P$84)*E32)*(1+F32))-('ENG_COST'!$G$266*(1+'IN_COST'!$D$8*E32))-('ENG_COST'!$G$268*(1+'IN_COST'!$D$9*E32))-('ENG_CAPEX'!$G$81*(1+'ENG_CAPEX'!$D$23*E32)))-MAX(0,(('ENG_OPS'!$G$81*(1+AVERAGE('ENG_OPS'!$D$84:$P$84)*E32)*(1+F32))-('ENG_COST'!$G$266*(1+'IN_COST'!$D$8*E32))-('ENG_COST'!$G$268*(1+'IN_COST'!$D$9*E32))-('ENG_CAPEX'!$G$81*(1+'ENG_CAPEX'!$D$23*E32))))*'IN_MACRO'!$D$14+('ENG_CAPEX'!$G$81*(1+'ENG_CAPEX'!$D$23*E32))-(('ENG_CAPEX'!$G$21+'ENG_CAPEX'!$G$42)*(1+'ENG_CAPEX'!$D$23*E32))-('ENG_WC'!$G$19*(1+AVERAGE('ENG_OPS'!$D$84:$P$84)*E32)*(1+F32))</f>
        <v/>
      </c>
      <c r="K32" s="36">
        <f>(('ENG_OPS'!$H$81*(1+AVERAGE('ENG_OPS'!$D$84:$P$84)*E32)*(1+F32))-('ENG_COST'!$H$266*(1+'IN_COST'!$D$8*E32))-('ENG_COST'!$H$268*(1+'IN_COST'!$D$9*E32))-('ENG_CAPEX'!$H$81*(1+'ENG_CAPEX'!$D$23*E32)))-MAX(0,(('ENG_OPS'!$H$81*(1+AVERAGE('ENG_OPS'!$D$84:$P$84)*E32)*(1+F32))-('ENG_COST'!$H$266*(1+'IN_COST'!$D$8*E32))-('ENG_COST'!$H$268*(1+'IN_COST'!$D$9*E32))-('ENG_CAPEX'!$H$81*(1+'ENG_CAPEX'!$D$23*E32))))*'IN_MACRO'!$D$14+('ENG_CAPEX'!$H$81*(1+'ENG_CAPEX'!$D$23*E32))-(('ENG_CAPEX'!$H$21+'ENG_CAPEX'!$H$42)*(1+'ENG_CAPEX'!$D$23*E32))-('ENG_WC'!$H$19*(1+AVERAGE('ENG_OPS'!$D$84:$P$84)*E32)*(1+F32))</f>
        <v/>
      </c>
      <c r="L32" s="36">
        <f>(('ENG_OPS'!$I$81*(1+AVERAGE('ENG_OPS'!$D$84:$P$84)*E32)*(1+F32))-('ENG_COST'!$I$266*(1+'IN_COST'!$D$8*E32))-('ENG_COST'!$I$268*(1+'IN_COST'!$D$9*E32))-('ENG_CAPEX'!$I$81*(1+'ENG_CAPEX'!$D$23*E32)))-MAX(0,(('ENG_OPS'!$I$81*(1+AVERAGE('ENG_OPS'!$D$84:$P$84)*E32)*(1+F32))-('ENG_COST'!$I$266*(1+'IN_COST'!$D$8*E32))-('ENG_COST'!$I$268*(1+'IN_COST'!$D$9*E32))-('ENG_CAPEX'!$I$81*(1+'ENG_CAPEX'!$D$23*E32))))*'IN_MACRO'!$D$14+('ENG_CAPEX'!$I$81*(1+'ENG_CAPEX'!$D$23*E32))-(('ENG_CAPEX'!$I$21+'ENG_CAPEX'!$I$42)*(1+'ENG_CAPEX'!$D$23*E32))-('ENG_WC'!$I$19*(1+AVERAGE('ENG_OPS'!$D$84:$P$84)*E32)*(1+F32))</f>
        <v/>
      </c>
      <c r="M32" s="36">
        <f>(('ENG_OPS'!$J$81*(1+AVERAGE('ENG_OPS'!$D$84:$P$84)*E32)*(1+F32))-('ENG_COST'!$J$266*(1+'IN_COST'!$D$8*E32))-('ENG_COST'!$J$268*(1+'IN_COST'!$D$9*E32))-('ENG_CAPEX'!$J$81*(1+'ENG_CAPEX'!$D$23*E32)))-MAX(0,(('ENG_OPS'!$J$81*(1+AVERAGE('ENG_OPS'!$D$84:$P$84)*E32)*(1+F32))-('ENG_COST'!$J$266*(1+'IN_COST'!$D$8*E32))-('ENG_COST'!$J$268*(1+'IN_COST'!$D$9*E32))-('ENG_CAPEX'!$J$81*(1+'ENG_CAPEX'!$D$23*E32))))*'IN_MACRO'!$D$14+('ENG_CAPEX'!$J$81*(1+'ENG_CAPEX'!$D$23*E32))-(('ENG_CAPEX'!$J$21+'ENG_CAPEX'!$J$42)*(1+'ENG_CAPEX'!$D$23*E32))-('ENG_WC'!$J$19*(1+AVERAGE('ENG_OPS'!$D$84:$P$84)*E32)*(1+F32))</f>
        <v/>
      </c>
      <c r="N32" s="36">
        <f>(('ENG_OPS'!$K$81*(1+AVERAGE('ENG_OPS'!$D$84:$P$84)*E32)*(1+F32))-('ENG_COST'!$K$266*(1+'IN_COST'!$D$8*E32))-('ENG_COST'!$K$268*(1+'IN_COST'!$D$9*E32))-('ENG_CAPEX'!$K$81*(1+'ENG_CAPEX'!$D$23*E32)))-MAX(0,(('ENG_OPS'!$K$81*(1+AVERAGE('ENG_OPS'!$D$84:$P$84)*E32)*(1+F32))-('ENG_COST'!$K$266*(1+'IN_COST'!$D$8*E32))-('ENG_COST'!$K$268*(1+'IN_COST'!$D$9*E32))-('ENG_CAPEX'!$K$81*(1+'ENG_CAPEX'!$D$23*E32))))*'IN_MACRO'!$D$14+('ENG_CAPEX'!$K$81*(1+'ENG_CAPEX'!$D$23*E32))-(('ENG_CAPEX'!$K$21+'ENG_CAPEX'!$K$42)*(1+'ENG_CAPEX'!$D$23*E32))-('ENG_WC'!$K$19*(1+AVERAGE('ENG_OPS'!$D$84:$P$84)*E32)*(1+F32))</f>
        <v/>
      </c>
      <c r="O32" s="36">
        <f>(('ENG_OPS'!$L$81*(1+AVERAGE('ENG_OPS'!$D$84:$P$84)*E32)*(1+F32))-('ENG_COST'!$L$266*(1+'IN_COST'!$D$8*E32))-('ENG_COST'!$L$268*(1+'IN_COST'!$D$9*E32))-('ENG_CAPEX'!$L$81*(1+'ENG_CAPEX'!$D$23*E32)))-MAX(0,(('ENG_OPS'!$L$81*(1+AVERAGE('ENG_OPS'!$D$84:$P$84)*E32)*(1+F32))-('ENG_COST'!$L$266*(1+'IN_COST'!$D$8*E32))-('ENG_COST'!$L$268*(1+'IN_COST'!$D$9*E32))-('ENG_CAPEX'!$L$81*(1+'ENG_CAPEX'!$D$23*E32))))*'IN_MACRO'!$D$14+('ENG_CAPEX'!$L$81*(1+'ENG_CAPEX'!$D$23*E32))-(('ENG_CAPEX'!$L$21+'ENG_CAPEX'!$L$42)*(1+'ENG_CAPEX'!$D$23*E32))-('ENG_WC'!$L$19*(1+AVERAGE('ENG_OPS'!$D$84:$P$84)*E32)*(1+F32))</f>
        <v/>
      </c>
      <c r="P32" s="36">
        <f>(('ENG_OPS'!$M$81*(1+AVERAGE('ENG_OPS'!$D$84:$P$84)*E32)*(1+F32))-('ENG_COST'!$M$266*(1+'IN_COST'!$D$8*E32))-('ENG_COST'!$M$268*(1+'IN_COST'!$D$9*E32))-('ENG_CAPEX'!$M$81*(1+'ENG_CAPEX'!$D$23*E32)))-MAX(0,(('ENG_OPS'!$M$81*(1+AVERAGE('ENG_OPS'!$D$84:$P$84)*E32)*(1+F32))-('ENG_COST'!$M$266*(1+'IN_COST'!$D$8*E32))-('ENG_COST'!$M$268*(1+'IN_COST'!$D$9*E32))-('ENG_CAPEX'!$M$81*(1+'ENG_CAPEX'!$D$23*E32))))*'IN_MACRO'!$D$14+('ENG_CAPEX'!$M$81*(1+'ENG_CAPEX'!$D$23*E32))-(('ENG_CAPEX'!$M$21+'ENG_CAPEX'!$M$42)*(1+'ENG_CAPEX'!$D$23*E32))-('ENG_WC'!$M$19*(1+AVERAGE('ENG_OPS'!$D$84:$P$84)*E32)*(1+F32))</f>
        <v/>
      </c>
      <c r="Q32" s="36">
        <f>(('ENG_OPS'!$N$81*(1+AVERAGE('ENG_OPS'!$D$84:$P$84)*E32)*(1+F32))-('ENG_COST'!$N$266*(1+'IN_COST'!$D$8*E32))-('ENG_COST'!$N$268*(1+'IN_COST'!$D$9*E32))-('ENG_CAPEX'!$N$81*(1+'ENG_CAPEX'!$D$23*E32)))-MAX(0,(('ENG_OPS'!$N$81*(1+AVERAGE('ENG_OPS'!$D$84:$P$84)*E32)*(1+F32))-('ENG_COST'!$N$266*(1+'IN_COST'!$D$8*E32))-('ENG_COST'!$N$268*(1+'IN_COST'!$D$9*E32))-('ENG_CAPEX'!$N$81*(1+'ENG_CAPEX'!$D$23*E32))))*'IN_MACRO'!$D$14+('ENG_CAPEX'!$N$81*(1+'ENG_CAPEX'!$D$23*E32))-(('ENG_CAPEX'!$N$21+'ENG_CAPEX'!$N$42)*(1+'ENG_CAPEX'!$D$23*E32))-('ENG_WC'!$N$19*(1+AVERAGE('ENG_OPS'!$D$84:$P$84)*E32)*(1+F32))</f>
        <v/>
      </c>
      <c r="R32" s="36">
        <f>(('ENG_OPS'!$O$81*(1+AVERAGE('ENG_OPS'!$D$84:$P$84)*E32)*(1+F32))-('ENG_COST'!$O$266*(1+'IN_COST'!$D$8*E32))-('ENG_COST'!$O$268*(1+'IN_COST'!$D$9*E32))-('ENG_CAPEX'!$O$81*(1+'ENG_CAPEX'!$D$23*E32)))-MAX(0,(('ENG_OPS'!$O$81*(1+AVERAGE('ENG_OPS'!$D$84:$P$84)*E32)*(1+F32))-('ENG_COST'!$O$266*(1+'IN_COST'!$D$8*E32))-('ENG_COST'!$O$268*(1+'IN_COST'!$D$9*E32))-('ENG_CAPEX'!$O$81*(1+'ENG_CAPEX'!$D$23*E32))))*'IN_MACRO'!$D$14+('ENG_CAPEX'!$O$81*(1+'ENG_CAPEX'!$D$23*E32))-(('ENG_CAPEX'!$O$21+'ENG_CAPEX'!$O$42)*(1+'ENG_CAPEX'!$D$23*E32))-('ENG_WC'!$O$19*(1+AVERAGE('ENG_OPS'!$D$84:$P$84)*E32)*(1+F32))</f>
        <v/>
      </c>
      <c r="S32" s="36">
        <f>(('ENG_OPS'!$P$81*(1+AVERAGE('ENG_OPS'!$D$84:$P$84)*E32)*(1+F32))-('ENG_COST'!$P$266*(1+'IN_COST'!$D$8*E32))-('ENG_COST'!$P$268*(1+'IN_COST'!$D$9*E32))-('ENG_CAPEX'!$P$81*(1+'ENG_CAPEX'!$D$23*E32)))-MAX(0,(('ENG_OPS'!$P$81*(1+AVERAGE('ENG_OPS'!$D$84:$P$84)*E32)*(1+F32))-('ENG_COST'!$P$266*(1+'IN_COST'!$D$8*E32))-('ENG_COST'!$P$268*(1+'IN_COST'!$D$9*E32))-('ENG_CAPEX'!$P$81*(1+'ENG_CAPEX'!$D$23*E32))))*'IN_MACRO'!$D$14+('ENG_CAPEX'!$P$81*(1+'ENG_CAPEX'!$D$23*E32))-(('ENG_CAPEX'!$P$21+'ENG_CAPEX'!$P$42)*(1+'ENG_CAPEX'!$D$23*E32))-('ENG_WC'!$P$19*(1+AVERAGE('ENG_OPS'!$D$84:$P$84)*E32)*(1+F32))</f>
        <v/>
      </c>
      <c r="T32" s="30">
        <f>1</f>
        <v/>
      </c>
      <c r="U32" s="30">
        <f>T32/(1+'ENG_DCF'!$E$14+D32)</f>
        <v/>
      </c>
      <c r="V32" s="30">
        <f>U32/(1+'ENG_DCF'!$F$14+D32)</f>
        <v/>
      </c>
      <c r="W32" s="30">
        <f>V32/(1+'ENG_DCF'!$G$14+D32)</f>
        <v/>
      </c>
      <c r="X32" s="30">
        <f>W32/(1+'ENG_DCF'!$H$14+D32)</f>
        <v/>
      </c>
      <c r="Y32" s="30">
        <f>X32/(1+'ENG_DCF'!$I$14+D32)</f>
        <v/>
      </c>
      <c r="Z32" s="30">
        <f>Y32/(1+'ENG_DCF'!$J$14+D32)</f>
        <v/>
      </c>
      <c r="AA32" s="30">
        <f>Z32/(1+'ENG_DCF'!$K$14+D32)</f>
        <v/>
      </c>
      <c r="AB32" s="30">
        <f>AA32/(1+'ENG_DCF'!$L$14+D32)</f>
        <v/>
      </c>
      <c r="AC32" s="30">
        <f>AB32/(1+'ENG_DCF'!$M$14+D32)</f>
        <v/>
      </c>
      <c r="AD32" s="30">
        <f>AC32/(1+'ENG_DCF'!$N$14+D32)</f>
        <v/>
      </c>
      <c r="AE32" s="30">
        <f>AD32/(1+'ENG_DCF'!$O$14+D32)</f>
        <v/>
      </c>
      <c r="AF32" s="30">
        <f>AE32/(1+'ENG_DCF'!$P$14+D32)</f>
        <v/>
      </c>
      <c r="AG32" s="36">
        <f>(G32*T32+H32*U32+I32*V32+J32*W32+K32*X32+L32*Y32+M32*Z32+N32*AA32+O32*AB32+P32*AC32+Q32*AD32+R32*AE32+S32*AF32)+(IF('IN_MACRO'!$D$19=1,MAX(0,(S32+(('ENG_CAPEX'!$P$21+'ENG_CAPEX'!$P$42)*(1+'ENG_CAPEX'!$D$23*E32))))*(1+'IN_MACRO'!$D$18)/MAX(0.005,'ENG_DCF'!$P$14+D32-'IN_MACRO'!$D$18),(('ENG_OPS'!$P$81*(1+AVERAGE('ENG_OPS'!$D$84:$P$84)*E32)*(1+F32))-('ENG_COST'!$P$266*(1+'IN_COST'!$D$8*E32))-('ENG_COST'!$P$268*(1+'IN_COST'!$D$9*E32)))*'IN_MACRO'!$D$20))*AF32</f>
        <v/>
      </c>
    </row>
    <row r="33">
      <c r="A33" t="inlineStr">
        <is>
          <t>PR|2|3</t>
        </is>
      </c>
      <c r="D33" s="38">
        <f>'IN_SCEN'!$F$24</f>
        <v/>
      </c>
      <c r="E33" s="38">
        <f>0</f>
        <v/>
      </c>
      <c r="F33" s="38">
        <f>'IN_SCEN'!$G$26</f>
        <v/>
      </c>
      <c r="G33" s="36">
        <f>(('ENG_OPS'!$D$81*(1+AVERAGE('ENG_OPS'!$D$84:$P$84)*E33)*(1+F33))-('ENG_COST'!$D$266*(1+'IN_COST'!$D$8*E33))-('ENG_COST'!$D$268*(1+'IN_COST'!$D$9*E33))-('ENG_CAPEX'!$D$81*(1+'ENG_CAPEX'!$D$23*E33)))-MAX(0,(('ENG_OPS'!$D$81*(1+AVERAGE('ENG_OPS'!$D$84:$P$84)*E33)*(1+F33))-('ENG_COST'!$D$266*(1+'IN_COST'!$D$8*E33))-('ENG_COST'!$D$268*(1+'IN_COST'!$D$9*E33))-('ENG_CAPEX'!$D$81*(1+'ENG_CAPEX'!$D$23*E33))))*'IN_MACRO'!$D$14+('ENG_CAPEX'!$D$81*(1+'ENG_CAPEX'!$D$23*E33))-(('ENG_CAPEX'!$D$21+'ENG_CAPEX'!$D$42)*(1+'ENG_CAPEX'!$D$23*E33))-('ENG_WC'!$D$19*(1+AVERAGE('ENG_OPS'!$D$84:$P$84)*E33)*(1+F33))</f>
        <v/>
      </c>
      <c r="H33" s="36">
        <f>(('ENG_OPS'!$E$81*(1+AVERAGE('ENG_OPS'!$D$84:$P$84)*E33)*(1+F33))-('ENG_COST'!$E$266*(1+'IN_COST'!$D$8*E33))-('ENG_COST'!$E$268*(1+'IN_COST'!$D$9*E33))-('ENG_CAPEX'!$E$81*(1+'ENG_CAPEX'!$D$23*E33)))-MAX(0,(('ENG_OPS'!$E$81*(1+AVERAGE('ENG_OPS'!$D$84:$P$84)*E33)*(1+F33))-('ENG_COST'!$E$266*(1+'IN_COST'!$D$8*E33))-('ENG_COST'!$E$268*(1+'IN_COST'!$D$9*E33))-('ENG_CAPEX'!$E$81*(1+'ENG_CAPEX'!$D$23*E33))))*'IN_MACRO'!$D$14+('ENG_CAPEX'!$E$81*(1+'ENG_CAPEX'!$D$23*E33))-(('ENG_CAPEX'!$E$21+'ENG_CAPEX'!$E$42)*(1+'ENG_CAPEX'!$D$23*E33))-('ENG_WC'!$E$19*(1+AVERAGE('ENG_OPS'!$D$84:$P$84)*E33)*(1+F33))</f>
        <v/>
      </c>
      <c r="I33" s="36">
        <f>(('ENG_OPS'!$F$81*(1+AVERAGE('ENG_OPS'!$D$84:$P$84)*E33)*(1+F33))-('ENG_COST'!$F$266*(1+'IN_COST'!$D$8*E33))-('ENG_COST'!$F$268*(1+'IN_COST'!$D$9*E33))-('ENG_CAPEX'!$F$81*(1+'ENG_CAPEX'!$D$23*E33)))-MAX(0,(('ENG_OPS'!$F$81*(1+AVERAGE('ENG_OPS'!$D$84:$P$84)*E33)*(1+F33))-('ENG_COST'!$F$266*(1+'IN_COST'!$D$8*E33))-('ENG_COST'!$F$268*(1+'IN_COST'!$D$9*E33))-('ENG_CAPEX'!$F$81*(1+'ENG_CAPEX'!$D$23*E33))))*'IN_MACRO'!$D$14+('ENG_CAPEX'!$F$81*(1+'ENG_CAPEX'!$D$23*E33))-(('ENG_CAPEX'!$F$21+'ENG_CAPEX'!$F$42)*(1+'ENG_CAPEX'!$D$23*E33))-('ENG_WC'!$F$19*(1+AVERAGE('ENG_OPS'!$D$84:$P$84)*E33)*(1+F33))</f>
        <v/>
      </c>
      <c r="J33" s="36">
        <f>(('ENG_OPS'!$G$81*(1+AVERAGE('ENG_OPS'!$D$84:$P$84)*E33)*(1+F33))-('ENG_COST'!$G$266*(1+'IN_COST'!$D$8*E33))-('ENG_COST'!$G$268*(1+'IN_COST'!$D$9*E33))-('ENG_CAPEX'!$G$81*(1+'ENG_CAPEX'!$D$23*E33)))-MAX(0,(('ENG_OPS'!$G$81*(1+AVERAGE('ENG_OPS'!$D$84:$P$84)*E33)*(1+F33))-('ENG_COST'!$G$266*(1+'IN_COST'!$D$8*E33))-('ENG_COST'!$G$268*(1+'IN_COST'!$D$9*E33))-('ENG_CAPEX'!$G$81*(1+'ENG_CAPEX'!$D$23*E33))))*'IN_MACRO'!$D$14+('ENG_CAPEX'!$G$81*(1+'ENG_CAPEX'!$D$23*E33))-(('ENG_CAPEX'!$G$21+'ENG_CAPEX'!$G$42)*(1+'ENG_CAPEX'!$D$23*E33))-('ENG_WC'!$G$19*(1+AVERAGE('ENG_OPS'!$D$84:$P$84)*E33)*(1+F33))</f>
        <v/>
      </c>
      <c r="K33" s="36">
        <f>(('ENG_OPS'!$H$81*(1+AVERAGE('ENG_OPS'!$D$84:$P$84)*E33)*(1+F33))-('ENG_COST'!$H$266*(1+'IN_COST'!$D$8*E33))-('ENG_COST'!$H$268*(1+'IN_COST'!$D$9*E33))-('ENG_CAPEX'!$H$81*(1+'ENG_CAPEX'!$D$23*E33)))-MAX(0,(('ENG_OPS'!$H$81*(1+AVERAGE('ENG_OPS'!$D$84:$P$84)*E33)*(1+F33))-('ENG_COST'!$H$266*(1+'IN_COST'!$D$8*E33))-('ENG_COST'!$H$268*(1+'IN_COST'!$D$9*E33))-('ENG_CAPEX'!$H$81*(1+'ENG_CAPEX'!$D$23*E33))))*'IN_MACRO'!$D$14+('ENG_CAPEX'!$H$81*(1+'ENG_CAPEX'!$D$23*E33))-(('ENG_CAPEX'!$H$21+'ENG_CAPEX'!$H$42)*(1+'ENG_CAPEX'!$D$23*E33))-('ENG_WC'!$H$19*(1+AVERAGE('ENG_OPS'!$D$84:$P$84)*E33)*(1+F33))</f>
        <v/>
      </c>
      <c r="L33" s="36">
        <f>(('ENG_OPS'!$I$81*(1+AVERAGE('ENG_OPS'!$D$84:$P$84)*E33)*(1+F33))-('ENG_COST'!$I$266*(1+'IN_COST'!$D$8*E33))-('ENG_COST'!$I$268*(1+'IN_COST'!$D$9*E33))-('ENG_CAPEX'!$I$81*(1+'ENG_CAPEX'!$D$23*E33)))-MAX(0,(('ENG_OPS'!$I$81*(1+AVERAGE('ENG_OPS'!$D$84:$P$84)*E33)*(1+F33))-('ENG_COST'!$I$266*(1+'IN_COST'!$D$8*E33))-('ENG_COST'!$I$268*(1+'IN_COST'!$D$9*E33))-('ENG_CAPEX'!$I$81*(1+'ENG_CAPEX'!$D$23*E33))))*'IN_MACRO'!$D$14+('ENG_CAPEX'!$I$81*(1+'ENG_CAPEX'!$D$23*E33))-(('ENG_CAPEX'!$I$21+'ENG_CAPEX'!$I$42)*(1+'ENG_CAPEX'!$D$23*E33))-('ENG_WC'!$I$19*(1+AVERAGE('ENG_OPS'!$D$84:$P$84)*E33)*(1+F33))</f>
        <v/>
      </c>
      <c r="M33" s="36">
        <f>(('ENG_OPS'!$J$81*(1+AVERAGE('ENG_OPS'!$D$84:$P$84)*E33)*(1+F33))-('ENG_COST'!$J$266*(1+'IN_COST'!$D$8*E33))-('ENG_COST'!$J$268*(1+'IN_COST'!$D$9*E33))-('ENG_CAPEX'!$J$81*(1+'ENG_CAPEX'!$D$23*E33)))-MAX(0,(('ENG_OPS'!$J$81*(1+AVERAGE('ENG_OPS'!$D$84:$P$84)*E33)*(1+F33))-('ENG_COST'!$J$266*(1+'IN_COST'!$D$8*E33))-('ENG_COST'!$J$268*(1+'IN_COST'!$D$9*E33))-('ENG_CAPEX'!$J$81*(1+'ENG_CAPEX'!$D$23*E33))))*'IN_MACRO'!$D$14+('ENG_CAPEX'!$J$81*(1+'ENG_CAPEX'!$D$23*E33))-(('ENG_CAPEX'!$J$21+'ENG_CAPEX'!$J$42)*(1+'ENG_CAPEX'!$D$23*E33))-('ENG_WC'!$J$19*(1+AVERAGE('ENG_OPS'!$D$84:$P$84)*E33)*(1+F33))</f>
        <v/>
      </c>
      <c r="N33" s="36">
        <f>(('ENG_OPS'!$K$81*(1+AVERAGE('ENG_OPS'!$D$84:$P$84)*E33)*(1+F33))-('ENG_COST'!$K$266*(1+'IN_COST'!$D$8*E33))-('ENG_COST'!$K$268*(1+'IN_COST'!$D$9*E33))-('ENG_CAPEX'!$K$81*(1+'ENG_CAPEX'!$D$23*E33)))-MAX(0,(('ENG_OPS'!$K$81*(1+AVERAGE('ENG_OPS'!$D$84:$P$84)*E33)*(1+F33))-('ENG_COST'!$K$266*(1+'IN_COST'!$D$8*E33))-('ENG_COST'!$K$268*(1+'IN_COST'!$D$9*E33))-('ENG_CAPEX'!$K$81*(1+'ENG_CAPEX'!$D$23*E33))))*'IN_MACRO'!$D$14+('ENG_CAPEX'!$K$81*(1+'ENG_CAPEX'!$D$23*E33))-(('ENG_CAPEX'!$K$21+'ENG_CAPEX'!$K$42)*(1+'ENG_CAPEX'!$D$23*E33))-('ENG_WC'!$K$19*(1+AVERAGE('ENG_OPS'!$D$84:$P$84)*E33)*(1+F33))</f>
        <v/>
      </c>
      <c r="O33" s="36">
        <f>(('ENG_OPS'!$L$81*(1+AVERAGE('ENG_OPS'!$D$84:$P$84)*E33)*(1+F33))-('ENG_COST'!$L$266*(1+'IN_COST'!$D$8*E33))-('ENG_COST'!$L$268*(1+'IN_COST'!$D$9*E33))-('ENG_CAPEX'!$L$81*(1+'ENG_CAPEX'!$D$23*E33)))-MAX(0,(('ENG_OPS'!$L$81*(1+AVERAGE('ENG_OPS'!$D$84:$P$84)*E33)*(1+F33))-('ENG_COST'!$L$266*(1+'IN_COST'!$D$8*E33))-('ENG_COST'!$L$268*(1+'IN_COST'!$D$9*E33))-('ENG_CAPEX'!$L$81*(1+'ENG_CAPEX'!$D$23*E33))))*'IN_MACRO'!$D$14+('ENG_CAPEX'!$L$81*(1+'ENG_CAPEX'!$D$23*E33))-(('ENG_CAPEX'!$L$21+'ENG_CAPEX'!$L$42)*(1+'ENG_CAPEX'!$D$23*E33))-('ENG_WC'!$L$19*(1+AVERAGE('ENG_OPS'!$D$84:$P$84)*E33)*(1+F33))</f>
        <v/>
      </c>
      <c r="P33" s="36">
        <f>(('ENG_OPS'!$M$81*(1+AVERAGE('ENG_OPS'!$D$84:$P$84)*E33)*(1+F33))-('ENG_COST'!$M$266*(1+'IN_COST'!$D$8*E33))-('ENG_COST'!$M$268*(1+'IN_COST'!$D$9*E33))-('ENG_CAPEX'!$M$81*(1+'ENG_CAPEX'!$D$23*E33)))-MAX(0,(('ENG_OPS'!$M$81*(1+AVERAGE('ENG_OPS'!$D$84:$P$84)*E33)*(1+F33))-('ENG_COST'!$M$266*(1+'IN_COST'!$D$8*E33))-('ENG_COST'!$M$268*(1+'IN_COST'!$D$9*E33))-('ENG_CAPEX'!$M$81*(1+'ENG_CAPEX'!$D$23*E33))))*'IN_MACRO'!$D$14+('ENG_CAPEX'!$M$81*(1+'ENG_CAPEX'!$D$23*E33))-(('ENG_CAPEX'!$M$21+'ENG_CAPEX'!$M$42)*(1+'ENG_CAPEX'!$D$23*E33))-('ENG_WC'!$M$19*(1+AVERAGE('ENG_OPS'!$D$84:$P$84)*E33)*(1+F33))</f>
        <v/>
      </c>
      <c r="Q33" s="36">
        <f>(('ENG_OPS'!$N$81*(1+AVERAGE('ENG_OPS'!$D$84:$P$84)*E33)*(1+F33))-('ENG_COST'!$N$266*(1+'IN_COST'!$D$8*E33))-('ENG_COST'!$N$268*(1+'IN_COST'!$D$9*E33))-('ENG_CAPEX'!$N$81*(1+'ENG_CAPEX'!$D$23*E33)))-MAX(0,(('ENG_OPS'!$N$81*(1+AVERAGE('ENG_OPS'!$D$84:$P$84)*E33)*(1+F33))-('ENG_COST'!$N$266*(1+'IN_COST'!$D$8*E33))-('ENG_COST'!$N$268*(1+'IN_COST'!$D$9*E33))-('ENG_CAPEX'!$N$81*(1+'ENG_CAPEX'!$D$23*E33))))*'IN_MACRO'!$D$14+('ENG_CAPEX'!$N$81*(1+'ENG_CAPEX'!$D$23*E33))-(('ENG_CAPEX'!$N$21+'ENG_CAPEX'!$N$42)*(1+'ENG_CAPEX'!$D$23*E33))-('ENG_WC'!$N$19*(1+AVERAGE('ENG_OPS'!$D$84:$P$84)*E33)*(1+F33))</f>
        <v/>
      </c>
      <c r="R33" s="36">
        <f>(('ENG_OPS'!$O$81*(1+AVERAGE('ENG_OPS'!$D$84:$P$84)*E33)*(1+F33))-('ENG_COST'!$O$266*(1+'IN_COST'!$D$8*E33))-('ENG_COST'!$O$268*(1+'IN_COST'!$D$9*E33))-('ENG_CAPEX'!$O$81*(1+'ENG_CAPEX'!$D$23*E33)))-MAX(0,(('ENG_OPS'!$O$81*(1+AVERAGE('ENG_OPS'!$D$84:$P$84)*E33)*(1+F33))-('ENG_COST'!$O$266*(1+'IN_COST'!$D$8*E33))-('ENG_COST'!$O$268*(1+'IN_COST'!$D$9*E33))-('ENG_CAPEX'!$O$81*(1+'ENG_CAPEX'!$D$23*E33))))*'IN_MACRO'!$D$14+('ENG_CAPEX'!$O$81*(1+'ENG_CAPEX'!$D$23*E33))-(('ENG_CAPEX'!$O$21+'ENG_CAPEX'!$O$42)*(1+'ENG_CAPEX'!$D$23*E33))-('ENG_WC'!$O$19*(1+AVERAGE('ENG_OPS'!$D$84:$P$84)*E33)*(1+F33))</f>
        <v/>
      </c>
      <c r="S33" s="36">
        <f>(('ENG_OPS'!$P$81*(1+AVERAGE('ENG_OPS'!$D$84:$P$84)*E33)*(1+F33))-('ENG_COST'!$P$266*(1+'IN_COST'!$D$8*E33))-('ENG_COST'!$P$268*(1+'IN_COST'!$D$9*E33))-('ENG_CAPEX'!$P$81*(1+'ENG_CAPEX'!$D$23*E33)))-MAX(0,(('ENG_OPS'!$P$81*(1+AVERAGE('ENG_OPS'!$D$84:$P$84)*E33)*(1+F33))-('ENG_COST'!$P$266*(1+'IN_COST'!$D$8*E33))-('ENG_COST'!$P$268*(1+'IN_COST'!$D$9*E33))-('ENG_CAPEX'!$P$81*(1+'ENG_CAPEX'!$D$23*E33))))*'IN_MACRO'!$D$14+('ENG_CAPEX'!$P$81*(1+'ENG_CAPEX'!$D$23*E33))-(('ENG_CAPEX'!$P$21+'ENG_CAPEX'!$P$42)*(1+'ENG_CAPEX'!$D$23*E33))-('ENG_WC'!$P$19*(1+AVERAGE('ENG_OPS'!$D$84:$P$84)*E33)*(1+F33))</f>
        <v/>
      </c>
      <c r="T33" s="30">
        <f>1</f>
        <v/>
      </c>
      <c r="U33" s="30">
        <f>T33/(1+'ENG_DCF'!$E$14+D33)</f>
        <v/>
      </c>
      <c r="V33" s="30">
        <f>U33/(1+'ENG_DCF'!$F$14+D33)</f>
        <v/>
      </c>
      <c r="W33" s="30">
        <f>V33/(1+'ENG_DCF'!$G$14+D33)</f>
        <v/>
      </c>
      <c r="X33" s="30">
        <f>W33/(1+'ENG_DCF'!$H$14+D33)</f>
        <v/>
      </c>
      <c r="Y33" s="30">
        <f>X33/(1+'ENG_DCF'!$I$14+D33)</f>
        <v/>
      </c>
      <c r="Z33" s="30">
        <f>Y33/(1+'ENG_DCF'!$J$14+D33)</f>
        <v/>
      </c>
      <c r="AA33" s="30">
        <f>Z33/(1+'ENG_DCF'!$K$14+D33)</f>
        <v/>
      </c>
      <c r="AB33" s="30">
        <f>AA33/(1+'ENG_DCF'!$L$14+D33)</f>
        <v/>
      </c>
      <c r="AC33" s="30">
        <f>AB33/(1+'ENG_DCF'!$M$14+D33)</f>
        <v/>
      </c>
      <c r="AD33" s="30">
        <f>AC33/(1+'ENG_DCF'!$N$14+D33)</f>
        <v/>
      </c>
      <c r="AE33" s="30">
        <f>AD33/(1+'ENG_DCF'!$O$14+D33)</f>
        <v/>
      </c>
      <c r="AF33" s="30">
        <f>AE33/(1+'ENG_DCF'!$P$14+D33)</f>
        <v/>
      </c>
      <c r="AG33" s="36">
        <f>(G33*T33+H33*U33+I33*V33+J33*W33+K33*X33+L33*Y33+M33*Z33+N33*AA33+O33*AB33+P33*AC33+Q33*AD33+R33*AE33+S33*AF33)+(IF('IN_MACRO'!$D$19=1,MAX(0,(S33+(('ENG_CAPEX'!$P$21+'ENG_CAPEX'!$P$42)*(1+'ENG_CAPEX'!$D$23*E33))))*(1+'IN_MACRO'!$D$18)/MAX(0.005,'ENG_DCF'!$P$14+D33-'IN_MACRO'!$D$18),(('ENG_OPS'!$P$81*(1+AVERAGE('ENG_OPS'!$D$84:$P$84)*E33)*(1+F33))-('ENG_COST'!$P$266*(1+'IN_COST'!$D$8*E33))-('ENG_COST'!$P$268*(1+'IN_COST'!$D$9*E33)))*'IN_MACRO'!$D$20))*AF33</f>
        <v/>
      </c>
    </row>
    <row r="34">
      <c r="A34" t="inlineStr">
        <is>
          <t>FX|2|4</t>
        </is>
      </c>
      <c r="D34" s="38">
        <f>'IN_SCEN'!$F$24</f>
        <v/>
      </c>
      <c r="E34" s="38">
        <f>'IN_SCEN'!$H$25</f>
        <v/>
      </c>
      <c r="F34" s="38">
        <f>0</f>
        <v/>
      </c>
      <c r="G34" s="36">
        <f>(('ENG_OPS'!$D$81*(1+AVERAGE('ENG_OPS'!$D$84:$P$84)*E34)*(1+F34))-('ENG_COST'!$D$266*(1+'IN_COST'!$D$8*E34))-('ENG_COST'!$D$268*(1+'IN_COST'!$D$9*E34))-('ENG_CAPEX'!$D$81*(1+'ENG_CAPEX'!$D$23*E34)))-MAX(0,(('ENG_OPS'!$D$81*(1+AVERAGE('ENG_OPS'!$D$84:$P$84)*E34)*(1+F34))-('ENG_COST'!$D$266*(1+'IN_COST'!$D$8*E34))-('ENG_COST'!$D$268*(1+'IN_COST'!$D$9*E34))-('ENG_CAPEX'!$D$81*(1+'ENG_CAPEX'!$D$23*E34))))*'IN_MACRO'!$D$14+('ENG_CAPEX'!$D$81*(1+'ENG_CAPEX'!$D$23*E34))-(('ENG_CAPEX'!$D$21+'ENG_CAPEX'!$D$42)*(1+'ENG_CAPEX'!$D$23*E34))-('ENG_WC'!$D$19*(1+AVERAGE('ENG_OPS'!$D$84:$P$84)*E34)*(1+F34))</f>
        <v/>
      </c>
      <c r="H34" s="36">
        <f>(('ENG_OPS'!$E$81*(1+AVERAGE('ENG_OPS'!$D$84:$P$84)*E34)*(1+F34))-('ENG_COST'!$E$266*(1+'IN_COST'!$D$8*E34))-('ENG_COST'!$E$268*(1+'IN_COST'!$D$9*E34))-('ENG_CAPEX'!$E$81*(1+'ENG_CAPEX'!$D$23*E34)))-MAX(0,(('ENG_OPS'!$E$81*(1+AVERAGE('ENG_OPS'!$D$84:$P$84)*E34)*(1+F34))-('ENG_COST'!$E$266*(1+'IN_COST'!$D$8*E34))-('ENG_COST'!$E$268*(1+'IN_COST'!$D$9*E34))-('ENG_CAPEX'!$E$81*(1+'ENG_CAPEX'!$D$23*E34))))*'IN_MACRO'!$D$14+('ENG_CAPEX'!$E$81*(1+'ENG_CAPEX'!$D$23*E34))-(('ENG_CAPEX'!$E$21+'ENG_CAPEX'!$E$42)*(1+'ENG_CAPEX'!$D$23*E34))-('ENG_WC'!$E$19*(1+AVERAGE('ENG_OPS'!$D$84:$P$84)*E34)*(1+F34))</f>
        <v/>
      </c>
      <c r="I34" s="36">
        <f>(('ENG_OPS'!$F$81*(1+AVERAGE('ENG_OPS'!$D$84:$P$84)*E34)*(1+F34))-('ENG_COST'!$F$266*(1+'IN_COST'!$D$8*E34))-('ENG_COST'!$F$268*(1+'IN_COST'!$D$9*E34))-('ENG_CAPEX'!$F$81*(1+'ENG_CAPEX'!$D$23*E34)))-MAX(0,(('ENG_OPS'!$F$81*(1+AVERAGE('ENG_OPS'!$D$84:$P$84)*E34)*(1+F34))-('ENG_COST'!$F$266*(1+'IN_COST'!$D$8*E34))-('ENG_COST'!$F$268*(1+'IN_COST'!$D$9*E34))-('ENG_CAPEX'!$F$81*(1+'ENG_CAPEX'!$D$23*E34))))*'IN_MACRO'!$D$14+('ENG_CAPEX'!$F$81*(1+'ENG_CAPEX'!$D$23*E34))-(('ENG_CAPEX'!$F$21+'ENG_CAPEX'!$F$42)*(1+'ENG_CAPEX'!$D$23*E34))-('ENG_WC'!$F$19*(1+AVERAGE('ENG_OPS'!$D$84:$P$84)*E34)*(1+F34))</f>
        <v/>
      </c>
      <c r="J34" s="36">
        <f>(('ENG_OPS'!$G$81*(1+AVERAGE('ENG_OPS'!$D$84:$P$84)*E34)*(1+F34))-('ENG_COST'!$G$266*(1+'IN_COST'!$D$8*E34))-('ENG_COST'!$G$268*(1+'IN_COST'!$D$9*E34))-('ENG_CAPEX'!$G$81*(1+'ENG_CAPEX'!$D$23*E34)))-MAX(0,(('ENG_OPS'!$G$81*(1+AVERAGE('ENG_OPS'!$D$84:$P$84)*E34)*(1+F34))-('ENG_COST'!$G$266*(1+'IN_COST'!$D$8*E34))-('ENG_COST'!$G$268*(1+'IN_COST'!$D$9*E34))-('ENG_CAPEX'!$G$81*(1+'ENG_CAPEX'!$D$23*E34))))*'IN_MACRO'!$D$14+('ENG_CAPEX'!$G$81*(1+'ENG_CAPEX'!$D$23*E34))-(('ENG_CAPEX'!$G$21+'ENG_CAPEX'!$G$42)*(1+'ENG_CAPEX'!$D$23*E34))-('ENG_WC'!$G$19*(1+AVERAGE('ENG_OPS'!$D$84:$P$84)*E34)*(1+F34))</f>
        <v/>
      </c>
      <c r="K34" s="36">
        <f>(('ENG_OPS'!$H$81*(1+AVERAGE('ENG_OPS'!$D$84:$P$84)*E34)*(1+F34))-('ENG_COST'!$H$266*(1+'IN_COST'!$D$8*E34))-('ENG_COST'!$H$268*(1+'IN_COST'!$D$9*E34))-('ENG_CAPEX'!$H$81*(1+'ENG_CAPEX'!$D$23*E34)))-MAX(0,(('ENG_OPS'!$H$81*(1+AVERAGE('ENG_OPS'!$D$84:$P$84)*E34)*(1+F34))-('ENG_COST'!$H$266*(1+'IN_COST'!$D$8*E34))-('ENG_COST'!$H$268*(1+'IN_COST'!$D$9*E34))-('ENG_CAPEX'!$H$81*(1+'ENG_CAPEX'!$D$23*E34))))*'IN_MACRO'!$D$14+('ENG_CAPEX'!$H$81*(1+'ENG_CAPEX'!$D$23*E34))-(('ENG_CAPEX'!$H$21+'ENG_CAPEX'!$H$42)*(1+'ENG_CAPEX'!$D$23*E34))-('ENG_WC'!$H$19*(1+AVERAGE('ENG_OPS'!$D$84:$P$84)*E34)*(1+F34))</f>
        <v/>
      </c>
      <c r="L34" s="36">
        <f>(('ENG_OPS'!$I$81*(1+AVERAGE('ENG_OPS'!$D$84:$P$84)*E34)*(1+F34))-('ENG_COST'!$I$266*(1+'IN_COST'!$D$8*E34))-('ENG_COST'!$I$268*(1+'IN_COST'!$D$9*E34))-('ENG_CAPEX'!$I$81*(1+'ENG_CAPEX'!$D$23*E34)))-MAX(0,(('ENG_OPS'!$I$81*(1+AVERAGE('ENG_OPS'!$D$84:$P$84)*E34)*(1+F34))-('ENG_COST'!$I$266*(1+'IN_COST'!$D$8*E34))-('ENG_COST'!$I$268*(1+'IN_COST'!$D$9*E34))-('ENG_CAPEX'!$I$81*(1+'ENG_CAPEX'!$D$23*E34))))*'IN_MACRO'!$D$14+('ENG_CAPEX'!$I$81*(1+'ENG_CAPEX'!$D$23*E34))-(('ENG_CAPEX'!$I$21+'ENG_CAPEX'!$I$42)*(1+'ENG_CAPEX'!$D$23*E34))-('ENG_WC'!$I$19*(1+AVERAGE('ENG_OPS'!$D$84:$P$84)*E34)*(1+F34))</f>
        <v/>
      </c>
      <c r="M34" s="36">
        <f>(('ENG_OPS'!$J$81*(1+AVERAGE('ENG_OPS'!$D$84:$P$84)*E34)*(1+F34))-('ENG_COST'!$J$266*(1+'IN_COST'!$D$8*E34))-('ENG_COST'!$J$268*(1+'IN_COST'!$D$9*E34))-('ENG_CAPEX'!$J$81*(1+'ENG_CAPEX'!$D$23*E34)))-MAX(0,(('ENG_OPS'!$J$81*(1+AVERAGE('ENG_OPS'!$D$84:$P$84)*E34)*(1+F34))-('ENG_COST'!$J$266*(1+'IN_COST'!$D$8*E34))-('ENG_COST'!$J$268*(1+'IN_COST'!$D$9*E34))-('ENG_CAPEX'!$J$81*(1+'ENG_CAPEX'!$D$23*E34))))*'IN_MACRO'!$D$14+('ENG_CAPEX'!$J$81*(1+'ENG_CAPEX'!$D$23*E34))-(('ENG_CAPEX'!$J$21+'ENG_CAPEX'!$J$42)*(1+'ENG_CAPEX'!$D$23*E34))-('ENG_WC'!$J$19*(1+AVERAGE('ENG_OPS'!$D$84:$P$84)*E34)*(1+F34))</f>
        <v/>
      </c>
      <c r="N34" s="36">
        <f>(('ENG_OPS'!$K$81*(1+AVERAGE('ENG_OPS'!$D$84:$P$84)*E34)*(1+F34))-('ENG_COST'!$K$266*(1+'IN_COST'!$D$8*E34))-('ENG_COST'!$K$268*(1+'IN_COST'!$D$9*E34))-('ENG_CAPEX'!$K$81*(1+'ENG_CAPEX'!$D$23*E34)))-MAX(0,(('ENG_OPS'!$K$81*(1+AVERAGE('ENG_OPS'!$D$84:$P$84)*E34)*(1+F34))-('ENG_COST'!$K$266*(1+'IN_COST'!$D$8*E34))-('ENG_COST'!$K$268*(1+'IN_COST'!$D$9*E34))-('ENG_CAPEX'!$K$81*(1+'ENG_CAPEX'!$D$23*E34))))*'IN_MACRO'!$D$14+('ENG_CAPEX'!$K$81*(1+'ENG_CAPEX'!$D$23*E34))-(('ENG_CAPEX'!$K$21+'ENG_CAPEX'!$K$42)*(1+'ENG_CAPEX'!$D$23*E34))-('ENG_WC'!$K$19*(1+AVERAGE('ENG_OPS'!$D$84:$P$84)*E34)*(1+F34))</f>
        <v/>
      </c>
      <c r="O34" s="36">
        <f>(('ENG_OPS'!$L$81*(1+AVERAGE('ENG_OPS'!$D$84:$P$84)*E34)*(1+F34))-('ENG_COST'!$L$266*(1+'IN_COST'!$D$8*E34))-('ENG_COST'!$L$268*(1+'IN_COST'!$D$9*E34))-('ENG_CAPEX'!$L$81*(1+'ENG_CAPEX'!$D$23*E34)))-MAX(0,(('ENG_OPS'!$L$81*(1+AVERAGE('ENG_OPS'!$D$84:$P$84)*E34)*(1+F34))-('ENG_COST'!$L$266*(1+'IN_COST'!$D$8*E34))-('ENG_COST'!$L$268*(1+'IN_COST'!$D$9*E34))-('ENG_CAPEX'!$L$81*(1+'ENG_CAPEX'!$D$23*E34))))*'IN_MACRO'!$D$14+('ENG_CAPEX'!$L$81*(1+'ENG_CAPEX'!$D$23*E34))-(('ENG_CAPEX'!$L$21+'ENG_CAPEX'!$L$42)*(1+'ENG_CAPEX'!$D$23*E34))-('ENG_WC'!$L$19*(1+AVERAGE('ENG_OPS'!$D$84:$P$84)*E34)*(1+F34))</f>
        <v/>
      </c>
      <c r="P34" s="36">
        <f>(('ENG_OPS'!$M$81*(1+AVERAGE('ENG_OPS'!$D$84:$P$84)*E34)*(1+F34))-('ENG_COST'!$M$266*(1+'IN_COST'!$D$8*E34))-('ENG_COST'!$M$268*(1+'IN_COST'!$D$9*E34))-('ENG_CAPEX'!$M$81*(1+'ENG_CAPEX'!$D$23*E34)))-MAX(0,(('ENG_OPS'!$M$81*(1+AVERAGE('ENG_OPS'!$D$84:$P$84)*E34)*(1+F34))-('ENG_COST'!$M$266*(1+'IN_COST'!$D$8*E34))-('ENG_COST'!$M$268*(1+'IN_COST'!$D$9*E34))-('ENG_CAPEX'!$M$81*(1+'ENG_CAPEX'!$D$23*E34))))*'IN_MACRO'!$D$14+('ENG_CAPEX'!$M$81*(1+'ENG_CAPEX'!$D$23*E34))-(('ENG_CAPEX'!$M$21+'ENG_CAPEX'!$M$42)*(1+'ENG_CAPEX'!$D$23*E34))-('ENG_WC'!$M$19*(1+AVERAGE('ENG_OPS'!$D$84:$P$84)*E34)*(1+F34))</f>
        <v/>
      </c>
      <c r="Q34" s="36">
        <f>(('ENG_OPS'!$N$81*(1+AVERAGE('ENG_OPS'!$D$84:$P$84)*E34)*(1+F34))-('ENG_COST'!$N$266*(1+'IN_COST'!$D$8*E34))-('ENG_COST'!$N$268*(1+'IN_COST'!$D$9*E34))-('ENG_CAPEX'!$N$81*(1+'ENG_CAPEX'!$D$23*E34)))-MAX(0,(('ENG_OPS'!$N$81*(1+AVERAGE('ENG_OPS'!$D$84:$P$84)*E34)*(1+F34))-('ENG_COST'!$N$266*(1+'IN_COST'!$D$8*E34))-('ENG_COST'!$N$268*(1+'IN_COST'!$D$9*E34))-('ENG_CAPEX'!$N$81*(1+'ENG_CAPEX'!$D$23*E34))))*'IN_MACRO'!$D$14+('ENG_CAPEX'!$N$81*(1+'ENG_CAPEX'!$D$23*E34))-(('ENG_CAPEX'!$N$21+'ENG_CAPEX'!$N$42)*(1+'ENG_CAPEX'!$D$23*E34))-('ENG_WC'!$N$19*(1+AVERAGE('ENG_OPS'!$D$84:$P$84)*E34)*(1+F34))</f>
        <v/>
      </c>
      <c r="R34" s="36">
        <f>(('ENG_OPS'!$O$81*(1+AVERAGE('ENG_OPS'!$D$84:$P$84)*E34)*(1+F34))-('ENG_COST'!$O$266*(1+'IN_COST'!$D$8*E34))-('ENG_COST'!$O$268*(1+'IN_COST'!$D$9*E34))-('ENG_CAPEX'!$O$81*(1+'ENG_CAPEX'!$D$23*E34)))-MAX(0,(('ENG_OPS'!$O$81*(1+AVERAGE('ENG_OPS'!$D$84:$P$84)*E34)*(1+F34))-('ENG_COST'!$O$266*(1+'IN_COST'!$D$8*E34))-('ENG_COST'!$O$268*(1+'IN_COST'!$D$9*E34))-('ENG_CAPEX'!$O$81*(1+'ENG_CAPEX'!$D$23*E34))))*'IN_MACRO'!$D$14+('ENG_CAPEX'!$O$81*(1+'ENG_CAPEX'!$D$23*E34))-(('ENG_CAPEX'!$O$21+'ENG_CAPEX'!$O$42)*(1+'ENG_CAPEX'!$D$23*E34))-('ENG_WC'!$O$19*(1+AVERAGE('ENG_OPS'!$D$84:$P$84)*E34)*(1+F34))</f>
        <v/>
      </c>
      <c r="S34" s="36">
        <f>(('ENG_OPS'!$P$81*(1+AVERAGE('ENG_OPS'!$D$84:$P$84)*E34)*(1+F34))-('ENG_COST'!$P$266*(1+'IN_COST'!$D$8*E34))-('ENG_COST'!$P$268*(1+'IN_COST'!$D$9*E34))-('ENG_CAPEX'!$P$81*(1+'ENG_CAPEX'!$D$23*E34)))-MAX(0,(('ENG_OPS'!$P$81*(1+AVERAGE('ENG_OPS'!$D$84:$P$84)*E34)*(1+F34))-('ENG_COST'!$P$266*(1+'IN_COST'!$D$8*E34))-('ENG_COST'!$P$268*(1+'IN_COST'!$D$9*E34))-('ENG_CAPEX'!$P$81*(1+'ENG_CAPEX'!$D$23*E34))))*'IN_MACRO'!$D$14+('ENG_CAPEX'!$P$81*(1+'ENG_CAPEX'!$D$23*E34))-(('ENG_CAPEX'!$P$21+'ENG_CAPEX'!$P$42)*(1+'ENG_CAPEX'!$D$23*E34))-('ENG_WC'!$P$19*(1+AVERAGE('ENG_OPS'!$D$84:$P$84)*E34)*(1+F34))</f>
        <v/>
      </c>
      <c r="T34" s="30">
        <f>1</f>
        <v/>
      </c>
      <c r="U34" s="30">
        <f>T34/(1+'ENG_DCF'!$E$14+D34)</f>
        <v/>
      </c>
      <c r="V34" s="30">
        <f>U34/(1+'ENG_DCF'!$F$14+D34)</f>
        <v/>
      </c>
      <c r="W34" s="30">
        <f>V34/(1+'ENG_DCF'!$G$14+D34)</f>
        <v/>
      </c>
      <c r="X34" s="30">
        <f>W34/(1+'ENG_DCF'!$H$14+D34)</f>
        <v/>
      </c>
      <c r="Y34" s="30">
        <f>X34/(1+'ENG_DCF'!$I$14+D34)</f>
        <v/>
      </c>
      <c r="Z34" s="30">
        <f>Y34/(1+'ENG_DCF'!$J$14+D34)</f>
        <v/>
      </c>
      <c r="AA34" s="30">
        <f>Z34/(1+'ENG_DCF'!$K$14+D34)</f>
        <v/>
      </c>
      <c r="AB34" s="30">
        <f>AA34/(1+'ENG_DCF'!$L$14+D34)</f>
        <v/>
      </c>
      <c r="AC34" s="30">
        <f>AB34/(1+'ENG_DCF'!$M$14+D34)</f>
        <v/>
      </c>
      <c r="AD34" s="30">
        <f>AC34/(1+'ENG_DCF'!$N$14+D34)</f>
        <v/>
      </c>
      <c r="AE34" s="30">
        <f>AD34/(1+'ENG_DCF'!$O$14+D34)</f>
        <v/>
      </c>
      <c r="AF34" s="30">
        <f>AE34/(1+'ENG_DCF'!$P$14+D34)</f>
        <v/>
      </c>
      <c r="AG34" s="36">
        <f>(G34*T34+H34*U34+I34*V34+J34*W34+K34*X34+L34*Y34+M34*Z34+N34*AA34+O34*AB34+P34*AC34+Q34*AD34+R34*AE34+S34*AF34)+(IF('IN_MACRO'!$D$19=1,MAX(0,(S34+(('ENG_CAPEX'!$P$21+'ENG_CAPEX'!$P$42)*(1+'ENG_CAPEX'!$D$23*E34))))*(1+'IN_MACRO'!$D$18)/MAX(0.005,'ENG_DCF'!$P$14+D34-'IN_MACRO'!$D$18),(('ENG_OPS'!$P$81*(1+AVERAGE('ENG_OPS'!$D$84:$P$84)*E34)*(1+F34))-('ENG_COST'!$P$266*(1+'IN_COST'!$D$8*E34))-('ENG_COST'!$P$268*(1+'IN_COST'!$D$9*E34)))*'IN_MACRO'!$D$20))*AF34</f>
        <v/>
      </c>
    </row>
    <row r="35">
      <c r="A35" t="inlineStr">
        <is>
          <t>PR|2|4</t>
        </is>
      </c>
      <c r="D35" s="38">
        <f>'IN_SCEN'!$F$24</f>
        <v/>
      </c>
      <c r="E35" s="38">
        <f>0</f>
        <v/>
      </c>
      <c r="F35" s="38">
        <f>'IN_SCEN'!$H$26</f>
        <v/>
      </c>
      <c r="G35" s="36">
        <f>(('ENG_OPS'!$D$81*(1+AVERAGE('ENG_OPS'!$D$84:$P$84)*E35)*(1+F35))-('ENG_COST'!$D$266*(1+'IN_COST'!$D$8*E35))-('ENG_COST'!$D$268*(1+'IN_COST'!$D$9*E35))-('ENG_CAPEX'!$D$81*(1+'ENG_CAPEX'!$D$23*E35)))-MAX(0,(('ENG_OPS'!$D$81*(1+AVERAGE('ENG_OPS'!$D$84:$P$84)*E35)*(1+F35))-('ENG_COST'!$D$266*(1+'IN_COST'!$D$8*E35))-('ENG_COST'!$D$268*(1+'IN_COST'!$D$9*E35))-('ENG_CAPEX'!$D$81*(1+'ENG_CAPEX'!$D$23*E35))))*'IN_MACRO'!$D$14+('ENG_CAPEX'!$D$81*(1+'ENG_CAPEX'!$D$23*E35))-(('ENG_CAPEX'!$D$21+'ENG_CAPEX'!$D$42)*(1+'ENG_CAPEX'!$D$23*E35))-('ENG_WC'!$D$19*(1+AVERAGE('ENG_OPS'!$D$84:$P$84)*E35)*(1+F35))</f>
        <v/>
      </c>
      <c r="H35" s="36">
        <f>(('ENG_OPS'!$E$81*(1+AVERAGE('ENG_OPS'!$D$84:$P$84)*E35)*(1+F35))-('ENG_COST'!$E$266*(1+'IN_COST'!$D$8*E35))-('ENG_COST'!$E$268*(1+'IN_COST'!$D$9*E35))-('ENG_CAPEX'!$E$81*(1+'ENG_CAPEX'!$D$23*E35)))-MAX(0,(('ENG_OPS'!$E$81*(1+AVERAGE('ENG_OPS'!$D$84:$P$84)*E35)*(1+F35))-('ENG_COST'!$E$266*(1+'IN_COST'!$D$8*E35))-('ENG_COST'!$E$268*(1+'IN_COST'!$D$9*E35))-('ENG_CAPEX'!$E$81*(1+'ENG_CAPEX'!$D$23*E35))))*'IN_MACRO'!$D$14+('ENG_CAPEX'!$E$81*(1+'ENG_CAPEX'!$D$23*E35))-(('ENG_CAPEX'!$E$21+'ENG_CAPEX'!$E$42)*(1+'ENG_CAPEX'!$D$23*E35))-('ENG_WC'!$E$19*(1+AVERAGE('ENG_OPS'!$D$84:$P$84)*E35)*(1+F35))</f>
        <v/>
      </c>
      <c r="I35" s="36">
        <f>(('ENG_OPS'!$F$81*(1+AVERAGE('ENG_OPS'!$D$84:$P$84)*E35)*(1+F35))-('ENG_COST'!$F$266*(1+'IN_COST'!$D$8*E35))-('ENG_COST'!$F$268*(1+'IN_COST'!$D$9*E35))-('ENG_CAPEX'!$F$81*(1+'ENG_CAPEX'!$D$23*E35)))-MAX(0,(('ENG_OPS'!$F$81*(1+AVERAGE('ENG_OPS'!$D$84:$P$84)*E35)*(1+F35))-('ENG_COST'!$F$266*(1+'IN_COST'!$D$8*E35))-('ENG_COST'!$F$268*(1+'IN_COST'!$D$9*E35))-('ENG_CAPEX'!$F$81*(1+'ENG_CAPEX'!$D$23*E35))))*'IN_MACRO'!$D$14+('ENG_CAPEX'!$F$81*(1+'ENG_CAPEX'!$D$23*E35))-(('ENG_CAPEX'!$F$21+'ENG_CAPEX'!$F$42)*(1+'ENG_CAPEX'!$D$23*E35))-('ENG_WC'!$F$19*(1+AVERAGE('ENG_OPS'!$D$84:$P$84)*E35)*(1+F35))</f>
        <v/>
      </c>
      <c r="J35" s="36">
        <f>(('ENG_OPS'!$G$81*(1+AVERAGE('ENG_OPS'!$D$84:$P$84)*E35)*(1+F35))-('ENG_COST'!$G$266*(1+'IN_COST'!$D$8*E35))-('ENG_COST'!$G$268*(1+'IN_COST'!$D$9*E35))-('ENG_CAPEX'!$G$81*(1+'ENG_CAPEX'!$D$23*E35)))-MAX(0,(('ENG_OPS'!$G$81*(1+AVERAGE('ENG_OPS'!$D$84:$P$84)*E35)*(1+F35))-('ENG_COST'!$G$266*(1+'IN_COST'!$D$8*E35))-('ENG_COST'!$G$268*(1+'IN_COST'!$D$9*E35))-('ENG_CAPEX'!$G$81*(1+'ENG_CAPEX'!$D$23*E35))))*'IN_MACRO'!$D$14+('ENG_CAPEX'!$G$81*(1+'ENG_CAPEX'!$D$23*E35))-(('ENG_CAPEX'!$G$21+'ENG_CAPEX'!$G$42)*(1+'ENG_CAPEX'!$D$23*E35))-('ENG_WC'!$G$19*(1+AVERAGE('ENG_OPS'!$D$84:$P$84)*E35)*(1+F35))</f>
        <v/>
      </c>
      <c r="K35" s="36">
        <f>(('ENG_OPS'!$H$81*(1+AVERAGE('ENG_OPS'!$D$84:$P$84)*E35)*(1+F35))-('ENG_COST'!$H$266*(1+'IN_COST'!$D$8*E35))-('ENG_COST'!$H$268*(1+'IN_COST'!$D$9*E35))-('ENG_CAPEX'!$H$81*(1+'ENG_CAPEX'!$D$23*E35)))-MAX(0,(('ENG_OPS'!$H$81*(1+AVERAGE('ENG_OPS'!$D$84:$P$84)*E35)*(1+F35))-('ENG_COST'!$H$266*(1+'IN_COST'!$D$8*E35))-('ENG_COST'!$H$268*(1+'IN_COST'!$D$9*E35))-('ENG_CAPEX'!$H$81*(1+'ENG_CAPEX'!$D$23*E35))))*'IN_MACRO'!$D$14+('ENG_CAPEX'!$H$81*(1+'ENG_CAPEX'!$D$23*E35))-(('ENG_CAPEX'!$H$21+'ENG_CAPEX'!$H$42)*(1+'ENG_CAPEX'!$D$23*E35))-('ENG_WC'!$H$19*(1+AVERAGE('ENG_OPS'!$D$84:$P$84)*E35)*(1+F35))</f>
        <v/>
      </c>
      <c r="L35" s="36">
        <f>(('ENG_OPS'!$I$81*(1+AVERAGE('ENG_OPS'!$D$84:$P$84)*E35)*(1+F35))-('ENG_COST'!$I$266*(1+'IN_COST'!$D$8*E35))-('ENG_COST'!$I$268*(1+'IN_COST'!$D$9*E35))-('ENG_CAPEX'!$I$81*(1+'ENG_CAPEX'!$D$23*E35)))-MAX(0,(('ENG_OPS'!$I$81*(1+AVERAGE('ENG_OPS'!$D$84:$P$84)*E35)*(1+F35))-('ENG_COST'!$I$266*(1+'IN_COST'!$D$8*E35))-('ENG_COST'!$I$268*(1+'IN_COST'!$D$9*E35))-('ENG_CAPEX'!$I$81*(1+'ENG_CAPEX'!$D$23*E35))))*'IN_MACRO'!$D$14+('ENG_CAPEX'!$I$81*(1+'ENG_CAPEX'!$D$23*E35))-(('ENG_CAPEX'!$I$21+'ENG_CAPEX'!$I$42)*(1+'ENG_CAPEX'!$D$23*E35))-('ENG_WC'!$I$19*(1+AVERAGE('ENG_OPS'!$D$84:$P$84)*E35)*(1+F35))</f>
        <v/>
      </c>
      <c r="M35" s="36">
        <f>(('ENG_OPS'!$J$81*(1+AVERAGE('ENG_OPS'!$D$84:$P$84)*E35)*(1+F35))-('ENG_COST'!$J$266*(1+'IN_COST'!$D$8*E35))-('ENG_COST'!$J$268*(1+'IN_COST'!$D$9*E35))-('ENG_CAPEX'!$J$81*(1+'ENG_CAPEX'!$D$23*E35)))-MAX(0,(('ENG_OPS'!$J$81*(1+AVERAGE('ENG_OPS'!$D$84:$P$84)*E35)*(1+F35))-('ENG_COST'!$J$266*(1+'IN_COST'!$D$8*E35))-('ENG_COST'!$J$268*(1+'IN_COST'!$D$9*E35))-('ENG_CAPEX'!$J$81*(1+'ENG_CAPEX'!$D$23*E35))))*'IN_MACRO'!$D$14+('ENG_CAPEX'!$J$81*(1+'ENG_CAPEX'!$D$23*E35))-(('ENG_CAPEX'!$J$21+'ENG_CAPEX'!$J$42)*(1+'ENG_CAPEX'!$D$23*E35))-('ENG_WC'!$J$19*(1+AVERAGE('ENG_OPS'!$D$84:$P$84)*E35)*(1+F35))</f>
        <v/>
      </c>
      <c r="N35" s="36">
        <f>(('ENG_OPS'!$K$81*(1+AVERAGE('ENG_OPS'!$D$84:$P$84)*E35)*(1+F35))-('ENG_COST'!$K$266*(1+'IN_COST'!$D$8*E35))-('ENG_COST'!$K$268*(1+'IN_COST'!$D$9*E35))-('ENG_CAPEX'!$K$81*(1+'ENG_CAPEX'!$D$23*E35)))-MAX(0,(('ENG_OPS'!$K$81*(1+AVERAGE('ENG_OPS'!$D$84:$P$84)*E35)*(1+F35))-('ENG_COST'!$K$266*(1+'IN_COST'!$D$8*E35))-('ENG_COST'!$K$268*(1+'IN_COST'!$D$9*E35))-('ENG_CAPEX'!$K$81*(1+'ENG_CAPEX'!$D$23*E35))))*'IN_MACRO'!$D$14+('ENG_CAPEX'!$K$81*(1+'ENG_CAPEX'!$D$23*E35))-(('ENG_CAPEX'!$K$21+'ENG_CAPEX'!$K$42)*(1+'ENG_CAPEX'!$D$23*E35))-('ENG_WC'!$K$19*(1+AVERAGE('ENG_OPS'!$D$84:$P$84)*E35)*(1+F35))</f>
        <v/>
      </c>
      <c r="O35" s="36">
        <f>(('ENG_OPS'!$L$81*(1+AVERAGE('ENG_OPS'!$D$84:$P$84)*E35)*(1+F35))-('ENG_COST'!$L$266*(1+'IN_COST'!$D$8*E35))-('ENG_COST'!$L$268*(1+'IN_COST'!$D$9*E35))-('ENG_CAPEX'!$L$81*(1+'ENG_CAPEX'!$D$23*E35)))-MAX(0,(('ENG_OPS'!$L$81*(1+AVERAGE('ENG_OPS'!$D$84:$P$84)*E35)*(1+F35))-('ENG_COST'!$L$266*(1+'IN_COST'!$D$8*E35))-('ENG_COST'!$L$268*(1+'IN_COST'!$D$9*E35))-('ENG_CAPEX'!$L$81*(1+'ENG_CAPEX'!$D$23*E35))))*'IN_MACRO'!$D$14+('ENG_CAPEX'!$L$81*(1+'ENG_CAPEX'!$D$23*E35))-(('ENG_CAPEX'!$L$21+'ENG_CAPEX'!$L$42)*(1+'ENG_CAPEX'!$D$23*E35))-('ENG_WC'!$L$19*(1+AVERAGE('ENG_OPS'!$D$84:$P$84)*E35)*(1+F35))</f>
        <v/>
      </c>
      <c r="P35" s="36">
        <f>(('ENG_OPS'!$M$81*(1+AVERAGE('ENG_OPS'!$D$84:$P$84)*E35)*(1+F35))-('ENG_COST'!$M$266*(1+'IN_COST'!$D$8*E35))-('ENG_COST'!$M$268*(1+'IN_COST'!$D$9*E35))-('ENG_CAPEX'!$M$81*(1+'ENG_CAPEX'!$D$23*E35)))-MAX(0,(('ENG_OPS'!$M$81*(1+AVERAGE('ENG_OPS'!$D$84:$P$84)*E35)*(1+F35))-('ENG_COST'!$M$266*(1+'IN_COST'!$D$8*E35))-('ENG_COST'!$M$268*(1+'IN_COST'!$D$9*E35))-('ENG_CAPEX'!$M$81*(1+'ENG_CAPEX'!$D$23*E35))))*'IN_MACRO'!$D$14+('ENG_CAPEX'!$M$81*(1+'ENG_CAPEX'!$D$23*E35))-(('ENG_CAPEX'!$M$21+'ENG_CAPEX'!$M$42)*(1+'ENG_CAPEX'!$D$23*E35))-('ENG_WC'!$M$19*(1+AVERAGE('ENG_OPS'!$D$84:$P$84)*E35)*(1+F35))</f>
        <v/>
      </c>
      <c r="Q35" s="36">
        <f>(('ENG_OPS'!$N$81*(1+AVERAGE('ENG_OPS'!$D$84:$P$84)*E35)*(1+F35))-('ENG_COST'!$N$266*(1+'IN_COST'!$D$8*E35))-('ENG_COST'!$N$268*(1+'IN_COST'!$D$9*E35))-('ENG_CAPEX'!$N$81*(1+'ENG_CAPEX'!$D$23*E35)))-MAX(0,(('ENG_OPS'!$N$81*(1+AVERAGE('ENG_OPS'!$D$84:$P$84)*E35)*(1+F35))-('ENG_COST'!$N$266*(1+'IN_COST'!$D$8*E35))-('ENG_COST'!$N$268*(1+'IN_COST'!$D$9*E35))-('ENG_CAPEX'!$N$81*(1+'ENG_CAPEX'!$D$23*E35))))*'IN_MACRO'!$D$14+('ENG_CAPEX'!$N$81*(1+'ENG_CAPEX'!$D$23*E35))-(('ENG_CAPEX'!$N$21+'ENG_CAPEX'!$N$42)*(1+'ENG_CAPEX'!$D$23*E35))-('ENG_WC'!$N$19*(1+AVERAGE('ENG_OPS'!$D$84:$P$84)*E35)*(1+F35))</f>
        <v/>
      </c>
      <c r="R35" s="36">
        <f>(('ENG_OPS'!$O$81*(1+AVERAGE('ENG_OPS'!$D$84:$P$84)*E35)*(1+F35))-('ENG_COST'!$O$266*(1+'IN_COST'!$D$8*E35))-('ENG_COST'!$O$268*(1+'IN_COST'!$D$9*E35))-('ENG_CAPEX'!$O$81*(1+'ENG_CAPEX'!$D$23*E35)))-MAX(0,(('ENG_OPS'!$O$81*(1+AVERAGE('ENG_OPS'!$D$84:$P$84)*E35)*(1+F35))-('ENG_COST'!$O$266*(1+'IN_COST'!$D$8*E35))-('ENG_COST'!$O$268*(1+'IN_COST'!$D$9*E35))-('ENG_CAPEX'!$O$81*(1+'ENG_CAPEX'!$D$23*E35))))*'IN_MACRO'!$D$14+('ENG_CAPEX'!$O$81*(1+'ENG_CAPEX'!$D$23*E35))-(('ENG_CAPEX'!$O$21+'ENG_CAPEX'!$O$42)*(1+'ENG_CAPEX'!$D$23*E35))-('ENG_WC'!$O$19*(1+AVERAGE('ENG_OPS'!$D$84:$P$84)*E35)*(1+F35))</f>
        <v/>
      </c>
      <c r="S35" s="36">
        <f>(('ENG_OPS'!$P$81*(1+AVERAGE('ENG_OPS'!$D$84:$P$84)*E35)*(1+F35))-('ENG_COST'!$P$266*(1+'IN_COST'!$D$8*E35))-('ENG_COST'!$P$268*(1+'IN_COST'!$D$9*E35))-('ENG_CAPEX'!$P$81*(1+'ENG_CAPEX'!$D$23*E35)))-MAX(0,(('ENG_OPS'!$P$81*(1+AVERAGE('ENG_OPS'!$D$84:$P$84)*E35)*(1+F35))-('ENG_COST'!$P$266*(1+'IN_COST'!$D$8*E35))-('ENG_COST'!$P$268*(1+'IN_COST'!$D$9*E35))-('ENG_CAPEX'!$P$81*(1+'ENG_CAPEX'!$D$23*E35))))*'IN_MACRO'!$D$14+('ENG_CAPEX'!$P$81*(1+'ENG_CAPEX'!$D$23*E35))-(('ENG_CAPEX'!$P$21+'ENG_CAPEX'!$P$42)*(1+'ENG_CAPEX'!$D$23*E35))-('ENG_WC'!$P$19*(1+AVERAGE('ENG_OPS'!$D$84:$P$84)*E35)*(1+F35))</f>
        <v/>
      </c>
      <c r="T35" s="30">
        <f>1</f>
        <v/>
      </c>
      <c r="U35" s="30">
        <f>T35/(1+'ENG_DCF'!$E$14+D35)</f>
        <v/>
      </c>
      <c r="V35" s="30">
        <f>U35/(1+'ENG_DCF'!$F$14+D35)</f>
        <v/>
      </c>
      <c r="W35" s="30">
        <f>V35/(1+'ENG_DCF'!$G$14+D35)</f>
        <v/>
      </c>
      <c r="X35" s="30">
        <f>W35/(1+'ENG_DCF'!$H$14+D35)</f>
        <v/>
      </c>
      <c r="Y35" s="30">
        <f>X35/(1+'ENG_DCF'!$I$14+D35)</f>
        <v/>
      </c>
      <c r="Z35" s="30">
        <f>Y35/(1+'ENG_DCF'!$J$14+D35)</f>
        <v/>
      </c>
      <c r="AA35" s="30">
        <f>Z35/(1+'ENG_DCF'!$K$14+D35)</f>
        <v/>
      </c>
      <c r="AB35" s="30">
        <f>AA35/(1+'ENG_DCF'!$L$14+D35)</f>
        <v/>
      </c>
      <c r="AC35" s="30">
        <f>AB35/(1+'ENG_DCF'!$M$14+D35)</f>
        <v/>
      </c>
      <c r="AD35" s="30">
        <f>AC35/(1+'ENG_DCF'!$N$14+D35)</f>
        <v/>
      </c>
      <c r="AE35" s="30">
        <f>AD35/(1+'ENG_DCF'!$O$14+D35)</f>
        <v/>
      </c>
      <c r="AF35" s="30">
        <f>AE35/(1+'ENG_DCF'!$P$14+D35)</f>
        <v/>
      </c>
      <c r="AG35" s="36">
        <f>(G35*T35+H35*U35+I35*V35+J35*W35+K35*X35+L35*Y35+M35*Z35+N35*AA35+O35*AB35+P35*AC35+Q35*AD35+R35*AE35+S35*AF35)+(IF('IN_MACRO'!$D$19=1,MAX(0,(S35+(('ENG_CAPEX'!$P$21+'ENG_CAPEX'!$P$42)*(1+'ENG_CAPEX'!$D$23*E35))))*(1+'IN_MACRO'!$D$18)/MAX(0.005,'ENG_DCF'!$P$14+D35-'IN_MACRO'!$D$18),(('ENG_OPS'!$P$81*(1+AVERAGE('ENG_OPS'!$D$84:$P$84)*E35)*(1+F35))-('ENG_COST'!$P$266*(1+'IN_COST'!$D$8*E35))-('ENG_COST'!$P$268*(1+'IN_COST'!$D$9*E35)))*'IN_MACRO'!$D$20))*AF35</f>
        <v/>
      </c>
    </row>
    <row r="36">
      <c r="A36" t="inlineStr">
        <is>
          <t>FX|3|0</t>
        </is>
      </c>
      <c r="D36" s="38">
        <f>'IN_SCEN'!$G$24</f>
        <v/>
      </c>
      <c r="E36" s="38">
        <f>'IN_SCEN'!$D$25</f>
        <v/>
      </c>
      <c r="F36" s="38">
        <f>0</f>
        <v/>
      </c>
      <c r="G36" s="36">
        <f>(('ENG_OPS'!$D$81*(1+AVERAGE('ENG_OPS'!$D$84:$P$84)*E36)*(1+F36))-('ENG_COST'!$D$266*(1+'IN_COST'!$D$8*E36))-('ENG_COST'!$D$268*(1+'IN_COST'!$D$9*E36))-('ENG_CAPEX'!$D$81*(1+'ENG_CAPEX'!$D$23*E36)))-MAX(0,(('ENG_OPS'!$D$81*(1+AVERAGE('ENG_OPS'!$D$84:$P$84)*E36)*(1+F36))-('ENG_COST'!$D$266*(1+'IN_COST'!$D$8*E36))-('ENG_COST'!$D$268*(1+'IN_COST'!$D$9*E36))-('ENG_CAPEX'!$D$81*(1+'ENG_CAPEX'!$D$23*E36))))*'IN_MACRO'!$D$14+('ENG_CAPEX'!$D$81*(1+'ENG_CAPEX'!$D$23*E36))-(('ENG_CAPEX'!$D$21+'ENG_CAPEX'!$D$42)*(1+'ENG_CAPEX'!$D$23*E36))-('ENG_WC'!$D$19*(1+AVERAGE('ENG_OPS'!$D$84:$P$84)*E36)*(1+F36))</f>
        <v/>
      </c>
      <c r="H36" s="36">
        <f>(('ENG_OPS'!$E$81*(1+AVERAGE('ENG_OPS'!$D$84:$P$84)*E36)*(1+F36))-('ENG_COST'!$E$266*(1+'IN_COST'!$D$8*E36))-('ENG_COST'!$E$268*(1+'IN_COST'!$D$9*E36))-('ENG_CAPEX'!$E$81*(1+'ENG_CAPEX'!$D$23*E36)))-MAX(0,(('ENG_OPS'!$E$81*(1+AVERAGE('ENG_OPS'!$D$84:$P$84)*E36)*(1+F36))-('ENG_COST'!$E$266*(1+'IN_COST'!$D$8*E36))-('ENG_COST'!$E$268*(1+'IN_COST'!$D$9*E36))-('ENG_CAPEX'!$E$81*(1+'ENG_CAPEX'!$D$23*E36))))*'IN_MACRO'!$D$14+('ENG_CAPEX'!$E$81*(1+'ENG_CAPEX'!$D$23*E36))-(('ENG_CAPEX'!$E$21+'ENG_CAPEX'!$E$42)*(1+'ENG_CAPEX'!$D$23*E36))-('ENG_WC'!$E$19*(1+AVERAGE('ENG_OPS'!$D$84:$P$84)*E36)*(1+F36))</f>
        <v/>
      </c>
      <c r="I36" s="36">
        <f>(('ENG_OPS'!$F$81*(1+AVERAGE('ENG_OPS'!$D$84:$P$84)*E36)*(1+F36))-('ENG_COST'!$F$266*(1+'IN_COST'!$D$8*E36))-('ENG_COST'!$F$268*(1+'IN_COST'!$D$9*E36))-('ENG_CAPEX'!$F$81*(1+'ENG_CAPEX'!$D$23*E36)))-MAX(0,(('ENG_OPS'!$F$81*(1+AVERAGE('ENG_OPS'!$D$84:$P$84)*E36)*(1+F36))-('ENG_COST'!$F$266*(1+'IN_COST'!$D$8*E36))-('ENG_COST'!$F$268*(1+'IN_COST'!$D$9*E36))-('ENG_CAPEX'!$F$81*(1+'ENG_CAPEX'!$D$23*E36))))*'IN_MACRO'!$D$14+('ENG_CAPEX'!$F$81*(1+'ENG_CAPEX'!$D$23*E36))-(('ENG_CAPEX'!$F$21+'ENG_CAPEX'!$F$42)*(1+'ENG_CAPEX'!$D$23*E36))-('ENG_WC'!$F$19*(1+AVERAGE('ENG_OPS'!$D$84:$P$84)*E36)*(1+F36))</f>
        <v/>
      </c>
      <c r="J36" s="36">
        <f>(('ENG_OPS'!$G$81*(1+AVERAGE('ENG_OPS'!$D$84:$P$84)*E36)*(1+F36))-('ENG_COST'!$G$266*(1+'IN_COST'!$D$8*E36))-('ENG_COST'!$G$268*(1+'IN_COST'!$D$9*E36))-('ENG_CAPEX'!$G$81*(1+'ENG_CAPEX'!$D$23*E36)))-MAX(0,(('ENG_OPS'!$G$81*(1+AVERAGE('ENG_OPS'!$D$84:$P$84)*E36)*(1+F36))-('ENG_COST'!$G$266*(1+'IN_COST'!$D$8*E36))-('ENG_COST'!$G$268*(1+'IN_COST'!$D$9*E36))-('ENG_CAPEX'!$G$81*(1+'ENG_CAPEX'!$D$23*E36))))*'IN_MACRO'!$D$14+('ENG_CAPEX'!$G$81*(1+'ENG_CAPEX'!$D$23*E36))-(('ENG_CAPEX'!$G$21+'ENG_CAPEX'!$G$42)*(1+'ENG_CAPEX'!$D$23*E36))-('ENG_WC'!$G$19*(1+AVERAGE('ENG_OPS'!$D$84:$P$84)*E36)*(1+F36))</f>
        <v/>
      </c>
      <c r="K36" s="36">
        <f>(('ENG_OPS'!$H$81*(1+AVERAGE('ENG_OPS'!$D$84:$P$84)*E36)*(1+F36))-('ENG_COST'!$H$266*(1+'IN_COST'!$D$8*E36))-('ENG_COST'!$H$268*(1+'IN_COST'!$D$9*E36))-('ENG_CAPEX'!$H$81*(1+'ENG_CAPEX'!$D$23*E36)))-MAX(0,(('ENG_OPS'!$H$81*(1+AVERAGE('ENG_OPS'!$D$84:$P$84)*E36)*(1+F36))-('ENG_COST'!$H$266*(1+'IN_COST'!$D$8*E36))-('ENG_COST'!$H$268*(1+'IN_COST'!$D$9*E36))-('ENG_CAPEX'!$H$81*(1+'ENG_CAPEX'!$D$23*E36))))*'IN_MACRO'!$D$14+('ENG_CAPEX'!$H$81*(1+'ENG_CAPEX'!$D$23*E36))-(('ENG_CAPEX'!$H$21+'ENG_CAPEX'!$H$42)*(1+'ENG_CAPEX'!$D$23*E36))-('ENG_WC'!$H$19*(1+AVERAGE('ENG_OPS'!$D$84:$P$84)*E36)*(1+F36))</f>
        <v/>
      </c>
      <c r="L36" s="36">
        <f>(('ENG_OPS'!$I$81*(1+AVERAGE('ENG_OPS'!$D$84:$P$84)*E36)*(1+F36))-('ENG_COST'!$I$266*(1+'IN_COST'!$D$8*E36))-('ENG_COST'!$I$268*(1+'IN_COST'!$D$9*E36))-('ENG_CAPEX'!$I$81*(1+'ENG_CAPEX'!$D$23*E36)))-MAX(0,(('ENG_OPS'!$I$81*(1+AVERAGE('ENG_OPS'!$D$84:$P$84)*E36)*(1+F36))-('ENG_COST'!$I$266*(1+'IN_COST'!$D$8*E36))-('ENG_COST'!$I$268*(1+'IN_COST'!$D$9*E36))-('ENG_CAPEX'!$I$81*(1+'ENG_CAPEX'!$D$23*E36))))*'IN_MACRO'!$D$14+('ENG_CAPEX'!$I$81*(1+'ENG_CAPEX'!$D$23*E36))-(('ENG_CAPEX'!$I$21+'ENG_CAPEX'!$I$42)*(1+'ENG_CAPEX'!$D$23*E36))-('ENG_WC'!$I$19*(1+AVERAGE('ENG_OPS'!$D$84:$P$84)*E36)*(1+F36))</f>
        <v/>
      </c>
      <c r="M36" s="36">
        <f>(('ENG_OPS'!$J$81*(1+AVERAGE('ENG_OPS'!$D$84:$P$84)*E36)*(1+F36))-('ENG_COST'!$J$266*(1+'IN_COST'!$D$8*E36))-('ENG_COST'!$J$268*(1+'IN_COST'!$D$9*E36))-('ENG_CAPEX'!$J$81*(1+'ENG_CAPEX'!$D$23*E36)))-MAX(0,(('ENG_OPS'!$J$81*(1+AVERAGE('ENG_OPS'!$D$84:$P$84)*E36)*(1+F36))-('ENG_COST'!$J$266*(1+'IN_COST'!$D$8*E36))-('ENG_COST'!$J$268*(1+'IN_COST'!$D$9*E36))-('ENG_CAPEX'!$J$81*(1+'ENG_CAPEX'!$D$23*E36))))*'IN_MACRO'!$D$14+('ENG_CAPEX'!$J$81*(1+'ENG_CAPEX'!$D$23*E36))-(('ENG_CAPEX'!$J$21+'ENG_CAPEX'!$J$42)*(1+'ENG_CAPEX'!$D$23*E36))-('ENG_WC'!$J$19*(1+AVERAGE('ENG_OPS'!$D$84:$P$84)*E36)*(1+F36))</f>
        <v/>
      </c>
      <c r="N36" s="36">
        <f>(('ENG_OPS'!$K$81*(1+AVERAGE('ENG_OPS'!$D$84:$P$84)*E36)*(1+F36))-('ENG_COST'!$K$266*(1+'IN_COST'!$D$8*E36))-('ENG_COST'!$K$268*(1+'IN_COST'!$D$9*E36))-('ENG_CAPEX'!$K$81*(1+'ENG_CAPEX'!$D$23*E36)))-MAX(0,(('ENG_OPS'!$K$81*(1+AVERAGE('ENG_OPS'!$D$84:$P$84)*E36)*(1+F36))-('ENG_COST'!$K$266*(1+'IN_COST'!$D$8*E36))-('ENG_COST'!$K$268*(1+'IN_COST'!$D$9*E36))-('ENG_CAPEX'!$K$81*(1+'ENG_CAPEX'!$D$23*E36))))*'IN_MACRO'!$D$14+('ENG_CAPEX'!$K$81*(1+'ENG_CAPEX'!$D$23*E36))-(('ENG_CAPEX'!$K$21+'ENG_CAPEX'!$K$42)*(1+'ENG_CAPEX'!$D$23*E36))-('ENG_WC'!$K$19*(1+AVERAGE('ENG_OPS'!$D$84:$P$84)*E36)*(1+F36))</f>
        <v/>
      </c>
      <c r="O36" s="36">
        <f>(('ENG_OPS'!$L$81*(1+AVERAGE('ENG_OPS'!$D$84:$P$84)*E36)*(1+F36))-('ENG_COST'!$L$266*(1+'IN_COST'!$D$8*E36))-('ENG_COST'!$L$268*(1+'IN_COST'!$D$9*E36))-('ENG_CAPEX'!$L$81*(1+'ENG_CAPEX'!$D$23*E36)))-MAX(0,(('ENG_OPS'!$L$81*(1+AVERAGE('ENG_OPS'!$D$84:$P$84)*E36)*(1+F36))-('ENG_COST'!$L$266*(1+'IN_COST'!$D$8*E36))-('ENG_COST'!$L$268*(1+'IN_COST'!$D$9*E36))-('ENG_CAPEX'!$L$81*(1+'ENG_CAPEX'!$D$23*E36))))*'IN_MACRO'!$D$14+('ENG_CAPEX'!$L$81*(1+'ENG_CAPEX'!$D$23*E36))-(('ENG_CAPEX'!$L$21+'ENG_CAPEX'!$L$42)*(1+'ENG_CAPEX'!$D$23*E36))-('ENG_WC'!$L$19*(1+AVERAGE('ENG_OPS'!$D$84:$P$84)*E36)*(1+F36))</f>
        <v/>
      </c>
      <c r="P36" s="36">
        <f>(('ENG_OPS'!$M$81*(1+AVERAGE('ENG_OPS'!$D$84:$P$84)*E36)*(1+F36))-('ENG_COST'!$M$266*(1+'IN_COST'!$D$8*E36))-('ENG_COST'!$M$268*(1+'IN_COST'!$D$9*E36))-('ENG_CAPEX'!$M$81*(1+'ENG_CAPEX'!$D$23*E36)))-MAX(0,(('ENG_OPS'!$M$81*(1+AVERAGE('ENG_OPS'!$D$84:$P$84)*E36)*(1+F36))-('ENG_COST'!$M$266*(1+'IN_COST'!$D$8*E36))-('ENG_COST'!$M$268*(1+'IN_COST'!$D$9*E36))-('ENG_CAPEX'!$M$81*(1+'ENG_CAPEX'!$D$23*E36))))*'IN_MACRO'!$D$14+('ENG_CAPEX'!$M$81*(1+'ENG_CAPEX'!$D$23*E36))-(('ENG_CAPEX'!$M$21+'ENG_CAPEX'!$M$42)*(1+'ENG_CAPEX'!$D$23*E36))-('ENG_WC'!$M$19*(1+AVERAGE('ENG_OPS'!$D$84:$P$84)*E36)*(1+F36))</f>
        <v/>
      </c>
      <c r="Q36" s="36">
        <f>(('ENG_OPS'!$N$81*(1+AVERAGE('ENG_OPS'!$D$84:$P$84)*E36)*(1+F36))-('ENG_COST'!$N$266*(1+'IN_COST'!$D$8*E36))-('ENG_COST'!$N$268*(1+'IN_COST'!$D$9*E36))-('ENG_CAPEX'!$N$81*(1+'ENG_CAPEX'!$D$23*E36)))-MAX(0,(('ENG_OPS'!$N$81*(1+AVERAGE('ENG_OPS'!$D$84:$P$84)*E36)*(1+F36))-('ENG_COST'!$N$266*(1+'IN_COST'!$D$8*E36))-('ENG_COST'!$N$268*(1+'IN_COST'!$D$9*E36))-('ENG_CAPEX'!$N$81*(1+'ENG_CAPEX'!$D$23*E36))))*'IN_MACRO'!$D$14+('ENG_CAPEX'!$N$81*(1+'ENG_CAPEX'!$D$23*E36))-(('ENG_CAPEX'!$N$21+'ENG_CAPEX'!$N$42)*(1+'ENG_CAPEX'!$D$23*E36))-('ENG_WC'!$N$19*(1+AVERAGE('ENG_OPS'!$D$84:$P$84)*E36)*(1+F36))</f>
        <v/>
      </c>
      <c r="R36" s="36">
        <f>(('ENG_OPS'!$O$81*(1+AVERAGE('ENG_OPS'!$D$84:$P$84)*E36)*(1+F36))-('ENG_COST'!$O$266*(1+'IN_COST'!$D$8*E36))-('ENG_COST'!$O$268*(1+'IN_COST'!$D$9*E36))-('ENG_CAPEX'!$O$81*(1+'ENG_CAPEX'!$D$23*E36)))-MAX(0,(('ENG_OPS'!$O$81*(1+AVERAGE('ENG_OPS'!$D$84:$P$84)*E36)*(1+F36))-('ENG_COST'!$O$266*(1+'IN_COST'!$D$8*E36))-('ENG_COST'!$O$268*(1+'IN_COST'!$D$9*E36))-('ENG_CAPEX'!$O$81*(1+'ENG_CAPEX'!$D$23*E36))))*'IN_MACRO'!$D$14+('ENG_CAPEX'!$O$81*(1+'ENG_CAPEX'!$D$23*E36))-(('ENG_CAPEX'!$O$21+'ENG_CAPEX'!$O$42)*(1+'ENG_CAPEX'!$D$23*E36))-('ENG_WC'!$O$19*(1+AVERAGE('ENG_OPS'!$D$84:$P$84)*E36)*(1+F36))</f>
        <v/>
      </c>
      <c r="S36" s="36">
        <f>(('ENG_OPS'!$P$81*(1+AVERAGE('ENG_OPS'!$D$84:$P$84)*E36)*(1+F36))-('ENG_COST'!$P$266*(1+'IN_COST'!$D$8*E36))-('ENG_COST'!$P$268*(1+'IN_COST'!$D$9*E36))-('ENG_CAPEX'!$P$81*(1+'ENG_CAPEX'!$D$23*E36)))-MAX(0,(('ENG_OPS'!$P$81*(1+AVERAGE('ENG_OPS'!$D$84:$P$84)*E36)*(1+F36))-('ENG_COST'!$P$266*(1+'IN_COST'!$D$8*E36))-('ENG_COST'!$P$268*(1+'IN_COST'!$D$9*E36))-('ENG_CAPEX'!$P$81*(1+'ENG_CAPEX'!$D$23*E36))))*'IN_MACRO'!$D$14+('ENG_CAPEX'!$P$81*(1+'ENG_CAPEX'!$D$23*E36))-(('ENG_CAPEX'!$P$21+'ENG_CAPEX'!$P$42)*(1+'ENG_CAPEX'!$D$23*E36))-('ENG_WC'!$P$19*(1+AVERAGE('ENG_OPS'!$D$84:$P$84)*E36)*(1+F36))</f>
        <v/>
      </c>
      <c r="T36" s="30">
        <f>1</f>
        <v/>
      </c>
      <c r="U36" s="30">
        <f>T36/(1+'ENG_DCF'!$E$14+D36)</f>
        <v/>
      </c>
      <c r="V36" s="30">
        <f>U36/(1+'ENG_DCF'!$F$14+D36)</f>
        <v/>
      </c>
      <c r="W36" s="30">
        <f>V36/(1+'ENG_DCF'!$G$14+D36)</f>
        <v/>
      </c>
      <c r="X36" s="30">
        <f>W36/(1+'ENG_DCF'!$H$14+D36)</f>
        <v/>
      </c>
      <c r="Y36" s="30">
        <f>X36/(1+'ENG_DCF'!$I$14+D36)</f>
        <v/>
      </c>
      <c r="Z36" s="30">
        <f>Y36/(1+'ENG_DCF'!$J$14+D36)</f>
        <v/>
      </c>
      <c r="AA36" s="30">
        <f>Z36/(1+'ENG_DCF'!$K$14+D36)</f>
        <v/>
      </c>
      <c r="AB36" s="30">
        <f>AA36/(1+'ENG_DCF'!$L$14+D36)</f>
        <v/>
      </c>
      <c r="AC36" s="30">
        <f>AB36/(1+'ENG_DCF'!$M$14+D36)</f>
        <v/>
      </c>
      <c r="AD36" s="30">
        <f>AC36/(1+'ENG_DCF'!$N$14+D36)</f>
        <v/>
      </c>
      <c r="AE36" s="30">
        <f>AD36/(1+'ENG_DCF'!$O$14+D36)</f>
        <v/>
      </c>
      <c r="AF36" s="30">
        <f>AE36/(1+'ENG_DCF'!$P$14+D36)</f>
        <v/>
      </c>
      <c r="AG36" s="36">
        <f>(G36*T36+H36*U36+I36*V36+J36*W36+K36*X36+L36*Y36+M36*Z36+N36*AA36+O36*AB36+P36*AC36+Q36*AD36+R36*AE36+S36*AF36)+(IF('IN_MACRO'!$D$19=1,MAX(0,(S36+(('ENG_CAPEX'!$P$21+'ENG_CAPEX'!$P$42)*(1+'ENG_CAPEX'!$D$23*E36))))*(1+'IN_MACRO'!$D$18)/MAX(0.005,'ENG_DCF'!$P$14+D36-'IN_MACRO'!$D$18),(('ENG_OPS'!$P$81*(1+AVERAGE('ENG_OPS'!$D$84:$P$84)*E36)*(1+F36))-('ENG_COST'!$P$266*(1+'IN_COST'!$D$8*E36))-('ENG_COST'!$P$268*(1+'IN_COST'!$D$9*E36)))*'IN_MACRO'!$D$20))*AF36</f>
        <v/>
      </c>
    </row>
    <row r="37">
      <c r="A37" t="inlineStr">
        <is>
          <t>PR|3|0</t>
        </is>
      </c>
      <c r="D37" s="38">
        <f>'IN_SCEN'!$G$24</f>
        <v/>
      </c>
      <c r="E37" s="38">
        <f>0</f>
        <v/>
      </c>
      <c r="F37" s="38">
        <f>'IN_SCEN'!$D$26</f>
        <v/>
      </c>
      <c r="G37" s="36">
        <f>(('ENG_OPS'!$D$81*(1+AVERAGE('ENG_OPS'!$D$84:$P$84)*E37)*(1+F37))-('ENG_COST'!$D$266*(1+'IN_COST'!$D$8*E37))-('ENG_COST'!$D$268*(1+'IN_COST'!$D$9*E37))-('ENG_CAPEX'!$D$81*(1+'ENG_CAPEX'!$D$23*E37)))-MAX(0,(('ENG_OPS'!$D$81*(1+AVERAGE('ENG_OPS'!$D$84:$P$84)*E37)*(1+F37))-('ENG_COST'!$D$266*(1+'IN_COST'!$D$8*E37))-('ENG_COST'!$D$268*(1+'IN_COST'!$D$9*E37))-('ENG_CAPEX'!$D$81*(1+'ENG_CAPEX'!$D$23*E37))))*'IN_MACRO'!$D$14+('ENG_CAPEX'!$D$81*(1+'ENG_CAPEX'!$D$23*E37))-(('ENG_CAPEX'!$D$21+'ENG_CAPEX'!$D$42)*(1+'ENG_CAPEX'!$D$23*E37))-('ENG_WC'!$D$19*(1+AVERAGE('ENG_OPS'!$D$84:$P$84)*E37)*(1+F37))</f>
        <v/>
      </c>
      <c r="H37" s="36">
        <f>(('ENG_OPS'!$E$81*(1+AVERAGE('ENG_OPS'!$D$84:$P$84)*E37)*(1+F37))-('ENG_COST'!$E$266*(1+'IN_COST'!$D$8*E37))-('ENG_COST'!$E$268*(1+'IN_COST'!$D$9*E37))-('ENG_CAPEX'!$E$81*(1+'ENG_CAPEX'!$D$23*E37)))-MAX(0,(('ENG_OPS'!$E$81*(1+AVERAGE('ENG_OPS'!$D$84:$P$84)*E37)*(1+F37))-('ENG_COST'!$E$266*(1+'IN_COST'!$D$8*E37))-('ENG_COST'!$E$268*(1+'IN_COST'!$D$9*E37))-('ENG_CAPEX'!$E$81*(1+'ENG_CAPEX'!$D$23*E37))))*'IN_MACRO'!$D$14+('ENG_CAPEX'!$E$81*(1+'ENG_CAPEX'!$D$23*E37))-(('ENG_CAPEX'!$E$21+'ENG_CAPEX'!$E$42)*(1+'ENG_CAPEX'!$D$23*E37))-('ENG_WC'!$E$19*(1+AVERAGE('ENG_OPS'!$D$84:$P$84)*E37)*(1+F37))</f>
        <v/>
      </c>
      <c r="I37" s="36">
        <f>(('ENG_OPS'!$F$81*(1+AVERAGE('ENG_OPS'!$D$84:$P$84)*E37)*(1+F37))-('ENG_COST'!$F$266*(1+'IN_COST'!$D$8*E37))-('ENG_COST'!$F$268*(1+'IN_COST'!$D$9*E37))-('ENG_CAPEX'!$F$81*(1+'ENG_CAPEX'!$D$23*E37)))-MAX(0,(('ENG_OPS'!$F$81*(1+AVERAGE('ENG_OPS'!$D$84:$P$84)*E37)*(1+F37))-('ENG_COST'!$F$266*(1+'IN_COST'!$D$8*E37))-('ENG_COST'!$F$268*(1+'IN_COST'!$D$9*E37))-('ENG_CAPEX'!$F$81*(1+'ENG_CAPEX'!$D$23*E37))))*'IN_MACRO'!$D$14+('ENG_CAPEX'!$F$81*(1+'ENG_CAPEX'!$D$23*E37))-(('ENG_CAPEX'!$F$21+'ENG_CAPEX'!$F$42)*(1+'ENG_CAPEX'!$D$23*E37))-('ENG_WC'!$F$19*(1+AVERAGE('ENG_OPS'!$D$84:$P$84)*E37)*(1+F37))</f>
        <v/>
      </c>
      <c r="J37" s="36">
        <f>(('ENG_OPS'!$G$81*(1+AVERAGE('ENG_OPS'!$D$84:$P$84)*E37)*(1+F37))-('ENG_COST'!$G$266*(1+'IN_COST'!$D$8*E37))-('ENG_COST'!$G$268*(1+'IN_COST'!$D$9*E37))-('ENG_CAPEX'!$G$81*(1+'ENG_CAPEX'!$D$23*E37)))-MAX(0,(('ENG_OPS'!$G$81*(1+AVERAGE('ENG_OPS'!$D$84:$P$84)*E37)*(1+F37))-('ENG_COST'!$G$266*(1+'IN_COST'!$D$8*E37))-('ENG_COST'!$G$268*(1+'IN_COST'!$D$9*E37))-('ENG_CAPEX'!$G$81*(1+'ENG_CAPEX'!$D$23*E37))))*'IN_MACRO'!$D$14+('ENG_CAPEX'!$G$81*(1+'ENG_CAPEX'!$D$23*E37))-(('ENG_CAPEX'!$G$21+'ENG_CAPEX'!$G$42)*(1+'ENG_CAPEX'!$D$23*E37))-('ENG_WC'!$G$19*(1+AVERAGE('ENG_OPS'!$D$84:$P$84)*E37)*(1+F37))</f>
        <v/>
      </c>
      <c r="K37" s="36">
        <f>(('ENG_OPS'!$H$81*(1+AVERAGE('ENG_OPS'!$D$84:$P$84)*E37)*(1+F37))-('ENG_COST'!$H$266*(1+'IN_COST'!$D$8*E37))-('ENG_COST'!$H$268*(1+'IN_COST'!$D$9*E37))-('ENG_CAPEX'!$H$81*(1+'ENG_CAPEX'!$D$23*E37)))-MAX(0,(('ENG_OPS'!$H$81*(1+AVERAGE('ENG_OPS'!$D$84:$P$84)*E37)*(1+F37))-('ENG_COST'!$H$266*(1+'IN_COST'!$D$8*E37))-('ENG_COST'!$H$268*(1+'IN_COST'!$D$9*E37))-('ENG_CAPEX'!$H$81*(1+'ENG_CAPEX'!$D$23*E37))))*'IN_MACRO'!$D$14+('ENG_CAPEX'!$H$81*(1+'ENG_CAPEX'!$D$23*E37))-(('ENG_CAPEX'!$H$21+'ENG_CAPEX'!$H$42)*(1+'ENG_CAPEX'!$D$23*E37))-('ENG_WC'!$H$19*(1+AVERAGE('ENG_OPS'!$D$84:$P$84)*E37)*(1+F37))</f>
        <v/>
      </c>
      <c r="L37" s="36">
        <f>(('ENG_OPS'!$I$81*(1+AVERAGE('ENG_OPS'!$D$84:$P$84)*E37)*(1+F37))-('ENG_COST'!$I$266*(1+'IN_COST'!$D$8*E37))-('ENG_COST'!$I$268*(1+'IN_COST'!$D$9*E37))-('ENG_CAPEX'!$I$81*(1+'ENG_CAPEX'!$D$23*E37)))-MAX(0,(('ENG_OPS'!$I$81*(1+AVERAGE('ENG_OPS'!$D$84:$P$84)*E37)*(1+F37))-('ENG_COST'!$I$266*(1+'IN_COST'!$D$8*E37))-('ENG_COST'!$I$268*(1+'IN_COST'!$D$9*E37))-('ENG_CAPEX'!$I$81*(1+'ENG_CAPEX'!$D$23*E37))))*'IN_MACRO'!$D$14+('ENG_CAPEX'!$I$81*(1+'ENG_CAPEX'!$D$23*E37))-(('ENG_CAPEX'!$I$21+'ENG_CAPEX'!$I$42)*(1+'ENG_CAPEX'!$D$23*E37))-('ENG_WC'!$I$19*(1+AVERAGE('ENG_OPS'!$D$84:$P$84)*E37)*(1+F37))</f>
        <v/>
      </c>
      <c r="M37" s="36">
        <f>(('ENG_OPS'!$J$81*(1+AVERAGE('ENG_OPS'!$D$84:$P$84)*E37)*(1+F37))-('ENG_COST'!$J$266*(1+'IN_COST'!$D$8*E37))-('ENG_COST'!$J$268*(1+'IN_COST'!$D$9*E37))-('ENG_CAPEX'!$J$81*(1+'ENG_CAPEX'!$D$23*E37)))-MAX(0,(('ENG_OPS'!$J$81*(1+AVERAGE('ENG_OPS'!$D$84:$P$84)*E37)*(1+F37))-('ENG_COST'!$J$266*(1+'IN_COST'!$D$8*E37))-('ENG_COST'!$J$268*(1+'IN_COST'!$D$9*E37))-('ENG_CAPEX'!$J$81*(1+'ENG_CAPEX'!$D$23*E37))))*'IN_MACRO'!$D$14+('ENG_CAPEX'!$J$81*(1+'ENG_CAPEX'!$D$23*E37))-(('ENG_CAPEX'!$J$21+'ENG_CAPEX'!$J$42)*(1+'ENG_CAPEX'!$D$23*E37))-('ENG_WC'!$J$19*(1+AVERAGE('ENG_OPS'!$D$84:$P$84)*E37)*(1+F37))</f>
        <v/>
      </c>
      <c r="N37" s="36">
        <f>(('ENG_OPS'!$K$81*(1+AVERAGE('ENG_OPS'!$D$84:$P$84)*E37)*(1+F37))-('ENG_COST'!$K$266*(1+'IN_COST'!$D$8*E37))-('ENG_COST'!$K$268*(1+'IN_COST'!$D$9*E37))-('ENG_CAPEX'!$K$81*(1+'ENG_CAPEX'!$D$23*E37)))-MAX(0,(('ENG_OPS'!$K$81*(1+AVERAGE('ENG_OPS'!$D$84:$P$84)*E37)*(1+F37))-('ENG_COST'!$K$266*(1+'IN_COST'!$D$8*E37))-('ENG_COST'!$K$268*(1+'IN_COST'!$D$9*E37))-('ENG_CAPEX'!$K$81*(1+'ENG_CAPEX'!$D$23*E37))))*'IN_MACRO'!$D$14+('ENG_CAPEX'!$K$81*(1+'ENG_CAPEX'!$D$23*E37))-(('ENG_CAPEX'!$K$21+'ENG_CAPEX'!$K$42)*(1+'ENG_CAPEX'!$D$23*E37))-('ENG_WC'!$K$19*(1+AVERAGE('ENG_OPS'!$D$84:$P$84)*E37)*(1+F37))</f>
        <v/>
      </c>
      <c r="O37" s="36">
        <f>(('ENG_OPS'!$L$81*(1+AVERAGE('ENG_OPS'!$D$84:$P$84)*E37)*(1+F37))-('ENG_COST'!$L$266*(1+'IN_COST'!$D$8*E37))-('ENG_COST'!$L$268*(1+'IN_COST'!$D$9*E37))-('ENG_CAPEX'!$L$81*(1+'ENG_CAPEX'!$D$23*E37)))-MAX(0,(('ENG_OPS'!$L$81*(1+AVERAGE('ENG_OPS'!$D$84:$P$84)*E37)*(1+F37))-('ENG_COST'!$L$266*(1+'IN_COST'!$D$8*E37))-('ENG_COST'!$L$268*(1+'IN_COST'!$D$9*E37))-('ENG_CAPEX'!$L$81*(1+'ENG_CAPEX'!$D$23*E37))))*'IN_MACRO'!$D$14+('ENG_CAPEX'!$L$81*(1+'ENG_CAPEX'!$D$23*E37))-(('ENG_CAPEX'!$L$21+'ENG_CAPEX'!$L$42)*(1+'ENG_CAPEX'!$D$23*E37))-('ENG_WC'!$L$19*(1+AVERAGE('ENG_OPS'!$D$84:$P$84)*E37)*(1+F37))</f>
        <v/>
      </c>
      <c r="P37" s="36">
        <f>(('ENG_OPS'!$M$81*(1+AVERAGE('ENG_OPS'!$D$84:$P$84)*E37)*(1+F37))-('ENG_COST'!$M$266*(1+'IN_COST'!$D$8*E37))-('ENG_COST'!$M$268*(1+'IN_COST'!$D$9*E37))-('ENG_CAPEX'!$M$81*(1+'ENG_CAPEX'!$D$23*E37)))-MAX(0,(('ENG_OPS'!$M$81*(1+AVERAGE('ENG_OPS'!$D$84:$P$84)*E37)*(1+F37))-('ENG_COST'!$M$266*(1+'IN_COST'!$D$8*E37))-('ENG_COST'!$M$268*(1+'IN_COST'!$D$9*E37))-('ENG_CAPEX'!$M$81*(1+'ENG_CAPEX'!$D$23*E37))))*'IN_MACRO'!$D$14+('ENG_CAPEX'!$M$81*(1+'ENG_CAPEX'!$D$23*E37))-(('ENG_CAPEX'!$M$21+'ENG_CAPEX'!$M$42)*(1+'ENG_CAPEX'!$D$23*E37))-('ENG_WC'!$M$19*(1+AVERAGE('ENG_OPS'!$D$84:$P$84)*E37)*(1+F37))</f>
        <v/>
      </c>
      <c r="Q37" s="36">
        <f>(('ENG_OPS'!$N$81*(1+AVERAGE('ENG_OPS'!$D$84:$P$84)*E37)*(1+F37))-('ENG_COST'!$N$266*(1+'IN_COST'!$D$8*E37))-('ENG_COST'!$N$268*(1+'IN_COST'!$D$9*E37))-('ENG_CAPEX'!$N$81*(1+'ENG_CAPEX'!$D$23*E37)))-MAX(0,(('ENG_OPS'!$N$81*(1+AVERAGE('ENG_OPS'!$D$84:$P$84)*E37)*(1+F37))-('ENG_COST'!$N$266*(1+'IN_COST'!$D$8*E37))-('ENG_COST'!$N$268*(1+'IN_COST'!$D$9*E37))-('ENG_CAPEX'!$N$81*(1+'ENG_CAPEX'!$D$23*E37))))*'IN_MACRO'!$D$14+('ENG_CAPEX'!$N$81*(1+'ENG_CAPEX'!$D$23*E37))-(('ENG_CAPEX'!$N$21+'ENG_CAPEX'!$N$42)*(1+'ENG_CAPEX'!$D$23*E37))-('ENG_WC'!$N$19*(1+AVERAGE('ENG_OPS'!$D$84:$P$84)*E37)*(1+F37))</f>
        <v/>
      </c>
      <c r="R37" s="36">
        <f>(('ENG_OPS'!$O$81*(1+AVERAGE('ENG_OPS'!$D$84:$P$84)*E37)*(1+F37))-('ENG_COST'!$O$266*(1+'IN_COST'!$D$8*E37))-('ENG_COST'!$O$268*(1+'IN_COST'!$D$9*E37))-('ENG_CAPEX'!$O$81*(1+'ENG_CAPEX'!$D$23*E37)))-MAX(0,(('ENG_OPS'!$O$81*(1+AVERAGE('ENG_OPS'!$D$84:$P$84)*E37)*(1+F37))-('ENG_COST'!$O$266*(1+'IN_COST'!$D$8*E37))-('ENG_COST'!$O$268*(1+'IN_COST'!$D$9*E37))-('ENG_CAPEX'!$O$81*(1+'ENG_CAPEX'!$D$23*E37))))*'IN_MACRO'!$D$14+('ENG_CAPEX'!$O$81*(1+'ENG_CAPEX'!$D$23*E37))-(('ENG_CAPEX'!$O$21+'ENG_CAPEX'!$O$42)*(1+'ENG_CAPEX'!$D$23*E37))-('ENG_WC'!$O$19*(1+AVERAGE('ENG_OPS'!$D$84:$P$84)*E37)*(1+F37))</f>
        <v/>
      </c>
      <c r="S37" s="36">
        <f>(('ENG_OPS'!$P$81*(1+AVERAGE('ENG_OPS'!$D$84:$P$84)*E37)*(1+F37))-('ENG_COST'!$P$266*(1+'IN_COST'!$D$8*E37))-('ENG_COST'!$P$268*(1+'IN_COST'!$D$9*E37))-('ENG_CAPEX'!$P$81*(1+'ENG_CAPEX'!$D$23*E37)))-MAX(0,(('ENG_OPS'!$P$81*(1+AVERAGE('ENG_OPS'!$D$84:$P$84)*E37)*(1+F37))-('ENG_COST'!$P$266*(1+'IN_COST'!$D$8*E37))-('ENG_COST'!$P$268*(1+'IN_COST'!$D$9*E37))-('ENG_CAPEX'!$P$81*(1+'ENG_CAPEX'!$D$23*E37))))*'IN_MACRO'!$D$14+('ENG_CAPEX'!$P$81*(1+'ENG_CAPEX'!$D$23*E37))-(('ENG_CAPEX'!$P$21+'ENG_CAPEX'!$P$42)*(1+'ENG_CAPEX'!$D$23*E37))-('ENG_WC'!$P$19*(1+AVERAGE('ENG_OPS'!$D$84:$P$84)*E37)*(1+F37))</f>
        <v/>
      </c>
      <c r="T37" s="30">
        <f>1</f>
        <v/>
      </c>
      <c r="U37" s="30">
        <f>T37/(1+'ENG_DCF'!$E$14+D37)</f>
        <v/>
      </c>
      <c r="V37" s="30">
        <f>U37/(1+'ENG_DCF'!$F$14+D37)</f>
        <v/>
      </c>
      <c r="W37" s="30">
        <f>V37/(1+'ENG_DCF'!$G$14+D37)</f>
        <v/>
      </c>
      <c r="X37" s="30">
        <f>W37/(1+'ENG_DCF'!$H$14+D37)</f>
        <v/>
      </c>
      <c r="Y37" s="30">
        <f>X37/(1+'ENG_DCF'!$I$14+D37)</f>
        <v/>
      </c>
      <c r="Z37" s="30">
        <f>Y37/(1+'ENG_DCF'!$J$14+D37)</f>
        <v/>
      </c>
      <c r="AA37" s="30">
        <f>Z37/(1+'ENG_DCF'!$K$14+D37)</f>
        <v/>
      </c>
      <c r="AB37" s="30">
        <f>AA37/(1+'ENG_DCF'!$L$14+D37)</f>
        <v/>
      </c>
      <c r="AC37" s="30">
        <f>AB37/(1+'ENG_DCF'!$M$14+D37)</f>
        <v/>
      </c>
      <c r="AD37" s="30">
        <f>AC37/(1+'ENG_DCF'!$N$14+D37)</f>
        <v/>
      </c>
      <c r="AE37" s="30">
        <f>AD37/(1+'ENG_DCF'!$O$14+D37)</f>
        <v/>
      </c>
      <c r="AF37" s="30">
        <f>AE37/(1+'ENG_DCF'!$P$14+D37)</f>
        <v/>
      </c>
      <c r="AG37" s="36">
        <f>(G37*T37+H37*U37+I37*V37+J37*W37+K37*X37+L37*Y37+M37*Z37+N37*AA37+O37*AB37+P37*AC37+Q37*AD37+R37*AE37+S37*AF37)+(IF('IN_MACRO'!$D$19=1,MAX(0,(S37+(('ENG_CAPEX'!$P$21+'ENG_CAPEX'!$P$42)*(1+'ENG_CAPEX'!$D$23*E37))))*(1+'IN_MACRO'!$D$18)/MAX(0.005,'ENG_DCF'!$P$14+D37-'IN_MACRO'!$D$18),(('ENG_OPS'!$P$81*(1+AVERAGE('ENG_OPS'!$D$84:$P$84)*E37)*(1+F37))-('ENG_COST'!$P$266*(1+'IN_COST'!$D$8*E37))-('ENG_COST'!$P$268*(1+'IN_COST'!$D$9*E37)))*'IN_MACRO'!$D$20))*AF37</f>
        <v/>
      </c>
    </row>
    <row r="38">
      <c r="A38" t="inlineStr">
        <is>
          <t>FX|3|1</t>
        </is>
      </c>
      <c r="D38" s="38">
        <f>'IN_SCEN'!$G$24</f>
        <v/>
      </c>
      <c r="E38" s="38">
        <f>'IN_SCEN'!$E$25</f>
        <v/>
      </c>
      <c r="F38" s="38">
        <f>0</f>
        <v/>
      </c>
      <c r="G38" s="36">
        <f>(('ENG_OPS'!$D$81*(1+AVERAGE('ENG_OPS'!$D$84:$P$84)*E38)*(1+F38))-('ENG_COST'!$D$266*(1+'IN_COST'!$D$8*E38))-('ENG_COST'!$D$268*(1+'IN_COST'!$D$9*E38))-('ENG_CAPEX'!$D$81*(1+'ENG_CAPEX'!$D$23*E38)))-MAX(0,(('ENG_OPS'!$D$81*(1+AVERAGE('ENG_OPS'!$D$84:$P$84)*E38)*(1+F38))-('ENG_COST'!$D$266*(1+'IN_COST'!$D$8*E38))-('ENG_COST'!$D$268*(1+'IN_COST'!$D$9*E38))-('ENG_CAPEX'!$D$81*(1+'ENG_CAPEX'!$D$23*E38))))*'IN_MACRO'!$D$14+('ENG_CAPEX'!$D$81*(1+'ENG_CAPEX'!$D$23*E38))-(('ENG_CAPEX'!$D$21+'ENG_CAPEX'!$D$42)*(1+'ENG_CAPEX'!$D$23*E38))-('ENG_WC'!$D$19*(1+AVERAGE('ENG_OPS'!$D$84:$P$84)*E38)*(1+F38))</f>
        <v/>
      </c>
      <c r="H38" s="36">
        <f>(('ENG_OPS'!$E$81*(1+AVERAGE('ENG_OPS'!$D$84:$P$84)*E38)*(1+F38))-('ENG_COST'!$E$266*(1+'IN_COST'!$D$8*E38))-('ENG_COST'!$E$268*(1+'IN_COST'!$D$9*E38))-('ENG_CAPEX'!$E$81*(1+'ENG_CAPEX'!$D$23*E38)))-MAX(0,(('ENG_OPS'!$E$81*(1+AVERAGE('ENG_OPS'!$D$84:$P$84)*E38)*(1+F38))-('ENG_COST'!$E$266*(1+'IN_COST'!$D$8*E38))-('ENG_COST'!$E$268*(1+'IN_COST'!$D$9*E38))-('ENG_CAPEX'!$E$81*(1+'ENG_CAPEX'!$D$23*E38))))*'IN_MACRO'!$D$14+('ENG_CAPEX'!$E$81*(1+'ENG_CAPEX'!$D$23*E38))-(('ENG_CAPEX'!$E$21+'ENG_CAPEX'!$E$42)*(1+'ENG_CAPEX'!$D$23*E38))-('ENG_WC'!$E$19*(1+AVERAGE('ENG_OPS'!$D$84:$P$84)*E38)*(1+F38))</f>
        <v/>
      </c>
      <c r="I38" s="36">
        <f>(('ENG_OPS'!$F$81*(1+AVERAGE('ENG_OPS'!$D$84:$P$84)*E38)*(1+F38))-('ENG_COST'!$F$266*(1+'IN_COST'!$D$8*E38))-('ENG_COST'!$F$268*(1+'IN_COST'!$D$9*E38))-('ENG_CAPEX'!$F$81*(1+'ENG_CAPEX'!$D$23*E38)))-MAX(0,(('ENG_OPS'!$F$81*(1+AVERAGE('ENG_OPS'!$D$84:$P$84)*E38)*(1+F38))-('ENG_COST'!$F$266*(1+'IN_COST'!$D$8*E38))-('ENG_COST'!$F$268*(1+'IN_COST'!$D$9*E38))-('ENG_CAPEX'!$F$81*(1+'ENG_CAPEX'!$D$23*E38))))*'IN_MACRO'!$D$14+('ENG_CAPEX'!$F$81*(1+'ENG_CAPEX'!$D$23*E38))-(('ENG_CAPEX'!$F$21+'ENG_CAPEX'!$F$42)*(1+'ENG_CAPEX'!$D$23*E38))-('ENG_WC'!$F$19*(1+AVERAGE('ENG_OPS'!$D$84:$P$84)*E38)*(1+F38))</f>
        <v/>
      </c>
      <c r="J38" s="36">
        <f>(('ENG_OPS'!$G$81*(1+AVERAGE('ENG_OPS'!$D$84:$P$84)*E38)*(1+F38))-('ENG_COST'!$G$266*(1+'IN_COST'!$D$8*E38))-('ENG_COST'!$G$268*(1+'IN_COST'!$D$9*E38))-('ENG_CAPEX'!$G$81*(1+'ENG_CAPEX'!$D$23*E38)))-MAX(0,(('ENG_OPS'!$G$81*(1+AVERAGE('ENG_OPS'!$D$84:$P$84)*E38)*(1+F38))-('ENG_COST'!$G$266*(1+'IN_COST'!$D$8*E38))-('ENG_COST'!$G$268*(1+'IN_COST'!$D$9*E38))-('ENG_CAPEX'!$G$81*(1+'ENG_CAPEX'!$D$23*E38))))*'IN_MACRO'!$D$14+('ENG_CAPEX'!$G$81*(1+'ENG_CAPEX'!$D$23*E38))-(('ENG_CAPEX'!$G$21+'ENG_CAPEX'!$G$42)*(1+'ENG_CAPEX'!$D$23*E38))-('ENG_WC'!$G$19*(1+AVERAGE('ENG_OPS'!$D$84:$P$84)*E38)*(1+F38))</f>
        <v/>
      </c>
      <c r="K38" s="36">
        <f>(('ENG_OPS'!$H$81*(1+AVERAGE('ENG_OPS'!$D$84:$P$84)*E38)*(1+F38))-('ENG_COST'!$H$266*(1+'IN_COST'!$D$8*E38))-('ENG_COST'!$H$268*(1+'IN_COST'!$D$9*E38))-('ENG_CAPEX'!$H$81*(1+'ENG_CAPEX'!$D$23*E38)))-MAX(0,(('ENG_OPS'!$H$81*(1+AVERAGE('ENG_OPS'!$D$84:$P$84)*E38)*(1+F38))-('ENG_COST'!$H$266*(1+'IN_COST'!$D$8*E38))-('ENG_COST'!$H$268*(1+'IN_COST'!$D$9*E38))-('ENG_CAPEX'!$H$81*(1+'ENG_CAPEX'!$D$23*E38))))*'IN_MACRO'!$D$14+('ENG_CAPEX'!$H$81*(1+'ENG_CAPEX'!$D$23*E38))-(('ENG_CAPEX'!$H$21+'ENG_CAPEX'!$H$42)*(1+'ENG_CAPEX'!$D$23*E38))-('ENG_WC'!$H$19*(1+AVERAGE('ENG_OPS'!$D$84:$P$84)*E38)*(1+F38))</f>
        <v/>
      </c>
      <c r="L38" s="36">
        <f>(('ENG_OPS'!$I$81*(1+AVERAGE('ENG_OPS'!$D$84:$P$84)*E38)*(1+F38))-('ENG_COST'!$I$266*(1+'IN_COST'!$D$8*E38))-('ENG_COST'!$I$268*(1+'IN_COST'!$D$9*E38))-('ENG_CAPEX'!$I$81*(1+'ENG_CAPEX'!$D$23*E38)))-MAX(0,(('ENG_OPS'!$I$81*(1+AVERAGE('ENG_OPS'!$D$84:$P$84)*E38)*(1+F38))-('ENG_COST'!$I$266*(1+'IN_COST'!$D$8*E38))-('ENG_COST'!$I$268*(1+'IN_COST'!$D$9*E38))-('ENG_CAPEX'!$I$81*(1+'ENG_CAPEX'!$D$23*E38))))*'IN_MACRO'!$D$14+('ENG_CAPEX'!$I$81*(1+'ENG_CAPEX'!$D$23*E38))-(('ENG_CAPEX'!$I$21+'ENG_CAPEX'!$I$42)*(1+'ENG_CAPEX'!$D$23*E38))-('ENG_WC'!$I$19*(1+AVERAGE('ENG_OPS'!$D$84:$P$84)*E38)*(1+F38))</f>
        <v/>
      </c>
      <c r="M38" s="36">
        <f>(('ENG_OPS'!$J$81*(1+AVERAGE('ENG_OPS'!$D$84:$P$84)*E38)*(1+F38))-('ENG_COST'!$J$266*(1+'IN_COST'!$D$8*E38))-('ENG_COST'!$J$268*(1+'IN_COST'!$D$9*E38))-('ENG_CAPEX'!$J$81*(1+'ENG_CAPEX'!$D$23*E38)))-MAX(0,(('ENG_OPS'!$J$81*(1+AVERAGE('ENG_OPS'!$D$84:$P$84)*E38)*(1+F38))-('ENG_COST'!$J$266*(1+'IN_COST'!$D$8*E38))-('ENG_COST'!$J$268*(1+'IN_COST'!$D$9*E38))-('ENG_CAPEX'!$J$81*(1+'ENG_CAPEX'!$D$23*E38))))*'IN_MACRO'!$D$14+('ENG_CAPEX'!$J$81*(1+'ENG_CAPEX'!$D$23*E38))-(('ENG_CAPEX'!$J$21+'ENG_CAPEX'!$J$42)*(1+'ENG_CAPEX'!$D$23*E38))-('ENG_WC'!$J$19*(1+AVERAGE('ENG_OPS'!$D$84:$P$84)*E38)*(1+F38))</f>
        <v/>
      </c>
      <c r="N38" s="36">
        <f>(('ENG_OPS'!$K$81*(1+AVERAGE('ENG_OPS'!$D$84:$P$84)*E38)*(1+F38))-('ENG_COST'!$K$266*(1+'IN_COST'!$D$8*E38))-('ENG_COST'!$K$268*(1+'IN_COST'!$D$9*E38))-('ENG_CAPEX'!$K$81*(1+'ENG_CAPEX'!$D$23*E38)))-MAX(0,(('ENG_OPS'!$K$81*(1+AVERAGE('ENG_OPS'!$D$84:$P$84)*E38)*(1+F38))-('ENG_COST'!$K$266*(1+'IN_COST'!$D$8*E38))-('ENG_COST'!$K$268*(1+'IN_COST'!$D$9*E38))-('ENG_CAPEX'!$K$81*(1+'ENG_CAPEX'!$D$23*E38))))*'IN_MACRO'!$D$14+('ENG_CAPEX'!$K$81*(1+'ENG_CAPEX'!$D$23*E38))-(('ENG_CAPEX'!$K$21+'ENG_CAPEX'!$K$42)*(1+'ENG_CAPEX'!$D$23*E38))-('ENG_WC'!$K$19*(1+AVERAGE('ENG_OPS'!$D$84:$P$84)*E38)*(1+F38))</f>
        <v/>
      </c>
      <c r="O38" s="36">
        <f>(('ENG_OPS'!$L$81*(1+AVERAGE('ENG_OPS'!$D$84:$P$84)*E38)*(1+F38))-('ENG_COST'!$L$266*(1+'IN_COST'!$D$8*E38))-('ENG_COST'!$L$268*(1+'IN_COST'!$D$9*E38))-('ENG_CAPEX'!$L$81*(1+'ENG_CAPEX'!$D$23*E38)))-MAX(0,(('ENG_OPS'!$L$81*(1+AVERAGE('ENG_OPS'!$D$84:$P$84)*E38)*(1+F38))-('ENG_COST'!$L$266*(1+'IN_COST'!$D$8*E38))-('ENG_COST'!$L$268*(1+'IN_COST'!$D$9*E38))-('ENG_CAPEX'!$L$81*(1+'ENG_CAPEX'!$D$23*E38))))*'IN_MACRO'!$D$14+('ENG_CAPEX'!$L$81*(1+'ENG_CAPEX'!$D$23*E38))-(('ENG_CAPEX'!$L$21+'ENG_CAPEX'!$L$42)*(1+'ENG_CAPEX'!$D$23*E38))-('ENG_WC'!$L$19*(1+AVERAGE('ENG_OPS'!$D$84:$P$84)*E38)*(1+F38))</f>
        <v/>
      </c>
      <c r="P38" s="36">
        <f>(('ENG_OPS'!$M$81*(1+AVERAGE('ENG_OPS'!$D$84:$P$84)*E38)*(1+F38))-('ENG_COST'!$M$266*(1+'IN_COST'!$D$8*E38))-('ENG_COST'!$M$268*(1+'IN_COST'!$D$9*E38))-('ENG_CAPEX'!$M$81*(1+'ENG_CAPEX'!$D$23*E38)))-MAX(0,(('ENG_OPS'!$M$81*(1+AVERAGE('ENG_OPS'!$D$84:$P$84)*E38)*(1+F38))-('ENG_COST'!$M$266*(1+'IN_COST'!$D$8*E38))-('ENG_COST'!$M$268*(1+'IN_COST'!$D$9*E38))-('ENG_CAPEX'!$M$81*(1+'ENG_CAPEX'!$D$23*E38))))*'IN_MACRO'!$D$14+('ENG_CAPEX'!$M$81*(1+'ENG_CAPEX'!$D$23*E38))-(('ENG_CAPEX'!$M$21+'ENG_CAPEX'!$M$42)*(1+'ENG_CAPEX'!$D$23*E38))-('ENG_WC'!$M$19*(1+AVERAGE('ENG_OPS'!$D$84:$P$84)*E38)*(1+F38))</f>
        <v/>
      </c>
      <c r="Q38" s="36">
        <f>(('ENG_OPS'!$N$81*(1+AVERAGE('ENG_OPS'!$D$84:$P$84)*E38)*(1+F38))-('ENG_COST'!$N$266*(1+'IN_COST'!$D$8*E38))-('ENG_COST'!$N$268*(1+'IN_COST'!$D$9*E38))-('ENG_CAPEX'!$N$81*(1+'ENG_CAPEX'!$D$23*E38)))-MAX(0,(('ENG_OPS'!$N$81*(1+AVERAGE('ENG_OPS'!$D$84:$P$84)*E38)*(1+F38))-('ENG_COST'!$N$266*(1+'IN_COST'!$D$8*E38))-('ENG_COST'!$N$268*(1+'IN_COST'!$D$9*E38))-('ENG_CAPEX'!$N$81*(1+'ENG_CAPEX'!$D$23*E38))))*'IN_MACRO'!$D$14+('ENG_CAPEX'!$N$81*(1+'ENG_CAPEX'!$D$23*E38))-(('ENG_CAPEX'!$N$21+'ENG_CAPEX'!$N$42)*(1+'ENG_CAPEX'!$D$23*E38))-('ENG_WC'!$N$19*(1+AVERAGE('ENG_OPS'!$D$84:$P$84)*E38)*(1+F38))</f>
        <v/>
      </c>
      <c r="R38" s="36">
        <f>(('ENG_OPS'!$O$81*(1+AVERAGE('ENG_OPS'!$D$84:$P$84)*E38)*(1+F38))-('ENG_COST'!$O$266*(1+'IN_COST'!$D$8*E38))-('ENG_COST'!$O$268*(1+'IN_COST'!$D$9*E38))-('ENG_CAPEX'!$O$81*(1+'ENG_CAPEX'!$D$23*E38)))-MAX(0,(('ENG_OPS'!$O$81*(1+AVERAGE('ENG_OPS'!$D$84:$P$84)*E38)*(1+F38))-('ENG_COST'!$O$266*(1+'IN_COST'!$D$8*E38))-('ENG_COST'!$O$268*(1+'IN_COST'!$D$9*E38))-('ENG_CAPEX'!$O$81*(1+'ENG_CAPEX'!$D$23*E38))))*'IN_MACRO'!$D$14+('ENG_CAPEX'!$O$81*(1+'ENG_CAPEX'!$D$23*E38))-(('ENG_CAPEX'!$O$21+'ENG_CAPEX'!$O$42)*(1+'ENG_CAPEX'!$D$23*E38))-('ENG_WC'!$O$19*(1+AVERAGE('ENG_OPS'!$D$84:$P$84)*E38)*(1+F38))</f>
        <v/>
      </c>
      <c r="S38" s="36">
        <f>(('ENG_OPS'!$P$81*(1+AVERAGE('ENG_OPS'!$D$84:$P$84)*E38)*(1+F38))-('ENG_COST'!$P$266*(1+'IN_COST'!$D$8*E38))-('ENG_COST'!$P$268*(1+'IN_COST'!$D$9*E38))-('ENG_CAPEX'!$P$81*(1+'ENG_CAPEX'!$D$23*E38)))-MAX(0,(('ENG_OPS'!$P$81*(1+AVERAGE('ENG_OPS'!$D$84:$P$84)*E38)*(1+F38))-('ENG_COST'!$P$266*(1+'IN_COST'!$D$8*E38))-('ENG_COST'!$P$268*(1+'IN_COST'!$D$9*E38))-('ENG_CAPEX'!$P$81*(1+'ENG_CAPEX'!$D$23*E38))))*'IN_MACRO'!$D$14+('ENG_CAPEX'!$P$81*(1+'ENG_CAPEX'!$D$23*E38))-(('ENG_CAPEX'!$P$21+'ENG_CAPEX'!$P$42)*(1+'ENG_CAPEX'!$D$23*E38))-('ENG_WC'!$P$19*(1+AVERAGE('ENG_OPS'!$D$84:$P$84)*E38)*(1+F38))</f>
        <v/>
      </c>
      <c r="T38" s="30">
        <f>1</f>
        <v/>
      </c>
      <c r="U38" s="30">
        <f>T38/(1+'ENG_DCF'!$E$14+D38)</f>
        <v/>
      </c>
      <c r="V38" s="30">
        <f>U38/(1+'ENG_DCF'!$F$14+D38)</f>
        <v/>
      </c>
      <c r="W38" s="30">
        <f>V38/(1+'ENG_DCF'!$G$14+D38)</f>
        <v/>
      </c>
      <c r="X38" s="30">
        <f>W38/(1+'ENG_DCF'!$H$14+D38)</f>
        <v/>
      </c>
      <c r="Y38" s="30">
        <f>X38/(1+'ENG_DCF'!$I$14+D38)</f>
        <v/>
      </c>
      <c r="Z38" s="30">
        <f>Y38/(1+'ENG_DCF'!$J$14+D38)</f>
        <v/>
      </c>
      <c r="AA38" s="30">
        <f>Z38/(1+'ENG_DCF'!$K$14+D38)</f>
        <v/>
      </c>
      <c r="AB38" s="30">
        <f>AA38/(1+'ENG_DCF'!$L$14+D38)</f>
        <v/>
      </c>
      <c r="AC38" s="30">
        <f>AB38/(1+'ENG_DCF'!$M$14+D38)</f>
        <v/>
      </c>
      <c r="AD38" s="30">
        <f>AC38/(1+'ENG_DCF'!$N$14+D38)</f>
        <v/>
      </c>
      <c r="AE38" s="30">
        <f>AD38/(1+'ENG_DCF'!$O$14+D38)</f>
        <v/>
      </c>
      <c r="AF38" s="30">
        <f>AE38/(1+'ENG_DCF'!$P$14+D38)</f>
        <v/>
      </c>
      <c r="AG38" s="36">
        <f>(G38*T38+H38*U38+I38*V38+J38*W38+K38*X38+L38*Y38+M38*Z38+N38*AA38+O38*AB38+P38*AC38+Q38*AD38+R38*AE38+S38*AF38)+(IF('IN_MACRO'!$D$19=1,MAX(0,(S38+(('ENG_CAPEX'!$P$21+'ENG_CAPEX'!$P$42)*(1+'ENG_CAPEX'!$D$23*E38))))*(1+'IN_MACRO'!$D$18)/MAX(0.005,'ENG_DCF'!$P$14+D38-'IN_MACRO'!$D$18),(('ENG_OPS'!$P$81*(1+AVERAGE('ENG_OPS'!$D$84:$P$84)*E38)*(1+F38))-('ENG_COST'!$P$266*(1+'IN_COST'!$D$8*E38))-('ENG_COST'!$P$268*(1+'IN_COST'!$D$9*E38)))*'IN_MACRO'!$D$20))*AF38</f>
        <v/>
      </c>
    </row>
    <row r="39">
      <c r="A39" t="inlineStr">
        <is>
          <t>PR|3|1</t>
        </is>
      </c>
      <c r="D39" s="38">
        <f>'IN_SCEN'!$G$24</f>
        <v/>
      </c>
      <c r="E39" s="38">
        <f>0</f>
        <v/>
      </c>
      <c r="F39" s="38">
        <f>'IN_SCEN'!$E$26</f>
        <v/>
      </c>
      <c r="G39" s="36">
        <f>(('ENG_OPS'!$D$81*(1+AVERAGE('ENG_OPS'!$D$84:$P$84)*E39)*(1+F39))-('ENG_COST'!$D$266*(1+'IN_COST'!$D$8*E39))-('ENG_COST'!$D$268*(1+'IN_COST'!$D$9*E39))-('ENG_CAPEX'!$D$81*(1+'ENG_CAPEX'!$D$23*E39)))-MAX(0,(('ENG_OPS'!$D$81*(1+AVERAGE('ENG_OPS'!$D$84:$P$84)*E39)*(1+F39))-('ENG_COST'!$D$266*(1+'IN_COST'!$D$8*E39))-('ENG_COST'!$D$268*(1+'IN_COST'!$D$9*E39))-('ENG_CAPEX'!$D$81*(1+'ENG_CAPEX'!$D$23*E39))))*'IN_MACRO'!$D$14+('ENG_CAPEX'!$D$81*(1+'ENG_CAPEX'!$D$23*E39))-(('ENG_CAPEX'!$D$21+'ENG_CAPEX'!$D$42)*(1+'ENG_CAPEX'!$D$23*E39))-('ENG_WC'!$D$19*(1+AVERAGE('ENG_OPS'!$D$84:$P$84)*E39)*(1+F39))</f>
        <v/>
      </c>
      <c r="H39" s="36">
        <f>(('ENG_OPS'!$E$81*(1+AVERAGE('ENG_OPS'!$D$84:$P$84)*E39)*(1+F39))-('ENG_COST'!$E$266*(1+'IN_COST'!$D$8*E39))-('ENG_COST'!$E$268*(1+'IN_COST'!$D$9*E39))-('ENG_CAPEX'!$E$81*(1+'ENG_CAPEX'!$D$23*E39)))-MAX(0,(('ENG_OPS'!$E$81*(1+AVERAGE('ENG_OPS'!$D$84:$P$84)*E39)*(1+F39))-('ENG_COST'!$E$266*(1+'IN_COST'!$D$8*E39))-('ENG_COST'!$E$268*(1+'IN_COST'!$D$9*E39))-('ENG_CAPEX'!$E$81*(1+'ENG_CAPEX'!$D$23*E39))))*'IN_MACRO'!$D$14+('ENG_CAPEX'!$E$81*(1+'ENG_CAPEX'!$D$23*E39))-(('ENG_CAPEX'!$E$21+'ENG_CAPEX'!$E$42)*(1+'ENG_CAPEX'!$D$23*E39))-('ENG_WC'!$E$19*(1+AVERAGE('ENG_OPS'!$D$84:$P$84)*E39)*(1+F39))</f>
        <v/>
      </c>
      <c r="I39" s="36">
        <f>(('ENG_OPS'!$F$81*(1+AVERAGE('ENG_OPS'!$D$84:$P$84)*E39)*(1+F39))-('ENG_COST'!$F$266*(1+'IN_COST'!$D$8*E39))-('ENG_COST'!$F$268*(1+'IN_COST'!$D$9*E39))-('ENG_CAPEX'!$F$81*(1+'ENG_CAPEX'!$D$23*E39)))-MAX(0,(('ENG_OPS'!$F$81*(1+AVERAGE('ENG_OPS'!$D$84:$P$84)*E39)*(1+F39))-('ENG_COST'!$F$266*(1+'IN_COST'!$D$8*E39))-('ENG_COST'!$F$268*(1+'IN_COST'!$D$9*E39))-('ENG_CAPEX'!$F$81*(1+'ENG_CAPEX'!$D$23*E39))))*'IN_MACRO'!$D$14+('ENG_CAPEX'!$F$81*(1+'ENG_CAPEX'!$D$23*E39))-(('ENG_CAPEX'!$F$21+'ENG_CAPEX'!$F$42)*(1+'ENG_CAPEX'!$D$23*E39))-('ENG_WC'!$F$19*(1+AVERAGE('ENG_OPS'!$D$84:$P$84)*E39)*(1+F39))</f>
        <v/>
      </c>
      <c r="J39" s="36">
        <f>(('ENG_OPS'!$G$81*(1+AVERAGE('ENG_OPS'!$D$84:$P$84)*E39)*(1+F39))-('ENG_COST'!$G$266*(1+'IN_COST'!$D$8*E39))-('ENG_COST'!$G$268*(1+'IN_COST'!$D$9*E39))-('ENG_CAPEX'!$G$81*(1+'ENG_CAPEX'!$D$23*E39)))-MAX(0,(('ENG_OPS'!$G$81*(1+AVERAGE('ENG_OPS'!$D$84:$P$84)*E39)*(1+F39))-('ENG_COST'!$G$266*(1+'IN_COST'!$D$8*E39))-('ENG_COST'!$G$268*(1+'IN_COST'!$D$9*E39))-('ENG_CAPEX'!$G$81*(1+'ENG_CAPEX'!$D$23*E39))))*'IN_MACRO'!$D$14+('ENG_CAPEX'!$G$81*(1+'ENG_CAPEX'!$D$23*E39))-(('ENG_CAPEX'!$G$21+'ENG_CAPEX'!$G$42)*(1+'ENG_CAPEX'!$D$23*E39))-('ENG_WC'!$G$19*(1+AVERAGE('ENG_OPS'!$D$84:$P$84)*E39)*(1+F39))</f>
        <v/>
      </c>
      <c r="K39" s="36">
        <f>(('ENG_OPS'!$H$81*(1+AVERAGE('ENG_OPS'!$D$84:$P$84)*E39)*(1+F39))-('ENG_COST'!$H$266*(1+'IN_COST'!$D$8*E39))-('ENG_COST'!$H$268*(1+'IN_COST'!$D$9*E39))-('ENG_CAPEX'!$H$81*(1+'ENG_CAPEX'!$D$23*E39)))-MAX(0,(('ENG_OPS'!$H$81*(1+AVERAGE('ENG_OPS'!$D$84:$P$84)*E39)*(1+F39))-('ENG_COST'!$H$266*(1+'IN_COST'!$D$8*E39))-('ENG_COST'!$H$268*(1+'IN_COST'!$D$9*E39))-('ENG_CAPEX'!$H$81*(1+'ENG_CAPEX'!$D$23*E39))))*'IN_MACRO'!$D$14+('ENG_CAPEX'!$H$81*(1+'ENG_CAPEX'!$D$23*E39))-(('ENG_CAPEX'!$H$21+'ENG_CAPEX'!$H$42)*(1+'ENG_CAPEX'!$D$23*E39))-('ENG_WC'!$H$19*(1+AVERAGE('ENG_OPS'!$D$84:$P$84)*E39)*(1+F39))</f>
        <v/>
      </c>
      <c r="L39" s="36">
        <f>(('ENG_OPS'!$I$81*(1+AVERAGE('ENG_OPS'!$D$84:$P$84)*E39)*(1+F39))-('ENG_COST'!$I$266*(1+'IN_COST'!$D$8*E39))-('ENG_COST'!$I$268*(1+'IN_COST'!$D$9*E39))-('ENG_CAPEX'!$I$81*(1+'ENG_CAPEX'!$D$23*E39)))-MAX(0,(('ENG_OPS'!$I$81*(1+AVERAGE('ENG_OPS'!$D$84:$P$84)*E39)*(1+F39))-('ENG_COST'!$I$266*(1+'IN_COST'!$D$8*E39))-('ENG_COST'!$I$268*(1+'IN_COST'!$D$9*E39))-('ENG_CAPEX'!$I$81*(1+'ENG_CAPEX'!$D$23*E39))))*'IN_MACRO'!$D$14+('ENG_CAPEX'!$I$81*(1+'ENG_CAPEX'!$D$23*E39))-(('ENG_CAPEX'!$I$21+'ENG_CAPEX'!$I$42)*(1+'ENG_CAPEX'!$D$23*E39))-('ENG_WC'!$I$19*(1+AVERAGE('ENG_OPS'!$D$84:$P$84)*E39)*(1+F39))</f>
        <v/>
      </c>
      <c r="M39" s="36">
        <f>(('ENG_OPS'!$J$81*(1+AVERAGE('ENG_OPS'!$D$84:$P$84)*E39)*(1+F39))-('ENG_COST'!$J$266*(1+'IN_COST'!$D$8*E39))-('ENG_COST'!$J$268*(1+'IN_COST'!$D$9*E39))-('ENG_CAPEX'!$J$81*(1+'ENG_CAPEX'!$D$23*E39)))-MAX(0,(('ENG_OPS'!$J$81*(1+AVERAGE('ENG_OPS'!$D$84:$P$84)*E39)*(1+F39))-('ENG_COST'!$J$266*(1+'IN_COST'!$D$8*E39))-('ENG_COST'!$J$268*(1+'IN_COST'!$D$9*E39))-('ENG_CAPEX'!$J$81*(1+'ENG_CAPEX'!$D$23*E39))))*'IN_MACRO'!$D$14+('ENG_CAPEX'!$J$81*(1+'ENG_CAPEX'!$D$23*E39))-(('ENG_CAPEX'!$J$21+'ENG_CAPEX'!$J$42)*(1+'ENG_CAPEX'!$D$23*E39))-('ENG_WC'!$J$19*(1+AVERAGE('ENG_OPS'!$D$84:$P$84)*E39)*(1+F39))</f>
        <v/>
      </c>
      <c r="N39" s="36">
        <f>(('ENG_OPS'!$K$81*(1+AVERAGE('ENG_OPS'!$D$84:$P$84)*E39)*(1+F39))-('ENG_COST'!$K$266*(1+'IN_COST'!$D$8*E39))-('ENG_COST'!$K$268*(1+'IN_COST'!$D$9*E39))-('ENG_CAPEX'!$K$81*(1+'ENG_CAPEX'!$D$23*E39)))-MAX(0,(('ENG_OPS'!$K$81*(1+AVERAGE('ENG_OPS'!$D$84:$P$84)*E39)*(1+F39))-('ENG_COST'!$K$266*(1+'IN_COST'!$D$8*E39))-('ENG_COST'!$K$268*(1+'IN_COST'!$D$9*E39))-('ENG_CAPEX'!$K$81*(1+'ENG_CAPEX'!$D$23*E39))))*'IN_MACRO'!$D$14+('ENG_CAPEX'!$K$81*(1+'ENG_CAPEX'!$D$23*E39))-(('ENG_CAPEX'!$K$21+'ENG_CAPEX'!$K$42)*(1+'ENG_CAPEX'!$D$23*E39))-('ENG_WC'!$K$19*(1+AVERAGE('ENG_OPS'!$D$84:$P$84)*E39)*(1+F39))</f>
        <v/>
      </c>
      <c r="O39" s="36">
        <f>(('ENG_OPS'!$L$81*(1+AVERAGE('ENG_OPS'!$D$84:$P$84)*E39)*(1+F39))-('ENG_COST'!$L$266*(1+'IN_COST'!$D$8*E39))-('ENG_COST'!$L$268*(1+'IN_COST'!$D$9*E39))-('ENG_CAPEX'!$L$81*(1+'ENG_CAPEX'!$D$23*E39)))-MAX(0,(('ENG_OPS'!$L$81*(1+AVERAGE('ENG_OPS'!$D$84:$P$84)*E39)*(1+F39))-('ENG_COST'!$L$266*(1+'IN_COST'!$D$8*E39))-('ENG_COST'!$L$268*(1+'IN_COST'!$D$9*E39))-('ENG_CAPEX'!$L$81*(1+'ENG_CAPEX'!$D$23*E39))))*'IN_MACRO'!$D$14+('ENG_CAPEX'!$L$81*(1+'ENG_CAPEX'!$D$23*E39))-(('ENG_CAPEX'!$L$21+'ENG_CAPEX'!$L$42)*(1+'ENG_CAPEX'!$D$23*E39))-('ENG_WC'!$L$19*(1+AVERAGE('ENG_OPS'!$D$84:$P$84)*E39)*(1+F39))</f>
        <v/>
      </c>
      <c r="P39" s="36">
        <f>(('ENG_OPS'!$M$81*(1+AVERAGE('ENG_OPS'!$D$84:$P$84)*E39)*(1+F39))-('ENG_COST'!$M$266*(1+'IN_COST'!$D$8*E39))-('ENG_COST'!$M$268*(1+'IN_COST'!$D$9*E39))-('ENG_CAPEX'!$M$81*(1+'ENG_CAPEX'!$D$23*E39)))-MAX(0,(('ENG_OPS'!$M$81*(1+AVERAGE('ENG_OPS'!$D$84:$P$84)*E39)*(1+F39))-('ENG_COST'!$M$266*(1+'IN_COST'!$D$8*E39))-('ENG_COST'!$M$268*(1+'IN_COST'!$D$9*E39))-('ENG_CAPEX'!$M$81*(1+'ENG_CAPEX'!$D$23*E39))))*'IN_MACRO'!$D$14+('ENG_CAPEX'!$M$81*(1+'ENG_CAPEX'!$D$23*E39))-(('ENG_CAPEX'!$M$21+'ENG_CAPEX'!$M$42)*(1+'ENG_CAPEX'!$D$23*E39))-('ENG_WC'!$M$19*(1+AVERAGE('ENG_OPS'!$D$84:$P$84)*E39)*(1+F39))</f>
        <v/>
      </c>
      <c r="Q39" s="36">
        <f>(('ENG_OPS'!$N$81*(1+AVERAGE('ENG_OPS'!$D$84:$P$84)*E39)*(1+F39))-('ENG_COST'!$N$266*(1+'IN_COST'!$D$8*E39))-('ENG_COST'!$N$268*(1+'IN_COST'!$D$9*E39))-('ENG_CAPEX'!$N$81*(1+'ENG_CAPEX'!$D$23*E39)))-MAX(0,(('ENG_OPS'!$N$81*(1+AVERAGE('ENG_OPS'!$D$84:$P$84)*E39)*(1+F39))-('ENG_COST'!$N$266*(1+'IN_COST'!$D$8*E39))-('ENG_COST'!$N$268*(1+'IN_COST'!$D$9*E39))-('ENG_CAPEX'!$N$81*(1+'ENG_CAPEX'!$D$23*E39))))*'IN_MACRO'!$D$14+('ENG_CAPEX'!$N$81*(1+'ENG_CAPEX'!$D$23*E39))-(('ENG_CAPEX'!$N$21+'ENG_CAPEX'!$N$42)*(1+'ENG_CAPEX'!$D$23*E39))-('ENG_WC'!$N$19*(1+AVERAGE('ENG_OPS'!$D$84:$P$84)*E39)*(1+F39))</f>
        <v/>
      </c>
      <c r="R39" s="36">
        <f>(('ENG_OPS'!$O$81*(1+AVERAGE('ENG_OPS'!$D$84:$P$84)*E39)*(1+F39))-('ENG_COST'!$O$266*(1+'IN_COST'!$D$8*E39))-('ENG_COST'!$O$268*(1+'IN_COST'!$D$9*E39))-('ENG_CAPEX'!$O$81*(1+'ENG_CAPEX'!$D$23*E39)))-MAX(0,(('ENG_OPS'!$O$81*(1+AVERAGE('ENG_OPS'!$D$84:$P$84)*E39)*(1+F39))-('ENG_COST'!$O$266*(1+'IN_COST'!$D$8*E39))-('ENG_COST'!$O$268*(1+'IN_COST'!$D$9*E39))-('ENG_CAPEX'!$O$81*(1+'ENG_CAPEX'!$D$23*E39))))*'IN_MACRO'!$D$14+('ENG_CAPEX'!$O$81*(1+'ENG_CAPEX'!$D$23*E39))-(('ENG_CAPEX'!$O$21+'ENG_CAPEX'!$O$42)*(1+'ENG_CAPEX'!$D$23*E39))-('ENG_WC'!$O$19*(1+AVERAGE('ENG_OPS'!$D$84:$P$84)*E39)*(1+F39))</f>
        <v/>
      </c>
      <c r="S39" s="36">
        <f>(('ENG_OPS'!$P$81*(1+AVERAGE('ENG_OPS'!$D$84:$P$84)*E39)*(1+F39))-('ENG_COST'!$P$266*(1+'IN_COST'!$D$8*E39))-('ENG_COST'!$P$268*(1+'IN_COST'!$D$9*E39))-('ENG_CAPEX'!$P$81*(1+'ENG_CAPEX'!$D$23*E39)))-MAX(0,(('ENG_OPS'!$P$81*(1+AVERAGE('ENG_OPS'!$D$84:$P$84)*E39)*(1+F39))-('ENG_COST'!$P$266*(1+'IN_COST'!$D$8*E39))-('ENG_COST'!$P$268*(1+'IN_COST'!$D$9*E39))-('ENG_CAPEX'!$P$81*(1+'ENG_CAPEX'!$D$23*E39))))*'IN_MACRO'!$D$14+('ENG_CAPEX'!$P$81*(1+'ENG_CAPEX'!$D$23*E39))-(('ENG_CAPEX'!$P$21+'ENG_CAPEX'!$P$42)*(1+'ENG_CAPEX'!$D$23*E39))-('ENG_WC'!$P$19*(1+AVERAGE('ENG_OPS'!$D$84:$P$84)*E39)*(1+F39))</f>
        <v/>
      </c>
      <c r="T39" s="30">
        <f>1</f>
        <v/>
      </c>
      <c r="U39" s="30">
        <f>T39/(1+'ENG_DCF'!$E$14+D39)</f>
        <v/>
      </c>
      <c r="V39" s="30">
        <f>U39/(1+'ENG_DCF'!$F$14+D39)</f>
        <v/>
      </c>
      <c r="W39" s="30">
        <f>V39/(1+'ENG_DCF'!$G$14+D39)</f>
        <v/>
      </c>
      <c r="X39" s="30">
        <f>W39/(1+'ENG_DCF'!$H$14+D39)</f>
        <v/>
      </c>
      <c r="Y39" s="30">
        <f>X39/(1+'ENG_DCF'!$I$14+D39)</f>
        <v/>
      </c>
      <c r="Z39" s="30">
        <f>Y39/(1+'ENG_DCF'!$J$14+D39)</f>
        <v/>
      </c>
      <c r="AA39" s="30">
        <f>Z39/(1+'ENG_DCF'!$K$14+D39)</f>
        <v/>
      </c>
      <c r="AB39" s="30">
        <f>AA39/(1+'ENG_DCF'!$L$14+D39)</f>
        <v/>
      </c>
      <c r="AC39" s="30">
        <f>AB39/(1+'ENG_DCF'!$M$14+D39)</f>
        <v/>
      </c>
      <c r="AD39" s="30">
        <f>AC39/(1+'ENG_DCF'!$N$14+D39)</f>
        <v/>
      </c>
      <c r="AE39" s="30">
        <f>AD39/(1+'ENG_DCF'!$O$14+D39)</f>
        <v/>
      </c>
      <c r="AF39" s="30">
        <f>AE39/(1+'ENG_DCF'!$P$14+D39)</f>
        <v/>
      </c>
      <c r="AG39" s="36">
        <f>(G39*T39+H39*U39+I39*V39+J39*W39+K39*X39+L39*Y39+M39*Z39+N39*AA39+O39*AB39+P39*AC39+Q39*AD39+R39*AE39+S39*AF39)+(IF('IN_MACRO'!$D$19=1,MAX(0,(S39+(('ENG_CAPEX'!$P$21+'ENG_CAPEX'!$P$42)*(1+'ENG_CAPEX'!$D$23*E39))))*(1+'IN_MACRO'!$D$18)/MAX(0.005,'ENG_DCF'!$P$14+D39-'IN_MACRO'!$D$18),(('ENG_OPS'!$P$81*(1+AVERAGE('ENG_OPS'!$D$84:$P$84)*E39)*(1+F39))-('ENG_COST'!$P$266*(1+'IN_COST'!$D$8*E39))-('ENG_COST'!$P$268*(1+'IN_COST'!$D$9*E39)))*'IN_MACRO'!$D$20))*AF39</f>
        <v/>
      </c>
    </row>
    <row r="40">
      <c r="A40" t="inlineStr">
        <is>
          <t>FX|3|2</t>
        </is>
      </c>
      <c r="D40" s="38">
        <f>'IN_SCEN'!$G$24</f>
        <v/>
      </c>
      <c r="E40" s="38">
        <f>'IN_SCEN'!$F$25</f>
        <v/>
      </c>
      <c r="F40" s="38">
        <f>0</f>
        <v/>
      </c>
      <c r="G40" s="36">
        <f>(('ENG_OPS'!$D$81*(1+AVERAGE('ENG_OPS'!$D$84:$P$84)*E40)*(1+F40))-('ENG_COST'!$D$266*(1+'IN_COST'!$D$8*E40))-('ENG_COST'!$D$268*(1+'IN_COST'!$D$9*E40))-('ENG_CAPEX'!$D$81*(1+'ENG_CAPEX'!$D$23*E40)))-MAX(0,(('ENG_OPS'!$D$81*(1+AVERAGE('ENG_OPS'!$D$84:$P$84)*E40)*(1+F40))-('ENG_COST'!$D$266*(1+'IN_COST'!$D$8*E40))-('ENG_COST'!$D$268*(1+'IN_COST'!$D$9*E40))-('ENG_CAPEX'!$D$81*(1+'ENG_CAPEX'!$D$23*E40))))*'IN_MACRO'!$D$14+('ENG_CAPEX'!$D$81*(1+'ENG_CAPEX'!$D$23*E40))-(('ENG_CAPEX'!$D$21+'ENG_CAPEX'!$D$42)*(1+'ENG_CAPEX'!$D$23*E40))-('ENG_WC'!$D$19*(1+AVERAGE('ENG_OPS'!$D$84:$P$84)*E40)*(1+F40))</f>
        <v/>
      </c>
      <c r="H40" s="36">
        <f>(('ENG_OPS'!$E$81*(1+AVERAGE('ENG_OPS'!$D$84:$P$84)*E40)*(1+F40))-('ENG_COST'!$E$266*(1+'IN_COST'!$D$8*E40))-('ENG_COST'!$E$268*(1+'IN_COST'!$D$9*E40))-('ENG_CAPEX'!$E$81*(1+'ENG_CAPEX'!$D$23*E40)))-MAX(0,(('ENG_OPS'!$E$81*(1+AVERAGE('ENG_OPS'!$D$84:$P$84)*E40)*(1+F40))-('ENG_COST'!$E$266*(1+'IN_COST'!$D$8*E40))-('ENG_COST'!$E$268*(1+'IN_COST'!$D$9*E40))-('ENG_CAPEX'!$E$81*(1+'ENG_CAPEX'!$D$23*E40))))*'IN_MACRO'!$D$14+('ENG_CAPEX'!$E$81*(1+'ENG_CAPEX'!$D$23*E40))-(('ENG_CAPEX'!$E$21+'ENG_CAPEX'!$E$42)*(1+'ENG_CAPEX'!$D$23*E40))-('ENG_WC'!$E$19*(1+AVERAGE('ENG_OPS'!$D$84:$P$84)*E40)*(1+F40))</f>
        <v/>
      </c>
      <c r="I40" s="36">
        <f>(('ENG_OPS'!$F$81*(1+AVERAGE('ENG_OPS'!$D$84:$P$84)*E40)*(1+F40))-('ENG_COST'!$F$266*(1+'IN_COST'!$D$8*E40))-('ENG_COST'!$F$268*(1+'IN_COST'!$D$9*E40))-('ENG_CAPEX'!$F$81*(1+'ENG_CAPEX'!$D$23*E40)))-MAX(0,(('ENG_OPS'!$F$81*(1+AVERAGE('ENG_OPS'!$D$84:$P$84)*E40)*(1+F40))-('ENG_COST'!$F$266*(1+'IN_COST'!$D$8*E40))-('ENG_COST'!$F$268*(1+'IN_COST'!$D$9*E40))-('ENG_CAPEX'!$F$81*(1+'ENG_CAPEX'!$D$23*E40))))*'IN_MACRO'!$D$14+('ENG_CAPEX'!$F$81*(1+'ENG_CAPEX'!$D$23*E40))-(('ENG_CAPEX'!$F$21+'ENG_CAPEX'!$F$42)*(1+'ENG_CAPEX'!$D$23*E40))-('ENG_WC'!$F$19*(1+AVERAGE('ENG_OPS'!$D$84:$P$84)*E40)*(1+F40))</f>
        <v/>
      </c>
      <c r="J40" s="36">
        <f>(('ENG_OPS'!$G$81*(1+AVERAGE('ENG_OPS'!$D$84:$P$84)*E40)*(1+F40))-('ENG_COST'!$G$266*(1+'IN_COST'!$D$8*E40))-('ENG_COST'!$G$268*(1+'IN_COST'!$D$9*E40))-('ENG_CAPEX'!$G$81*(1+'ENG_CAPEX'!$D$23*E40)))-MAX(0,(('ENG_OPS'!$G$81*(1+AVERAGE('ENG_OPS'!$D$84:$P$84)*E40)*(1+F40))-('ENG_COST'!$G$266*(1+'IN_COST'!$D$8*E40))-('ENG_COST'!$G$268*(1+'IN_COST'!$D$9*E40))-('ENG_CAPEX'!$G$81*(1+'ENG_CAPEX'!$D$23*E40))))*'IN_MACRO'!$D$14+('ENG_CAPEX'!$G$81*(1+'ENG_CAPEX'!$D$23*E40))-(('ENG_CAPEX'!$G$21+'ENG_CAPEX'!$G$42)*(1+'ENG_CAPEX'!$D$23*E40))-('ENG_WC'!$G$19*(1+AVERAGE('ENG_OPS'!$D$84:$P$84)*E40)*(1+F40))</f>
        <v/>
      </c>
      <c r="K40" s="36">
        <f>(('ENG_OPS'!$H$81*(1+AVERAGE('ENG_OPS'!$D$84:$P$84)*E40)*(1+F40))-('ENG_COST'!$H$266*(1+'IN_COST'!$D$8*E40))-('ENG_COST'!$H$268*(1+'IN_COST'!$D$9*E40))-('ENG_CAPEX'!$H$81*(1+'ENG_CAPEX'!$D$23*E40)))-MAX(0,(('ENG_OPS'!$H$81*(1+AVERAGE('ENG_OPS'!$D$84:$P$84)*E40)*(1+F40))-('ENG_COST'!$H$266*(1+'IN_COST'!$D$8*E40))-('ENG_COST'!$H$268*(1+'IN_COST'!$D$9*E40))-('ENG_CAPEX'!$H$81*(1+'ENG_CAPEX'!$D$23*E40))))*'IN_MACRO'!$D$14+('ENG_CAPEX'!$H$81*(1+'ENG_CAPEX'!$D$23*E40))-(('ENG_CAPEX'!$H$21+'ENG_CAPEX'!$H$42)*(1+'ENG_CAPEX'!$D$23*E40))-('ENG_WC'!$H$19*(1+AVERAGE('ENG_OPS'!$D$84:$P$84)*E40)*(1+F40))</f>
        <v/>
      </c>
      <c r="L40" s="36">
        <f>(('ENG_OPS'!$I$81*(1+AVERAGE('ENG_OPS'!$D$84:$P$84)*E40)*(1+F40))-('ENG_COST'!$I$266*(1+'IN_COST'!$D$8*E40))-('ENG_COST'!$I$268*(1+'IN_COST'!$D$9*E40))-('ENG_CAPEX'!$I$81*(1+'ENG_CAPEX'!$D$23*E40)))-MAX(0,(('ENG_OPS'!$I$81*(1+AVERAGE('ENG_OPS'!$D$84:$P$84)*E40)*(1+F40))-('ENG_COST'!$I$266*(1+'IN_COST'!$D$8*E40))-('ENG_COST'!$I$268*(1+'IN_COST'!$D$9*E40))-('ENG_CAPEX'!$I$81*(1+'ENG_CAPEX'!$D$23*E40))))*'IN_MACRO'!$D$14+('ENG_CAPEX'!$I$81*(1+'ENG_CAPEX'!$D$23*E40))-(('ENG_CAPEX'!$I$21+'ENG_CAPEX'!$I$42)*(1+'ENG_CAPEX'!$D$23*E40))-('ENG_WC'!$I$19*(1+AVERAGE('ENG_OPS'!$D$84:$P$84)*E40)*(1+F40))</f>
        <v/>
      </c>
      <c r="M40" s="36">
        <f>(('ENG_OPS'!$J$81*(1+AVERAGE('ENG_OPS'!$D$84:$P$84)*E40)*(1+F40))-('ENG_COST'!$J$266*(1+'IN_COST'!$D$8*E40))-('ENG_COST'!$J$268*(1+'IN_COST'!$D$9*E40))-('ENG_CAPEX'!$J$81*(1+'ENG_CAPEX'!$D$23*E40)))-MAX(0,(('ENG_OPS'!$J$81*(1+AVERAGE('ENG_OPS'!$D$84:$P$84)*E40)*(1+F40))-('ENG_COST'!$J$266*(1+'IN_COST'!$D$8*E40))-('ENG_COST'!$J$268*(1+'IN_COST'!$D$9*E40))-('ENG_CAPEX'!$J$81*(1+'ENG_CAPEX'!$D$23*E40))))*'IN_MACRO'!$D$14+('ENG_CAPEX'!$J$81*(1+'ENG_CAPEX'!$D$23*E40))-(('ENG_CAPEX'!$J$21+'ENG_CAPEX'!$J$42)*(1+'ENG_CAPEX'!$D$23*E40))-('ENG_WC'!$J$19*(1+AVERAGE('ENG_OPS'!$D$84:$P$84)*E40)*(1+F40))</f>
        <v/>
      </c>
      <c r="N40" s="36">
        <f>(('ENG_OPS'!$K$81*(1+AVERAGE('ENG_OPS'!$D$84:$P$84)*E40)*(1+F40))-('ENG_COST'!$K$266*(1+'IN_COST'!$D$8*E40))-('ENG_COST'!$K$268*(1+'IN_COST'!$D$9*E40))-('ENG_CAPEX'!$K$81*(1+'ENG_CAPEX'!$D$23*E40)))-MAX(0,(('ENG_OPS'!$K$81*(1+AVERAGE('ENG_OPS'!$D$84:$P$84)*E40)*(1+F40))-('ENG_COST'!$K$266*(1+'IN_COST'!$D$8*E40))-('ENG_COST'!$K$268*(1+'IN_COST'!$D$9*E40))-('ENG_CAPEX'!$K$81*(1+'ENG_CAPEX'!$D$23*E40))))*'IN_MACRO'!$D$14+('ENG_CAPEX'!$K$81*(1+'ENG_CAPEX'!$D$23*E40))-(('ENG_CAPEX'!$K$21+'ENG_CAPEX'!$K$42)*(1+'ENG_CAPEX'!$D$23*E40))-('ENG_WC'!$K$19*(1+AVERAGE('ENG_OPS'!$D$84:$P$84)*E40)*(1+F40))</f>
        <v/>
      </c>
      <c r="O40" s="36">
        <f>(('ENG_OPS'!$L$81*(1+AVERAGE('ENG_OPS'!$D$84:$P$84)*E40)*(1+F40))-('ENG_COST'!$L$266*(1+'IN_COST'!$D$8*E40))-('ENG_COST'!$L$268*(1+'IN_COST'!$D$9*E40))-('ENG_CAPEX'!$L$81*(1+'ENG_CAPEX'!$D$23*E40)))-MAX(0,(('ENG_OPS'!$L$81*(1+AVERAGE('ENG_OPS'!$D$84:$P$84)*E40)*(1+F40))-('ENG_COST'!$L$266*(1+'IN_COST'!$D$8*E40))-('ENG_COST'!$L$268*(1+'IN_COST'!$D$9*E40))-('ENG_CAPEX'!$L$81*(1+'ENG_CAPEX'!$D$23*E40))))*'IN_MACRO'!$D$14+('ENG_CAPEX'!$L$81*(1+'ENG_CAPEX'!$D$23*E40))-(('ENG_CAPEX'!$L$21+'ENG_CAPEX'!$L$42)*(1+'ENG_CAPEX'!$D$23*E40))-('ENG_WC'!$L$19*(1+AVERAGE('ENG_OPS'!$D$84:$P$84)*E40)*(1+F40))</f>
        <v/>
      </c>
      <c r="P40" s="36">
        <f>(('ENG_OPS'!$M$81*(1+AVERAGE('ENG_OPS'!$D$84:$P$84)*E40)*(1+F40))-('ENG_COST'!$M$266*(1+'IN_COST'!$D$8*E40))-('ENG_COST'!$M$268*(1+'IN_COST'!$D$9*E40))-('ENG_CAPEX'!$M$81*(1+'ENG_CAPEX'!$D$23*E40)))-MAX(0,(('ENG_OPS'!$M$81*(1+AVERAGE('ENG_OPS'!$D$84:$P$84)*E40)*(1+F40))-('ENG_COST'!$M$266*(1+'IN_COST'!$D$8*E40))-('ENG_COST'!$M$268*(1+'IN_COST'!$D$9*E40))-('ENG_CAPEX'!$M$81*(1+'ENG_CAPEX'!$D$23*E40))))*'IN_MACRO'!$D$14+('ENG_CAPEX'!$M$81*(1+'ENG_CAPEX'!$D$23*E40))-(('ENG_CAPEX'!$M$21+'ENG_CAPEX'!$M$42)*(1+'ENG_CAPEX'!$D$23*E40))-('ENG_WC'!$M$19*(1+AVERAGE('ENG_OPS'!$D$84:$P$84)*E40)*(1+F40))</f>
        <v/>
      </c>
      <c r="Q40" s="36">
        <f>(('ENG_OPS'!$N$81*(1+AVERAGE('ENG_OPS'!$D$84:$P$84)*E40)*(1+F40))-('ENG_COST'!$N$266*(1+'IN_COST'!$D$8*E40))-('ENG_COST'!$N$268*(1+'IN_COST'!$D$9*E40))-('ENG_CAPEX'!$N$81*(1+'ENG_CAPEX'!$D$23*E40)))-MAX(0,(('ENG_OPS'!$N$81*(1+AVERAGE('ENG_OPS'!$D$84:$P$84)*E40)*(1+F40))-('ENG_COST'!$N$266*(1+'IN_COST'!$D$8*E40))-('ENG_COST'!$N$268*(1+'IN_COST'!$D$9*E40))-('ENG_CAPEX'!$N$81*(1+'ENG_CAPEX'!$D$23*E40))))*'IN_MACRO'!$D$14+('ENG_CAPEX'!$N$81*(1+'ENG_CAPEX'!$D$23*E40))-(('ENG_CAPEX'!$N$21+'ENG_CAPEX'!$N$42)*(1+'ENG_CAPEX'!$D$23*E40))-('ENG_WC'!$N$19*(1+AVERAGE('ENG_OPS'!$D$84:$P$84)*E40)*(1+F40))</f>
        <v/>
      </c>
      <c r="R40" s="36">
        <f>(('ENG_OPS'!$O$81*(1+AVERAGE('ENG_OPS'!$D$84:$P$84)*E40)*(1+F40))-('ENG_COST'!$O$266*(1+'IN_COST'!$D$8*E40))-('ENG_COST'!$O$268*(1+'IN_COST'!$D$9*E40))-('ENG_CAPEX'!$O$81*(1+'ENG_CAPEX'!$D$23*E40)))-MAX(0,(('ENG_OPS'!$O$81*(1+AVERAGE('ENG_OPS'!$D$84:$P$84)*E40)*(1+F40))-('ENG_COST'!$O$266*(1+'IN_COST'!$D$8*E40))-('ENG_COST'!$O$268*(1+'IN_COST'!$D$9*E40))-('ENG_CAPEX'!$O$81*(1+'ENG_CAPEX'!$D$23*E40))))*'IN_MACRO'!$D$14+('ENG_CAPEX'!$O$81*(1+'ENG_CAPEX'!$D$23*E40))-(('ENG_CAPEX'!$O$21+'ENG_CAPEX'!$O$42)*(1+'ENG_CAPEX'!$D$23*E40))-('ENG_WC'!$O$19*(1+AVERAGE('ENG_OPS'!$D$84:$P$84)*E40)*(1+F40))</f>
        <v/>
      </c>
      <c r="S40" s="36">
        <f>(('ENG_OPS'!$P$81*(1+AVERAGE('ENG_OPS'!$D$84:$P$84)*E40)*(1+F40))-('ENG_COST'!$P$266*(1+'IN_COST'!$D$8*E40))-('ENG_COST'!$P$268*(1+'IN_COST'!$D$9*E40))-('ENG_CAPEX'!$P$81*(1+'ENG_CAPEX'!$D$23*E40)))-MAX(0,(('ENG_OPS'!$P$81*(1+AVERAGE('ENG_OPS'!$D$84:$P$84)*E40)*(1+F40))-('ENG_COST'!$P$266*(1+'IN_COST'!$D$8*E40))-('ENG_COST'!$P$268*(1+'IN_COST'!$D$9*E40))-('ENG_CAPEX'!$P$81*(1+'ENG_CAPEX'!$D$23*E40))))*'IN_MACRO'!$D$14+('ENG_CAPEX'!$P$81*(1+'ENG_CAPEX'!$D$23*E40))-(('ENG_CAPEX'!$P$21+'ENG_CAPEX'!$P$42)*(1+'ENG_CAPEX'!$D$23*E40))-('ENG_WC'!$P$19*(1+AVERAGE('ENG_OPS'!$D$84:$P$84)*E40)*(1+F40))</f>
        <v/>
      </c>
      <c r="T40" s="30">
        <f>1</f>
        <v/>
      </c>
      <c r="U40" s="30">
        <f>T40/(1+'ENG_DCF'!$E$14+D40)</f>
        <v/>
      </c>
      <c r="V40" s="30">
        <f>U40/(1+'ENG_DCF'!$F$14+D40)</f>
        <v/>
      </c>
      <c r="W40" s="30">
        <f>V40/(1+'ENG_DCF'!$G$14+D40)</f>
        <v/>
      </c>
      <c r="X40" s="30">
        <f>W40/(1+'ENG_DCF'!$H$14+D40)</f>
        <v/>
      </c>
      <c r="Y40" s="30">
        <f>X40/(1+'ENG_DCF'!$I$14+D40)</f>
        <v/>
      </c>
      <c r="Z40" s="30">
        <f>Y40/(1+'ENG_DCF'!$J$14+D40)</f>
        <v/>
      </c>
      <c r="AA40" s="30">
        <f>Z40/(1+'ENG_DCF'!$K$14+D40)</f>
        <v/>
      </c>
      <c r="AB40" s="30">
        <f>AA40/(1+'ENG_DCF'!$L$14+D40)</f>
        <v/>
      </c>
      <c r="AC40" s="30">
        <f>AB40/(1+'ENG_DCF'!$M$14+D40)</f>
        <v/>
      </c>
      <c r="AD40" s="30">
        <f>AC40/(1+'ENG_DCF'!$N$14+D40)</f>
        <v/>
      </c>
      <c r="AE40" s="30">
        <f>AD40/(1+'ENG_DCF'!$O$14+D40)</f>
        <v/>
      </c>
      <c r="AF40" s="30">
        <f>AE40/(1+'ENG_DCF'!$P$14+D40)</f>
        <v/>
      </c>
      <c r="AG40" s="36">
        <f>(G40*T40+H40*U40+I40*V40+J40*W40+K40*X40+L40*Y40+M40*Z40+N40*AA40+O40*AB40+P40*AC40+Q40*AD40+R40*AE40+S40*AF40)+(IF('IN_MACRO'!$D$19=1,MAX(0,(S40+(('ENG_CAPEX'!$P$21+'ENG_CAPEX'!$P$42)*(1+'ENG_CAPEX'!$D$23*E40))))*(1+'IN_MACRO'!$D$18)/MAX(0.005,'ENG_DCF'!$P$14+D40-'IN_MACRO'!$D$18),(('ENG_OPS'!$P$81*(1+AVERAGE('ENG_OPS'!$D$84:$P$84)*E40)*(1+F40))-('ENG_COST'!$P$266*(1+'IN_COST'!$D$8*E40))-('ENG_COST'!$P$268*(1+'IN_COST'!$D$9*E40)))*'IN_MACRO'!$D$20))*AF40</f>
        <v/>
      </c>
    </row>
    <row r="41">
      <c r="A41" t="inlineStr">
        <is>
          <t>PR|3|2</t>
        </is>
      </c>
      <c r="D41" s="38">
        <f>'IN_SCEN'!$G$24</f>
        <v/>
      </c>
      <c r="E41" s="38">
        <f>0</f>
        <v/>
      </c>
      <c r="F41" s="38">
        <f>'IN_SCEN'!$F$26</f>
        <v/>
      </c>
      <c r="G41" s="36">
        <f>(('ENG_OPS'!$D$81*(1+AVERAGE('ENG_OPS'!$D$84:$P$84)*E41)*(1+F41))-('ENG_COST'!$D$266*(1+'IN_COST'!$D$8*E41))-('ENG_COST'!$D$268*(1+'IN_COST'!$D$9*E41))-('ENG_CAPEX'!$D$81*(1+'ENG_CAPEX'!$D$23*E41)))-MAX(0,(('ENG_OPS'!$D$81*(1+AVERAGE('ENG_OPS'!$D$84:$P$84)*E41)*(1+F41))-('ENG_COST'!$D$266*(1+'IN_COST'!$D$8*E41))-('ENG_COST'!$D$268*(1+'IN_COST'!$D$9*E41))-('ENG_CAPEX'!$D$81*(1+'ENG_CAPEX'!$D$23*E41))))*'IN_MACRO'!$D$14+('ENG_CAPEX'!$D$81*(1+'ENG_CAPEX'!$D$23*E41))-(('ENG_CAPEX'!$D$21+'ENG_CAPEX'!$D$42)*(1+'ENG_CAPEX'!$D$23*E41))-('ENG_WC'!$D$19*(1+AVERAGE('ENG_OPS'!$D$84:$P$84)*E41)*(1+F41))</f>
        <v/>
      </c>
      <c r="H41" s="36">
        <f>(('ENG_OPS'!$E$81*(1+AVERAGE('ENG_OPS'!$D$84:$P$84)*E41)*(1+F41))-('ENG_COST'!$E$266*(1+'IN_COST'!$D$8*E41))-('ENG_COST'!$E$268*(1+'IN_COST'!$D$9*E41))-('ENG_CAPEX'!$E$81*(1+'ENG_CAPEX'!$D$23*E41)))-MAX(0,(('ENG_OPS'!$E$81*(1+AVERAGE('ENG_OPS'!$D$84:$P$84)*E41)*(1+F41))-('ENG_COST'!$E$266*(1+'IN_COST'!$D$8*E41))-('ENG_COST'!$E$268*(1+'IN_COST'!$D$9*E41))-('ENG_CAPEX'!$E$81*(1+'ENG_CAPEX'!$D$23*E41))))*'IN_MACRO'!$D$14+('ENG_CAPEX'!$E$81*(1+'ENG_CAPEX'!$D$23*E41))-(('ENG_CAPEX'!$E$21+'ENG_CAPEX'!$E$42)*(1+'ENG_CAPEX'!$D$23*E41))-('ENG_WC'!$E$19*(1+AVERAGE('ENG_OPS'!$D$84:$P$84)*E41)*(1+F41))</f>
        <v/>
      </c>
      <c r="I41" s="36">
        <f>(('ENG_OPS'!$F$81*(1+AVERAGE('ENG_OPS'!$D$84:$P$84)*E41)*(1+F41))-('ENG_COST'!$F$266*(1+'IN_COST'!$D$8*E41))-('ENG_COST'!$F$268*(1+'IN_COST'!$D$9*E41))-('ENG_CAPEX'!$F$81*(1+'ENG_CAPEX'!$D$23*E41)))-MAX(0,(('ENG_OPS'!$F$81*(1+AVERAGE('ENG_OPS'!$D$84:$P$84)*E41)*(1+F41))-('ENG_COST'!$F$266*(1+'IN_COST'!$D$8*E41))-('ENG_COST'!$F$268*(1+'IN_COST'!$D$9*E41))-('ENG_CAPEX'!$F$81*(1+'ENG_CAPEX'!$D$23*E41))))*'IN_MACRO'!$D$14+('ENG_CAPEX'!$F$81*(1+'ENG_CAPEX'!$D$23*E41))-(('ENG_CAPEX'!$F$21+'ENG_CAPEX'!$F$42)*(1+'ENG_CAPEX'!$D$23*E41))-('ENG_WC'!$F$19*(1+AVERAGE('ENG_OPS'!$D$84:$P$84)*E41)*(1+F41))</f>
        <v/>
      </c>
      <c r="J41" s="36">
        <f>(('ENG_OPS'!$G$81*(1+AVERAGE('ENG_OPS'!$D$84:$P$84)*E41)*(1+F41))-('ENG_COST'!$G$266*(1+'IN_COST'!$D$8*E41))-('ENG_COST'!$G$268*(1+'IN_COST'!$D$9*E41))-('ENG_CAPEX'!$G$81*(1+'ENG_CAPEX'!$D$23*E41)))-MAX(0,(('ENG_OPS'!$G$81*(1+AVERAGE('ENG_OPS'!$D$84:$P$84)*E41)*(1+F41))-('ENG_COST'!$G$266*(1+'IN_COST'!$D$8*E41))-('ENG_COST'!$G$268*(1+'IN_COST'!$D$9*E41))-('ENG_CAPEX'!$G$81*(1+'ENG_CAPEX'!$D$23*E41))))*'IN_MACRO'!$D$14+('ENG_CAPEX'!$G$81*(1+'ENG_CAPEX'!$D$23*E41))-(('ENG_CAPEX'!$G$21+'ENG_CAPEX'!$G$42)*(1+'ENG_CAPEX'!$D$23*E41))-('ENG_WC'!$G$19*(1+AVERAGE('ENG_OPS'!$D$84:$P$84)*E41)*(1+F41))</f>
        <v/>
      </c>
      <c r="K41" s="36">
        <f>(('ENG_OPS'!$H$81*(1+AVERAGE('ENG_OPS'!$D$84:$P$84)*E41)*(1+F41))-('ENG_COST'!$H$266*(1+'IN_COST'!$D$8*E41))-('ENG_COST'!$H$268*(1+'IN_COST'!$D$9*E41))-('ENG_CAPEX'!$H$81*(1+'ENG_CAPEX'!$D$23*E41)))-MAX(0,(('ENG_OPS'!$H$81*(1+AVERAGE('ENG_OPS'!$D$84:$P$84)*E41)*(1+F41))-('ENG_COST'!$H$266*(1+'IN_COST'!$D$8*E41))-('ENG_COST'!$H$268*(1+'IN_COST'!$D$9*E41))-('ENG_CAPEX'!$H$81*(1+'ENG_CAPEX'!$D$23*E41))))*'IN_MACRO'!$D$14+('ENG_CAPEX'!$H$81*(1+'ENG_CAPEX'!$D$23*E41))-(('ENG_CAPEX'!$H$21+'ENG_CAPEX'!$H$42)*(1+'ENG_CAPEX'!$D$23*E41))-('ENG_WC'!$H$19*(1+AVERAGE('ENG_OPS'!$D$84:$P$84)*E41)*(1+F41))</f>
        <v/>
      </c>
      <c r="L41" s="36">
        <f>(('ENG_OPS'!$I$81*(1+AVERAGE('ENG_OPS'!$D$84:$P$84)*E41)*(1+F41))-('ENG_COST'!$I$266*(1+'IN_COST'!$D$8*E41))-('ENG_COST'!$I$268*(1+'IN_COST'!$D$9*E41))-('ENG_CAPEX'!$I$81*(1+'ENG_CAPEX'!$D$23*E41)))-MAX(0,(('ENG_OPS'!$I$81*(1+AVERAGE('ENG_OPS'!$D$84:$P$84)*E41)*(1+F41))-('ENG_COST'!$I$266*(1+'IN_COST'!$D$8*E41))-('ENG_COST'!$I$268*(1+'IN_COST'!$D$9*E41))-('ENG_CAPEX'!$I$81*(1+'ENG_CAPEX'!$D$23*E41))))*'IN_MACRO'!$D$14+('ENG_CAPEX'!$I$81*(1+'ENG_CAPEX'!$D$23*E41))-(('ENG_CAPEX'!$I$21+'ENG_CAPEX'!$I$42)*(1+'ENG_CAPEX'!$D$23*E41))-('ENG_WC'!$I$19*(1+AVERAGE('ENG_OPS'!$D$84:$P$84)*E41)*(1+F41))</f>
        <v/>
      </c>
      <c r="M41" s="36">
        <f>(('ENG_OPS'!$J$81*(1+AVERAGE('ENG_OPS'!$D$84:$P$84)*E41)*(1+F41))-('ENG_COST'!$J$266*(1+'IN_COST'!$D$8*E41))-('ENG_COST'!$J$268*(1+'IN_COST'!$D$9*E41))-('ENG_CAPEX'!$J$81*(1+'ENG_CAPEX'!$D$23*E41)))-MAX(0,(('ENG_OPS'!$J$81*(1+AVERAGE('ENG_OPS'!$D$84:$P$84)*E41)*(1+F41))-('ENG_COST'!$J$266*(1+'IN_COST'!$D$8*E41))-('ENG_COST'!$J$268*(1+'IN_COST'!$D$9*E41))-('ENG_CAPEX'!$J$81*(1+'ENG_CAPEX'!$D$23*E41))))*'IN_MACRO'!$D$14+('ENG_CAPEX'!$J$81*(1+'ENG_CAPEX'!$D$23*E41))-(('ENG_CAPEX'!$J$21+'ENG_CAPEX'!$J$42)*(1+'ENG_CAPEX'!$D$23*E41))-('ENG_WC'!$J$19*(1+AVERAGE('ENG_OPS'!$D$84:$P$84)*E41)*(1+F41))</f>
        <v/>
      </c>
      <c r="N41" s="36">
        <f>(('ENG_OPS'!$K$81*(1+AVERAGE('ENG_OPS'!$D$84:$P$84)*E41)*(1+F41))-('ENG_COST'!$K$266*(1+'IN_COST'!$D$8*E41))-('ENG_COST'!$K$268*(1+'IN_COST'!$D$9*E41))-('ENG_CAPEX'!$K$81*(1+'ENG_CAPEX'!$D$23*E41)))-MAX(0,(('ENG_OPS'!$K$81*(1+AVERAGE('ENG_OPS'!$D$84:$P$84)*E41)*(1+F41))-('ENG_COST'!$K$266*(1+'IN_COST'!$D$8*E41))-('ENG_COST'!$K$268*(1+'IN_COST'!$D$9*E41))-('ENG_CAPEX'!$K$81*(1+'ENG_CAPEX'!$D$23*E41))))*'IN_MACRO'!$D$14+('ENG_CAPEX'!$K$81*(1+'ENG_CAPEX'!$D$23*E41))-(('ENG_CAPEX'!$K$21+'ENG_CAPEX'!$K$42)*(1+'ENG_CAPEX'!$D$23*E41))-('ENG_WC'!$K$19*(1+AVERAGE('ENG_OPS'!$D$84:$P$84)*E41)*(1+F41))</f>
        <v/>
      </c>
      <c r="O41" s="36">
        <f>(('ENG_OPS'!$L$81*(1+AVERAGE('ENG_OPS'!$D$84:$P$84)*E41)*(1+F41))-('ENG_COST'!$L$266*(1+'IN_COST'!$D$8*E41))-('ENG_COST'!$L$268*(1+'IN_COST'!$D$9*E41))-('ENG_CAPEX'!$L$81*(1+'ENG_CAPEX'!$D$23*E41)))-MAX(0,(('ENG_OPS'!$L$81*(1+AVERAGE('ENG_OPS'!$D$84:$P$84)*E41)*(1+F41))-('ENG_COST'!$L$266*(1+'IN_COST'!$D$8*E41))-('ENG_COST'!$L$268*(1+'IN_COST'!$D$9*E41))-('ENG_CAPEX'!$L$81*(1+'ENG_CAPEX'!$D$23*E41))))*'IN_MACRO'!$D$14+('ENG_CAPEX'!$L$81*(1+'ENG_CAPEX'!$D$23*E41))-(('ENG_CAPEX'!$L$21+'ENG_CAPEX'!$L$42)*(1+'ENG_CAPEX'!$D$23*E41))-('ENG_WC'!$L$19*(1+AVERAGE('ENG_OPS'!$D$84:$P$84)*E41)*(1+F41))</f>
        <v/>
      </c>
      <c r="P41" s="36">
        <f>(('ENG_OPS'!$M$81*(1+AVERAGE('ENG_OPS'!$D$84:$P$84)*E41)*(1+F41))-('ENG_COST'!$M$266*(1+'IN_COST'!$D$8*E41))-('ENG_COST'!$M$268*(1+'IN_COST'!$D$9*E41))-('ENG_CAPEX'!$M$81*(1+'ENG_CAPEX'!$D$23*E41)))-MAX(0,(('ENG_OPS'!$M$81*(1+AVERAGE('ENG_OPS'!$D$84:$P$84)*E41)*(1+F41))-('ENG_COST'!$M$266*(1+'IN_COST'!$D$8*E41))-('ENG_COST'!$M$268*(1+'IN_COST'!$D$9*E41))-('ENG_CAPEX'!$M$81*(1+'ENG_CAPEX'!$D$23*E41))))*'IN_MACRO'!$D$14+('ENG_CAPEX'!$M$81*(1+'ENG_CAPEX'!$D$23*E41))-(('ENG_CAPEX'!$M$21+'ENG_CAPEX'!$M$42)*(1+'ENG_CAPEX'!$D$23*E41))-('ENG_WC'!$M$19*(1+AVERAGE('ENG_OPS'!$D$84:$P$84)*E41)*(1+F41))</f>
        <v/>
      </c>
      <c r="Q41" s="36">
        <f>(('ENG_OPS'!$N$81*(1+AVERAGE('ENG_OPS'!$D$84:$P$84)*E41)*(1+F41))-('ENG_COST'!$N$266*(1+'IN_COST'!$D$8*E41))-('ENG_COST'!$N$268*(1+'IN_COST'!$D$9*E41))-('ENG_CAPEX'!$N$81*(1+'ENG_CAPEX'!$D$23*E41)))-MAX(0,(('ENG_OPS'!$N$81*(1+AVERAGE('ENG_OPS'!$D$84:$P$84)*E41)*(1+F41))-('ENG_COST'!$N$266*(1+'IN_COST'!$D$8*E41))-('ENG_COST'!$N$268*(1+'IN_COST'!$D$9*E41))-('ENG_CAPEX'!$N$81*(1+'ENG_CAPEX'!$D$23*E41))))*'IN_MACRO'!$D$14+('ENG_CAPEX'!$N$81*(1+'ENG_CAPEX'!$D$23*E41))-(('ENG_CAPEX'!$N$21+'ENG_CAPEX'!$N$42)*(1+'ENG_CAPEX'!$D$23*E41))-('ENG_WC'!$N$19*(1+AVERAGE('ENG_OPS'!$D$84:$P$84)*E41)*(1+F41))</f>
        <v/>
      </c>
      <c r="R41" s="36">
        <f>(('ENG_OPS'!$O$81*(1+AVERAGE('ENG_OPS'!$D$84:$P$84)*E41)*(1+F41))-('ENG_COST'!$O$266*(1+'IN_COST'!$D$8*E41))-('ENG_COST'!$O$268*(1+'IN_COST'!$D$9*E41))-('ENG_CAPEX'!$O$81*(1+'ENG_CAPEX'!$D$23*E41)))-MAX(0,(('ENG_OPS'!$O$81*(1+AVERAGE('ENG_OPS'!$D$84:$P$84)*E41)*(1+F41))-('ENG_COST'!$O$266*(1+'IN_COST'!$D$8*E41))-('ENG_COST'!$O$268*(1+'IN_COST'!$D$9*E41))-('ENG_CAPEX'!$O$81*(1+'ENG_CAPEX'!$D$23*E41))))*'IN_MACRO'!$D$14+('ENG_CAPEX'!$O$81*(1+'ENG_CAPEX'!$D$23*E41))-(('ENG_CAPEX'!$O$21+'ENG_CAPEX'!$O$42)*(1+'ENG_CAPEX'!$D$23*E41))-('ENG_WC'!$O$19*(1+AVERAGE('ENG_OPS'!$D$84:$P$84)*E41)*(1+F41))</f>
        <v/>
      </c>
      <c r="S41" s="36">
        <f>(('ENG_OPS'!$P$81*(1+AVERAGE('ENG_OPS'!$D$84:$P$84)*E41)*(1+F41))-('ENG_COST'!$P$266*(1+'IN_COST'!$D$8*E41))-('ENG_COST'!$P$268*(1+'IN_COST'!$D$9*E41))-('ENG_CAPEX'!$P$81*(1+'ENG_CAPEX'!$D$23*E41)))-MAX(0,(('ENG_OPS'!$P$81*(1+AVERAGE('ENG_OPS'!$D$84:$P$84)*E41)*(1+F41))-('ENG_COST'!$P$266*(1+'IN_COST'!$D$8*E41))-('ENG_COST'!$P$268*(1+'IN_COST'!$D$9*E41))-('ENG_CAPEX'!$P$81*(1+'ENG_CAPEX'!$D$23*E41))))*'IN_MACRO'!$D$14+('ENG_CAPEX'!$P$81*(1+'ENG_CAPEX'!$D$23*E41))-(('ENG_CAPEX'!$P$21+'ENG_CAPEX'!$P$42)*(1+'ENG_CAPEX'!$D$23*E41))-('ENG_WC'!$P$19*(1+AVERAGE('ENG_OPS'!$D$84:$P$84)*E41)*(1+F41))</f>
        <v/>
      </c>
      <c r="T41" s="30">
        <f>1</f>
        <v/>
      </c>
      <c r="U41" s="30">
        <f>T41/(1+'ENG_DCF'!$E$14+D41)</f>
        <v/>
      </c>
      <c r="V41" s="30">
        <f>U41/(1+'ENG_DCF'!$F$14+D41)</f>
        <v/>
      </c>
      <c r="W41" s="30">
        <f>V41/(1+'ENG_DCF'!$G$14+D41)</f>
        <v/>
      </c>
      <c r="X41" s="30">
        <f>W41/(1+'ENG_DCF'!$H$14+D41)</f>
        <v/>
      </c>
      <c r="Y41" s="30">
        <f>X41/(1+'ENG_DCF'!$I$14+D41)</f>
        <v/>
      </c>
      <c r="Z41" s="30">
        <f>Y41/(1+'ENG_DCF'!$J$14+D41)</f>
        <v/>
      </c>
      <c r="AA41" s="30">
        <f>Z41/(1+'ENG_DCF'!$K$14+D41)</f>
        <v/>
      </c>
      <c r="AB41" s="30">
        <f>AA41/(1+'ENG_DCF'!$L$14+D41)</f>
        <v/>
      </c>
      <c r="AC41" s="30">
        <f>AB41/(1+'ENG_DCF'!$M$14+D41)</f>
        <v/>
      </c>
      <c r="AD41" s="30">
        <f>AC41/(1+'ENG_DCF'!$N$14+D41)</f>
        <v/>
      </c>
      <c r="AE41" s="30">
        <f>AD41/(1+'ENG_DCF'!$O$14+D41)</f>
        <v/>
      </c>
      <c r="AF41" s="30">
        <f>AE41/(1+'ENG_DCF'!$P$14+D41)</f>
        <v/>
      </c>
      <c r="AG41" s="36">
        <f>(G41*T41+H41*U41+I41*V41+J41*W41+K41*X41+L41*Y41+M41*Z41+N41*AA41+O41*AB41+P41*AC41+Q41*AD41+R41*AE41+S41*AF41)+(IF('IN_MACRO'!$D$19=1,MAX(0,(S41+(('ENG_CAPEX'!$P$21+'ENG_CAPEX'!$P$42)*(1+'ENG_CAPEX'!$D$23*E41))))*(1+'IN_MACRO'!$D$18)/MAX(0.005,'ENG_DCF'!$P$14+D41-'IN_MACRO'!$D$18),(('ENG_OPS'!$P$81*(1+AVERAGE('ENG_OPS'!$D$84:$P$84)*E41)*(1+F41))-('ENG_COST'!$P$266*(1+'IN_COST'!$D$8*E41))-('ENG_COST'!$P$268*(1+'IN_COST'!$D$9*E41)))*'IN_MACRO'!$D$20))*AF41</f>
        <v/>
      </c>
    </row>
    <row r="42">
      <c r="A42" t="inlineStr">
        <is>
          <t>FX|3|3</t>
        </is>
      </c>
      <c r="D42" s="38">
        <f>'IN_SCEN'!$G$24</f>
        <v/>
      </c>
      <c r="E42" s="38">
        <f>'IN_SCEN'!$G$25</f>
        <v/>
      </c>
      <c r="F42" s="38">
        <f>0</f>
        <v/>
      </c>
      <c r="G42" s="36">
        <f>(('ENG_OPS'!$D$81*(1+AVERAGE('ENG_OPS'!$D$84:$P$84)*E42)*(1+F42))-('ENG_COST'!$D$266*(1+'IN_COST'!$D$8*E42))-('ENG_COST'!$D$268*(1+'IN_COST'!$D$9*E42))-('ENG_CAPEX'!$D$81*(1+'ENG_CAPEX'!$D$23*E42)))-MAX(0,(('ENG_OPS'!$D$81*(1+AVERAGE('ENG_OPS'!$D$84:$P$84)*E42)*(1+F42))-('ENG_COST'!$D$266*(1+'IN_COST'!$D$8*E42))-('ENG_COST'!$D$268*(1+'IN_COST'!$D$9*E42))-('ENG_CAPEX'!$D$81*(1+'ENG_CAPEX'!$D$23*E42))))*'IN_MACRO'!$D$14+('ENG_CAPEX'!$D$81*(1+'ENG_CAPEX'!$D$23*E42))-(('ENG_CAPEX'!$D$21+'ENG_CAPEX'!$D$42)*(1+'ENG_CAPEX'!$D$23*E42))-('ENG_WC'!$D$19*(1+AVERAGE('ENG_OPS'!$D$84:$P$84)*E42)*(1+F42))</f>
        <v/>
      </c>
      <c r="H42" s="36">
        <f>(('ENG_OPS'!$E$81*(1+AVERAGE('ENG_OPS'!$D$84:$P$84)*E42)*(1+F42))-('ENG_COST'!$E$266*(1+'IN_COST'!$D$8*E42))-('ENG_COST'!$E$268*(1+'IN_COST'!$D$9*E42))-('ENG_CAPEX'!$E$81*(1+'ENG_CAPEX'!$D$23*E42)))-MAX(0,(('ENG_OPS'!$E$81*(1+AVERAGE('ENG_OPS'!$D$84:$P$84)*E42)*(1+F42))-('ENG_COST'!$E$266*(1+'IN_COST'!$D$8*E42))-('ENG_COST'!$E$268*(1+'IN_COST'!$D$9*E42))-('ENG_CAPEX'!$E$81*(1+'ENG_CAPEX'!$D$23*E42))))*'IN_MACRO'!$D$14+('ENG_CAPEX'!$E$81*(1+'ENG_CAPEX'!$D$23*E42))-(('ENG_CAPEX'!$E$21+'ENG_CAPEX'!$E$42)*(1+'ENG_CAPEX'!$D$23*E42))-('ENG_WC'!$E$19*(1+AVERAGE('ENG_OPS'!$D$84:$P$84)*E42)*(1+F42))</f>
        <v/>
      </c>
      <c r="I42" s="36">
        <f>(('ENG_OPS'!$F$81*(1+AVERAGE('ENG_OPS'!$D$84:$P$84)*E42)*(1+F42))-('ENG_COST'!$F$266*(1+'IN_COST'!$D$8*E42))-('ENG_COST'!$F$268*(1+'IN_COST'!$D$9*E42))-('ENG_CAPEX'!$F$81*(1+'ENG_CAPEX'!$D$23*E42)))-MAX(0,(('ENG_OPS'!$F$81*(1+AVERAGE('ENG_OPS'!$D$84:$P$84)*E42)*(1+F42))-('ENG_COST'!$F$266*(1+'IN_COST'!$D$8*E42))-('ENG_COST'!$F$268*(1+'IN_COST'!$D$9*E42))-('ENG_CAPEX'!$F$81*(1+'ENG_CAPEX'!$D$23*E42))))*'IN_MACRO'!$D$14+('ENG_CAPEX'!$F$81*(1+'ENG_CAPEX'!$D$23*E42))-(('ENG_CAPEX'!$F$21+'ENG_CAPEX'!$F$42)*(1+'ENG_CAPEX'!$D$23*E42))-('ENG_WC'!$F$19*(1+AVERAGE('ENG_OPS'!$D$84:$P$84)*E42)*(1+F42))</f>
        <v/>
      </c>
      <c r="J42" s="36">
        <f>(('ENG_OPS'!$G$81*(1+AVERAGE('ENG_OPS'!$D$84:$P$84)*E42)*(1+F42))-('ENG_COST'!$G$266*(1+'IN_COST'!$D$8*E42))-('ENG_COST'!$G$268*(1+'IN_COST'!$D$9*E42))-('ENG_CAPEX'!$G$81*(1+'ENG_CAPEX'!$D$23*E42)))-MAX(0,(('ENG_OPS'!$G$81*(1+AVERAGE('ENG_OPS'!$D$84:$P$84)*E42)*(1+F42))-('ENG_COST'!$G$266*(1+'IN_COST'!$D$8*E42))-('ENG_COST'!$G$268*(1+'IN_COST'!$D$9*E42))-('ENG_CAPEX'!$G$81*(1+'ENG_CAPEX'!$D$23*E42))))*'IN_MACRO'!$D$14+('ENG_CAPEX'!$G$81*(1+'ENG_CAPEX'!$D$23*E42))-(('ENG_CAPEX'!$G$21+'ENG_CAPEX'!$G$42)*(1+'ENG_CAPEX'!$D$23*E42))-('ENG_WC'!$G$19*(1+AVERAGE('ENG_OPS'!$D$84:$P$84)*E42)*(1+F42))</f>
        <v/>
      </c>
      <c r="K42" s="36">
        <f>(('ENG_OPS'!$H$81*(1+AVERAGE('ENG_OPS'!$D$84:$P$84)*E42)*(1+F42))-('ENG_COST'!$H$266*(1+'IN_COST'!$D$8*E42))-('ENG_COST'!$H$268*(1+'IN_COST'!$D$9*E42))-('ENG_CAPEX'!$H$81*(1+'ENG_CAPEX'!$D$23*E42)))-MAX(0,(('ENG_OPS'!$H$81*(1+AVERAGE('ENG_OPS'!$D$84:$P$84)*E42)*(1+F42))-('ENG_COST'!$H$266*(1+'IN_COST'!$D$8*E42))-('ENG_COST'!$H$268*(1+'IN_COST'!$D$9*E42))-('ENG_CAPEX'!$H$81*(1+'ENG_CAPEX'!$D$23*E42))))*'IN_MACRO'!$D$14+('ENG_CAPEX'!$H$81*(1+'ENG_CAPEX'!$D$23*E42))-(('ENG_CAPEX'!$H$21+'ENG_CAPEX'!$H$42)*(1+'ENG_CAPEX'!$D$23*E42))-('ENG_WC'!$H$19*(1+AVERAGE('ENG_OPS'!$D$84:$P$84)*E42)*(1+F42))</f>
        <v/>
      </c>
      <c r="L42" s="36">
        <f>(('ENG_OPS'!$I$81*(1+AVERAGE('ENG_OPS'!$D$84:$P$84)*E42)*(1+F42))-('ENG_COST'!$I$266*(1+'IN_COST'!$D$8*E42))-('ENG_COST'!$I$268*(1+'IN_COST'!$D$9*E42))-('ENG_CAPEX'!$I$81*(1+'ENG_CAPEX'!$D$23*E42)))-MAX(0,(('ENG_OPS'!$I$81*(1+AVERAGE('ENG_OPS'!$D$84:$P$84)*E42)*(1+F42))-('ENG_COST'!$I$266*(1+'IN_COST'!$D$8*E42))-('ENG_COST'!$I$268*(1+'IN_COST'!$D$9*E42))-('ENG_CAPEX'!$I$81*(1+'ENG_CAPEX'!$D$23*E42))))*'IN_MACRO'!$D$14+('ENG_CAPEX'!$I$81*(1+'ENG_CAPEX'!$D$23*E42))-(('ENG_CAPEX'!$I$21+'ENG_CAPEX'!$I$42)*(1+'ENG_CAPEX'!$D$23*E42))-('ENG_WC'!$I$19*(1+AVERAGE('ENG_OPS'!$D$84:$P$84)*E42)*(1+F42))</f>
        <v/>
      </c>
      <c r="M42" s="36">
        <f>(('ENG_OPS'!$J$81*(1+AVERAGE('ENG_OPS'!$D$84:$P$84)*E42)*(1+F42))-('ENG_COST'!$J$266*(1+'IN_COST'!$D$8*E42))-('ENG_COST'!$J$268*(1+'IN_COST'!$D$9*E42))-('ENG_CAPEX'!$J$81*(1+'ENG_CAPEX'!$D$23*E42)))-MAX(0,(('ENG_OPS'!$J$81*(1+AVERAGE('ENG_OPS'!$D$84:$P$84)*E42)*(1+F42))-('ENG_COST'!$J$266*(1+'IN_COST'!$D$8*E42))-('ENG_COST'!$J$268*(1+'IN_COST'!$D$9*E42))-('ENG_CAPEX'!$J$81*(1+'ENG_CAPEX'!$D$23*E42))))*'IN_MACRO'!$D$14+('ENG_CAPEX'!$J$81*(1+'ENG_CAPEX'!$D$23*E42))-(('ENG_CAPEX'!$J$21+'ENG_CAPEX'!$J$42)*(1+'ENG_CAPEX'!$D$23*E42))-('ENG_WC'!$J$19*(1+AVERAGE('ENG_OPS'!$D$84:$P$84)*E42)*(1+F42))</f>
        <v/>
      </c>
      <c r="N42" s="36">
        <f>(('ENG_OPS'!$K$81*(1+AVERAGE('ENG_OPS'!$D$84:$P$84)*E42)*(1+F42))-('ENG_COST'!$K$266*(1+'IN_COST'!$D$8*E42))-('ENG_COST'!$K$268*(1+'IN_COST'!$D$9*E42))-('ENG_CAPEX'!$K$81*(1+'ENG_CAPEX'!$D$23*E42)))-MAX(0,(('ENG_OPS'!$K$81*(1+AVERAGE('ENG_OPS'!$D$84:$P$84)*E42)*(1+F42))-('ENG_COST'!$K$266*(1+'IN_COST'!$D$8*E42))-('ENG_COST'!$K$268*(1+'IN_COST'!$D$9*E42))-('ENG_CAPEX'!$K$81*(1+'ENG_CAPEX'!$D$23*E42))))*'IN_MACRO'!$D$14+('ENG_CAPEX'!$K$81*(1+'ENG_CAPEX'!$D$23*E42))-(('ENG_CAPEX'!$K$21+'ENG_CAPEX'!$K$42)*(1+'ENG_CAPEX'!$D$23*E42))-('ENG_WC'!$K$19*(1+AVERAGE('ENG_OPS'!$D$84:$P$84)*E42)*(1+F42))</f>
        <v/>
      </c>
      <c r="O42" s="36">
        <f>(('ENG_OPS'!$L$81*(1+AVERAGE('ENG_OPS'!$D$84:$P$84)*E42)*(1+F42))-('ENG_COST'!$L$266*(1+'IN_COST'!$D$8*E42))-('ENG_COST'!$L$268*(1+'IN_COST'!$D$9*E42))-('ENG_CAPEX'!$L$81*(1+'ENG_CAPEX'!$D$23*E42)))-MAX(0,(('ENG_OPS'!$L$81*(1+AVERAGE('ENG_OPS'!$D$84:$P$84)*E42)*(1+F42))-('ENG_COST'!$L$266*(1+'IN_COST'!$D$8*E42))-('ENG_COST'!$L$268*(1+'IN_COST'!$D$9*E42))-('ENG_CAPEX'!$L$81*(1+'ENG_CAPEX'!$D$23*E42))))*'IN_MACRO'!$D$14+('ENG_CAPEX'!$L$81*(1+'ENG_CAPEX'!$D$23*E42))-(('ENG_CAPEX'!$L$21+'ENG_CAPEX'!$L$42)*(1+'ENG_CAPEX'!$D$23*E42))-('ENG_WC'!$L$19*(1+AVERAGE('ENG_OPS'!$D$84:$P$84)*E42)*(1+F42))</f>
        <v/>
      </c>
      <c r="P42" s="36">
        <f>(('ENG_OPS'!$M$81*(1+AVERAGE('ENG_OPS'!$D$84:$P$84)*E42)*(1+F42))-('ENG_COST'!$M$266*(1+'IN_COST'!$D$8*E42))-('ENG_COST'!$M$268*(1+'IN_COST'!$D$9*E42))-('ENG_CAPEX'!$M$81*(1+'ENG_CAPEX'!$D$23*E42)))-MAX(0,(('ENG_OPS'!$M$81*(1+AVERAGE('ENG_OPS'!$D$84:$P$84)*E42)*(1+F42))-('ENG_COST'!$M$266*(1+'IN_COST'!$D$8*E42))-('ENG_COST'!$M$268*(1+'IN_COST'!$D$9*E42))-('ENG_CAPEX'!$M$81*(1+'ENG_CAPEX'!$D$23*E42))))*'IN_MACRO'!$D$14+('ENG_CAPEX'!$M$81*(1+'ENG_CAPEX'!$D$23*E42))-(('ENG_CAPEX'!$M$21+'ENG_CAPEX'!$M$42)*(1+'ENG_CAPEX'!$D$23*E42))-('ENG_WC'!$M$19*(1+AVERAGE('ENG_OPS'!$D$84:$P$84)*E42)*(1+F42))</f>
        <v/>
      </c>
      <c r="Q42" s="36">
        <f>(('ENG_OPS'!$N$81*(1+AVERAGE('ENG_OPS'!$D$84:$P$84)*E42)*(1+F42))-('ENG_COST'!$N$266*(1+'IN_COST'!$D$8*E42))-('ENG_COST'!$N$268*(1+'IN_COST'!$D$9*E42))-('ENG_CAPEX'!$N$81*(1+'ENG_CAPEX'!$D$23*E42)))-MAX(0,(('ENG_OPS'!$N$81*(1+AVERAGE('ENG_OPS'!$D$84:$P$84)*E42)*(1+F42))-('ENG_COST'!$N$266*(1+'IN_COST'!$D$8*E42))-('ENG_COST'!$N$268*(1+'IN_COST'!$D$9*E42))-('ENG_CAPEX'!$N$81*(1+'ENG_CAPEX'!$D$23*E42))))*'IN_MACRO'!$D$14+('ENG_CAPEX'!$N$81*(1+'ENG_CAPEX'!$D$23*E42))-(('ENG_CAPEX'!$N$21+'ENG_CAPEX'!$N$42)*(1+'ENG_CAPEX'!$D$23*E42))-('ENG_WC'!$N$19*(1+AVERAGE('ENG_OPS'!$D$84:$P$84)*E42)*(1+F42))</f>
        <v/>
      </c>
      <c r="R42" s="36">
        <f>(('ENG_OPS'!$O$81*(1+AVERAGE('ENG_OPS'!$D$84:$P$84)*E42)*(1+F42))-('ENG_COST'!$O$266*(1+'IN_COST'!$D$8*E42))-('ENG_COST'!$O$268*(1+'IN_COST'!$D$9*E42))-('ENG_CAPEX'!$O$81*(1+'ENG_CAPEX'!$D$23*E42)))-MAX(0,(('ENG_OPS'!$O$81*(1+AVERAGE('ENG_OPS'!$D$84:$P$84)*E42)*(1+F42))-('ENG_COST'!$O$266*(1+'IN_COST'!$D$8*E42))-('ENG_COST'!$O$268*(1+'IN_COST'!$D$9*E42))-('ENG_CAPEX'!$O$81*(1+'ENG_CAPEX'!$D$23*E42))))*'IN_MACRO'!$D$14+('ENG_CAPEX'!$O$81*(1+'ENG_CAPEX'!$D$23*E42))-(('ENG_CAPEX'!$O$21+'ENG_CAPEX'!$O$42)*(1+'ENG_CAPEX'!$D$23*E42))-('ENG_WC'!$O$19*(1+AVERAGE('ENG_OPS'!$D$84:$P$84)*E42)*(1+F42))</f>
        <v/>
      </c>
      <c r="S42" s="36">
        <f>(('ENG_OPS'!$P$81*(1+AVERAGE('ENG_OPS'!$D$84:$P$84)*E42)*(1+F42))-('ENG_COST'!$P$266*(1+'IN_COST'!$D$8*E42))-('ENG_COST'!$P$268*(1+'IN_COST'!$D$9*E42))-('ENG_CAPEX'!$P$81*(1+'ENG_CAPEX'!$D$23*E42)))-MAX(0,(('ENG_OPS'!$P$81*(1+AVERAGE('ENG_OPS'!$D$84:$P$84)*E42)*(1+F42))-('ENG_COST'!$P$266*(1+'IN_COST'!$D$8*E42))-('ENG_COST'!$P$268*(1+'IN_COST'!$D$9*E42))-('ENG_CAPEX'!$P$81*(1+'ENG_CAPEX'!$D$23*E42))))*'IN_MACRO'!$D$14+('ENG_CAPEX'!$P$81*(1+'ENG_CAPEX'!$D$23*E42))-(('ENG_CAPEX'!$P$21+'ENG_CAPEX'!$P$42)*(1+'ENG_CAPEX'!$D$23*E42))-('ENG_WC'!$P$19*(1+AVERAGE('ENG_OPS'!$D$84:$P$84)*E42)*(1+F42))</f>
        <v/>
      </c>
      <c r="T42" s="30">
        <f>1</f>
        <v/>
      </c>
      <c r="U42" s="30">
        <f>T42/(1+'ENG_DCF'!$E$14+D42)</f>
        <v/>
      </c>
      <c r="V42" s="30">
        <f>U42/(1+'ENG_DCF'!$F$14+D42)</f>
        <v/>
      </c>
      <c r="W42" s="30">
        <f>V42/(1+'ENG_DCF'!$G$14+D42)</f>
        <v/>
      </c>
      <c r="X42" s="30">
        <f>W42/(1+'ENG_DCF'!$H$14+D42)</f>
        <v/>
      </c>
      <c r="Y42" s="30">
        <f>X42/(1+'ENG_DCF'!$I$14+D42)</f>
        <v/>
      </c>
      <c r="Z42" s="30">
        <f>Y42/(1+'ENG_DCF'!$J$14+D42)</f>
        <v/>
      </c>
      <c r="AA42" s="30">
        <f>Z42/(1+'ENG_DCF'!$K$14+D42)</f>
        <v/>
      </c>
      <c r="AB42" s="30">
        <f>AA42/(1+'ENG_DCF'!$L$14+D42)</f>
        <v/>
      </c>
      <c r="AC42" s="30">
        <f>AB42/(1+'ENG_DCF'!$M$14+D42)</f>
        <v/>
      </c>
      <c r="AD42" s="30">
        <f>AC42/(1+'ENG_DCF'!$N$14+D42)</f>
        <v/>
      </c>
      <c r="AE42" s="30">
        <f>AD42/(1+'ENG_DCF'!$O$14+D42)</f>
        <v/>
      </c>
      <c r="AF42" s="30">
        <f>AE42/(1+'ENG_DCF'!$P$14+D42)</f>
        <v/>
      </c>
      <c r="AG42" s="36">
        <f>(G42*T42+H42*U42+I42*V42+J42*W42+K42*X42+L42*Y42+M42*Z42+N42*AA42+O42*AB42+P42*AC42+Q42*AD42+R42*AE42+S42*AF42)+(IF('IN_MACRO'!$D$19=1,MAX(0,(S42+(('ENG_CAPEX'!$P$21+'ENG_CAPEX'!$P$42)*(1+'ENG_CAPEX'!$D$23*E42))))*(1+'IN_MACRO'!$D$18)/MAX(0.005,'ENG_DCF'!$P$14+D42-'IN_MACRO'!$D$18),(('ENG_OPS'!$P$81*(1+AVERAGE('ENG_OPS'!$D$84:$P$84)*E42)*(1+F42))-('ENG_COST'!$P$266*(1+'IN_COST'!$D$8*E42))-('ENG_COST'!$P$268*(1+'IN_COST'!$D$9*E42)))*'IN_MACRO'!$D$20))*AF42</f>
        <v/>
      </c>
    </row>
    <row r="43">
      <c r="A43" t="inlineStr">
        <is>
          <t>PR|3|3</t>
        </is>
      </c>
      <c r="D43" s="38">
        <f>'IN_SCEN'!$G$24</f>
        <v/>
      </c>
      <c r="E43" s="38">
        <f>0</f>
        <v/>
      </c>
      <c r="F43" s="38">
        <f>'IN_SCEN'!$G$26</f>
        <v/>
      </c>
      <c r="G43" s="36">
        <f>(('ENG_OPS'!$D$81*(1+AVERAGE('ENG_OPS'!$D$84:$P$84)*E43)*(1+F43))-('ENG_COST'!$D$266*(1+'IN_COST'!$D$8*E43))-('ENG_COST'!$D$268*(1+'IN_COST'!$D$9*E43))-('ENG_CAPEX'!$D$81*(1+'ENG_CAPEX'!$D$23*E43)))-MAX(0,(('ENG_OPS'!$D$81*(1+AVERAGE('ENG_OPS'!$D$84:$P$84)*E43)*(1+F43))-('ENG_COST'!$D$266*(1+'IN_COST'!$D$8*E43))-('ENG_COST'!$D$268*(1+'IN_COST'!$D$9*E43))-('ENG_CAPEX'!$D$81*(1+'ENG_CAPEX'!$D$23*E43))))*'IN_MACRO'!$D$14+('ENG_CAPEX'!$D$81*(1+'ENG_CAPEX'!$D$23*E43))-(('ENG_CAPEX'!$D$21+'ENG_CAPEX'!$D$42)*(1+'ENG_CAPEX'!$D$23*E43))-('ENG_WC'!$D$19*(1+AVERAGE('ENG_OPS'!$D$84:$P$84)*E43)*(1+F43))</f>
        <v/>
      </c>
      <c r="H43" s="36">
        <f>(('ENG_OPS'!$E$81*(1+AVERAGE('ENG_OPS'!$D$84:$P$84)*E43)*(1+F43))-('ENG_COST'!$E$266*(1+'IN_COST'!$D$8*E43))-('ENG_COST'!$E$268*(1+'IN_COST'!$D$9*E43))-('ENG_CAPEX'!$E$81*(1+'ENG_CAPEX'!$D$23*E43)))-MAX(0,(('ENG_OPS'!$E$81*(1+AVERAGE('ENG_OPS'!$D$84:$P$84)*E43)*(1+F43))-('ENG_COST'!$E$266*(1+'IN_COST'!$D$8*E43))-('ENG_COST'!$E$268*(1+'IN_COST'!$D$9*E43))-('ENG_CAPEX'!$E$81*(1+'ENG_CAPEX'!$D$23*E43))))*'IN_MACRO'!$D$14+('ENG_CAPEX'!$E$81*(1+'ENG_CAPEX'!$D$23*E43))-(('ENG_CAPEX'!$E$21+'ENG_CAPEX'!$E$42)*(1+'ENG_CAPEX'!$D$23*E43))-('ENG_WC'!$E$19*(1+AVERAGE('ENG_OPS'!$D$84:$P$84)*E43)*(1+F43))</f>
        <v/>
      </c>
      <c r="I43" s="36">
        <f>(('ENG_OPS'!$F$81*(1+AVERAGE('ENG_OPS'!$D$84:$P$84)*E43)*(1+F43))-('ENG_COST'!$F$266*(1+'IN_COST'!$D$8*E43))-('ENG_COST'!$F$268*(1+'IN_COST'!$D$9*E43))-('ENG_CAPEX'!$F$81*(1+'ENG_CAPEX'!$D$23*E43)))-MAX(0,(('ENG_OPS'!$F$81*(1+AVERAGE('ENG_OPS'!$D$84:$P$84)*E43)*(1+F43))-('ENG_COST'!$F$266*(1+'IN_COST'!$D$8*E43))-('ENG_COST'!$F$268*(1+'IN_COST'!$D$9*E43))-('ENG_CAPEX'!$F$81*(1+'ENG_CAPEX'!$D$23*E43))))*'IN_MACRO'!$D$14+('ENG_CAPEX'!$F$81*(1+'ENG_CAPEX'!$D$23*E43))-(('ENG_CAPEX'!$F$21+'ENG_CAPEX'!$F$42)*(1+'ENG_CAPEX'!$D$23*E43))-('ENG_WC'!$F$19*(1+AVERAGE('ENG_OPS'!$D$84:$P$84)*E43)*(1+F43))</f>
        <v/>
      </c>
      <c r="J43" s="36">
        <f>(('ENG_OPS'!$G$81*(1+AVERAGE('ENG_OPS'!$D$84:$P$84)*E43)*(1+F43))-('ENG_COST'!$G$266*(1+'IN_COST'!$D$8*E43))-('ENG_COST'!$G$268*(1+'IN_COST'!$D$9*E43))-('ENG_CAPEX'!$G$81*(1+'ENG_CAPEX'!$D$23*E43)))-MAX(0,(('ENG_OPS'!$G$81*(1+AVERAGE('ENG_OPS'!$D$84:$P$84)*E43)*(1+F43))-('ENG_COST'!$G$266*(1+'IN_COST'!$D$8*E43))-('ENG_COST'!$G$268*(1+'IN_COST'!$D$9*E43))-('ENG_CAPEX'!$G$81*(1+'ENG_CAPEX'!$D$23*E43))))*'IN_MACRO'!$D$14+('ENG_CAPEX'!$G$81*(1+'ENG_CAPEX'!$D$23*E43))-(('ENG_CAPEX'!$G$21+'ENG_CAPEX'!$G$42)*(1+'ENG_CAPEX'!$D$23*E43))-('ENG_WC'!$G$19*(1+AVERAGE('ENG_OPS'!$D$84:$P$84)*E43)*(1+F43))</f>
        <v/>
      </c>
      <c r="K43" s="36">
        <f>(('ENG_OPS'!$H$81*(1+AVERAGE('ENG_OPS'!$D$84:$P$84)*E43)*(1+F43))-('ENG_COST'!$H$266*(1+'IN_COST'!$D$8*E43))-('ENG_COST'!$H$268*(1+'IN_COST'!$D$9*E43))-('ENG_CAPEX'!$H$81*(1+'ENG_CAPEX'!$D$23*E43)))-MAX(0,(('ENG_OPS'!$H$81*(1+AVERAGE('ENG_OPS'!$D$84:$P$84)*E43)*(1+F43))-('ENG_COST'!$H$266*(1+'IN_COST'!$D$8*E43))-('ENG_COST'!$H$268*(1+'IN_COST'!$D$9*E43))-('ENG_CAPEX'!$H$81*(1+'ENG_CAPEX'!$D$23*E43))))*'IN_MACRO'!$D$14+('ENG_CAPEX'!$H$81*(1+'ENG_CAPEX'!$D$23*E43))-(('ENG_CAPEX'!$H$21+'ENG_CAPEX'!$H$42)*(1+'ENG_CAPEX'!$D$23*E43))-('ENG_WC'!$H$19*(1+AVERAGE('ENG_OPS'!$D$84:$P$84)*E43)*(1+F43))</f>
        <v/>
      </c>
      <c r="L43" s="36">
        <f>(('ENG_OPS'!$I$81*(1+AVERAGE('ENG_OPS'!$D$84:$P$84)*E43)*(1+F43))-('ENG_COST'!$I$266*(1+'IN_COST'!$D$8*E43))-('ENG_COST'!$I$268*(1+'IN_COST'!$D$9*E43))-('ENG_CAPEX'!$I$81*(1+'ENG_CAPEX'!$D$23*E43)))-MAX(0,(('ENG_OPS'!$I$81*(1+AVERAGE('ENG_OPS'!$D$84:$P$84)*E43)*(1+F43))-('ENG_COST'!$I$266*(1+'IN_COST'!$D$8*E43))-('ENG_COST'!$I$268*(1+'IN_COST'!$D$9*E43))-('ENG_CAPEX'!$I$81*(1+'ENG_CAPEX'!$D$23*E43))))*'IN_MACRO'!$D$14+('ENG_CAPEX'!$I$81*(1+'ENG_CAPEX'!$D$23*E43))-(('ENG_CAPEX'!$I$21+'ENG_CAPEX'!$I$42)*(1+'ENG_CAPEX'!$D$23*E43))-('ENG_WC'!$I$19*(1+AVERAGE('ENG_OPS'!$D$84:$P$84)*E43)*(1+F43))</f>
        <v/>
      </c>
      <c r="M43" s="36">
        <f>(('ENG_OPS'!$J$81*(1+AVERAGE('ENG_OPS'!$D$84:$P$84)*E43)*(1+F43))-('ENG_COST'!$J$266*(1+'IN_COST'!$D$8*E43))-('ENG_COST'!$J$268*(1+'IN_COST'!$D$9*E43))-('ENG_CAPEX'!$J$81*(1+'ENG_CAPEX'!$D$23*E43)))-MAX(0,(('ENG_OPS'!$J$81*(1+AVERAGE('ENG_OPS'!$D$84:$P$84)*E43)*(1+F43))-('ENG_COST'!$J$266*(1+'IN_COST'!$D$8*E43))-('ENG_COST'!$J$268*(1+'IN_COST'!$D$9*E43))-('ENG_CAPEX'!$J$81*(1+'ENG_CAPEX'!$D$23*E43))))*'IN_MACRO'!$D$14+('ENG_CAPEX'!$J$81*(1+'ENG_CAPEX'!$D$23*E43))-(('ENG_CAPEX'!$J$21+'ENG_CAPEX'!$J$42)*(1+'ENG_CAPEX'!$D$23*E43))-('ENG_WC'!$J$19*(1+AVERAGE('ENG_OPS'!$D$84:$P$84)*E43)*(1+F43))</f>
        <v/>
      </c>
      <c r="N43" s="36">
        <f>(('ENG_OPS'!$K$81*(1+AVERAGE('ENG_OPS'!$D$84:$P$84)*E43)*(1+F43))-('ENG_COST'!$K$266*(1+'IN_COST'!$D$8*E43))-('ENG_COST'!$K$268*(1+'IN_COST'!$D$9*E43))-('ENG_CAPEX'!$K$81*(1+'ENG_CAPEX'!$D$23*E43)))-MAX(0,(('ENG_OPS'!$K$81*(1+AVERAGE('ENG_OPS'!$D$84:$P$84)*E43)*(1+F43))-('ENG_COST'!$K$266*(1+'IN_COST'!$D$8*E43))-('ENG_COST'!$K$268*(1+'IN_COST'!$D$9*E43))-('ENG_CAPEX'!$K$81*(1+'ENG_CAPEX'!$D$23*E43))))*'IN_MACRO'!$D$14+('ENG_CAPEX'!$K$81*(1+'ENG_CAPEX'!$D$23*E43))-(('ENG_CAPEX'!$K$21+'ENG_CAPEX'!$K$42)*(1+'ENG_CAPEX'!$D$23*E43))-('ENG_WC'!$K$19*(1+AVERAGE('ENG_OPS'!$D$84:$P$84)*E43)*(1+F43))</f>
        <v/>
      </c>
      <c r="O43" s="36">
        <f>(('ENG_OPS'!$L$81*(1+AVERAGE('ENG_OPS'!$D$84:$P$84)*E43)*(1+F43))-('ENG_COST'!$L$266*(1+'IN_COST'!$D$8*E43))-('ENG_COST'!$L$268*(1+'IN_COST'!$D$9*E43))-('ENG_CAPEX'!$L$81*(1+'ENG_CAPEX'!$D$23*E43)))-MAX(0,(('ENG_OPS'!$L$81*(1+AVERAGE('ENG_OPS'!$D$84:$P$84)*E43)*(1+F43))-('ENG_COST'!$L$266*(1+'IN_COST'!$D$8*E43))-('ENG_COST'!$L$268*(1+'IN_COST'!$D$9*E43))-('ENG_CAPEX'!$L$81*(1+'ENG_CAPEX'!$D$23*E43))))*'IN_MACRO'!$D$14+('ENG_CAPEX'!$L$81*(1+'ENG_CAPEX'!$D$23*E43))-(('ENG_CAPEX'!$L$21+'ENG_CAPEX'!$L$42)*(1+'ENG_CAPEX'!$D$23*E43))-('ENG_WC'!$L$19*(1+AVERAGE('ENG_OPS'!$D$84:$P$84)*E43)*(1+F43))</f>
        <v/>
      </c>
      <c r="P43" s="36">
        <f>(('ENG_OPS'!$M$81*(1+AVERAGE('ENG_OPS'!$D$84:$P$84)*E43)*(1+F43))-('ENG_COST'!$M$266*(1+'IN_COST'!$D$8*E43))-('ENG_COST'!$M$268*(1+'IN_COST'!$D$9*E43))-('ENG_CAPEX'!$M$81*(1+'ENG_CAPEX'!$D$23*E43)))-MAX(0,(('ENG_OPS'!$M$81*(1+AVERAGE('ENG_OPS'!$D$84:$P$84)*E43)*(1+F43))-('ENG_COST'!$M$266*(1+'IN_COST'!$D$8*E43))-('ENG_COST'!$M$268*(1+'IN_COST'!$D$9*E43))-('ENG_CAPEX'!$M$81*(1+'ENG_CAPEX'!$D$23*E43))))*'IN_MACRO'!$D$14+('ENG_CAPEX'!$M$81*(1+'ENG_CAPEX'!$D$23*E43))-(('ENG_CAPEX'!$M$21+'ENG_CAPEX'!$M$42)*(1+'ENG_CAPEX'!$D$23*E43))-('ENG_WC'!$M$19*(1+AVERAGE('ENG_OPS'!$D$84:$P$84)*E43)*(1+F43))</f>
        <v/>
      </c>
      <c r="Q43" s="36">
        <f>(('ENG_OPS'!$N$81*(1+AVERAGE('ENG_OPS'!$D$84:$P$84)*E43)*(1+F43))-('ENG_COST'!$N$266*(1+'IN_COST'!$D$8*E43))-('ENG_COST'!$N$268*(1+'IN_COST'!$D$9*E43))-('ENG_CAPEX'!$N$81*(1+'ENG_CAPEX'!$D$23*E43)))-MAX(0,(('ENG_OPS'!$N$81*(1+AVERAGE('ENG_OPS'!$D$84:$P$84)*E43)*(1+F43))-('ENG_COST'!$N$266*(1+'IN_COST'!$D$8*E43))-('ENG_COST'!$N$268*(1+'IN_COST'!$D$9*E43))-('ENG_CAPEX'!$N$81*(1+'ENG_CAPEX'!$D$23*E43))))*'IN_MACRO'!$D$14+('ENG_CAPEX'!$N$81*(1+'ENG_CAPEX'!$D$23*E43))-(('ENG_CAPEX'!$N$21+'ENG_CAPEX'!$N$42)*(1+'ENG_CAPEX'!$D$23*E43))-('ENG_WC'!$N$19*(1+AVERAGE('ENG_OPS'!$D$84:$P$84)*E43)*(1+F43))</f>
        <v/>
      </c>
      <c r="R43" s="36">
        <f>(('ENG_OPS'!$O$81*(1+AVERAGE('ENG_OPS'!$D$84:$P$84)*E43)*(1+F43))-('ENG_COST'!$O$266*(1+'IN_COST'!$D$8*E43))-('ENG_COST'!$O$268*(1+'IN_COST'!$D$9*E43))-('ENG_CAPEX'!$O$81*(1+'ENG_CAPEX'!$D$23*E43)))-MAX(0,(('ENG_OPS'!$O$81*(1+AVERAGE('ENG_OPS'!$D$84:$P$84)*E43)*(1+F43))-('ENG_COST'!$O$266*(1+'IN_COST'!$D$8*E43))-('ENG_COST'!$O$268*(1+'IN_COST'!$D$9*E43))-('ENG_CAPEX'!$O$81*(1+'ENG_CAPEX'!$D$23*E43))))*'IN_MACRO'!$D$14+('ENG_CAPEX'!$O$81*(1+'ENG_CAPEX'!$D$23*E43))-(('ENG_CAPEX'!$O$21+'ENG_CAPEX'!$O$42)*(1+'ENG_CAPEX'!$D$23*E43))-('ENG_WC'!$O$19*(1+AVERAGE('ENG_OPS'!$D$84:$P$84)*E43)*(1+F43))</f>
        <v/>
      </c>
      <c r="S43" s="36">
        <f>(('ENG_OPS'!$P$81*(1+AVERAGE('ENG_OPS'!$D$84:$P$84)*E43)*(1+F43))-('ENG_COST'!$P$266*(1+'IN_COST'!$D$8*E43))-('ENG_COST'!$P$268*(1+'IN_COST'!$D$9*E43))-('ENG_CAPEX'!$P$81*(1+'ENG_CAPEX'!$D$23*E43)))-MAX(0,(('ENG_OPS'!$P$81*(1+AVERAGE('ENG_OPS'!$D$84:$P$84)*E43)*(1+F43))-('ENG_COST'!$P$266*(1+'IN_COST'!$D$8*E43))-('ENG_COST'!$P$268*(1+'IN_COST'!$D$9*E43))-('ENG_CAPEX'!$P$81*(1+'ENG_CAPEX'!$D$23*E43))))*'IN_MACRO'!$D$14+('ENG_CAPEX'!$P$81*(1+'ENG_CAPEX'!$D$23*E43))-(('ENG_CAPEX'!$P$21+'ENG_CAPEX'!$P$42)*(1+'ENG_CAPEX'!$D$23*E43))-('ENG_WC'!$P$19*(1+AVERAGE('ENG_OPS'!$D$84:$P$84)*E43)*(1+F43))</f>
        <v/>
      </c>
      <c r="T43" s="30">
        <f>1</f>
        <v/>
      </c>
      <c r="U43" s="30">
        <f>T43/(1+'ENG_DCF'!$E$14+D43)</f>
        <v/>
      </c>
      <c r="V43" s="30">
        <f>U43/(1+'ENG_DCF'!$F$14+D43)</f>
        <v/>
      </c>
      <c r="W43" s="30">
        <f>V43/(1+'ENG_DCF'!$G$14+D43)</f>
        <v/>
      </c>
      <c r="X43" s="30">
        <f>W43/(1+'ENG_DCF'!$H$14+D43)</f>
        <v/>
      </c>
      <c r="Y43" s="30">
        <f>X43/(1+'ENG_DCF'!$I$14+D43)</f>
        <v/>
      </c>
      <c r="Z43" s="30">
        <f>Y43/(1+'ENG_DCF'!$J$14+D43)</f>
        <v/>
      </c>
      <c r="AA43" s="30">
        <f>Z43/(1+'ENG_DCF'!$K$14+D43)</f>
        <v/>
      </c>
      <c r="AB43" s="30">
        <f>AA43/(1+'ENG_DCF'!$L$14+D43)</f>
        <v/>
      </c>
      <c r="AC43" s="30">
        <f>AB43/(1+'ENG_DCF'!$M$14+D43)</f>
        <v/>
      </c>
      <c r="AD43" s="30">
        <f>AC43/(1+'ENG_DCF'!$N$14+D43)</f>
        <v/>
      </c>
      <c r="AE43" s="30">
        <f>AD43/(1+'ENG_DCF'!$O$14+D43)</f>
        <v/>
      </c>
      <c r="AF43" s="30">
        <f>AE43/(1+'ENG_DCF'!$P$14+D43)</f>
        <v/>
      </c>
      <c r="AG43" s="36">
        <f>(G43*T43+H43*U43+I43*V43+J43*W43+K43*X43+L43*Y43+M43*Z43+N43*AA43+O43*AB43+P43*AC43+Q43*AD43+R43*AE43+S43*AF43)+(IF('IN_MACRO'!$D$19=1,MAX(0,(S43+(('ENG_CAPEX'!$P$21+'ENG_CAPEX'!$P$42)*(1+'ENG_CAPEX'!$D$23*E43))))*(1+'IN_MACRO'!$D$18)/MAX(0.005,'ENG_DCF'!$P$14+D43-'IN_MACRO'!$D$18),(('ENG_OPS'!$P$81*(1+AVERAGE('ENG_OPS'!$D$84:$P$84)*E43)*(1+F43))-('ENG_COST'!$P$266*(1+'IN_COST'!$D$8*E43))-('ENG_COST'!$P$268*(1+'IN_COST'!$D$9*E43)))*'IN_MACRO'!$D$20))*AF43</f>
        <v/>
      </c>
    </row>
    <row r="44">
      <c r="A44" t="inlineStr">
        <is>
          <t>FX|3|4</t>
        </is>
      </c>
      <c r="D44" s="38">
        <f>'IN_SCEN'!$G$24</f>
        <v/>
      </c>
      <c r="E44" s="38">
        <f>'IN_SCEN'!$H$25</f>
        <v/>
      </c>
      <c r="F44" s="38">
        <f>0</f>
        <v/>
      </c>
      <c r="G44" s="36">
        <f>(('ENG_OPS'!$D$81*(1+AVERAGE('ENG_OPS'!$D$84:$P$84)*E44)*(1+F44))-('ENG_COST'!$D$266*(1+'IN_COST'!$D$8*E44))-('ENG_COST'!$D$268*(1+'IN_COST'!$D$9*E44))-('ENG_CAPEX'!$D$81*(1+'ENG_CAPEX'!$D$23*E44)))-MAX(0,(('ENG_OPS'!$D$81*(1+AVERAGE('ENG_OPS'!$D$84:$P$84)*E44)*(1+F44))-('ENG_COST'!$D$266*(1+'IN_COST'!$D$8*E44))-('ENG_COST'!$D$268*(1+'IN_COST'!$D$9*E44))-('ENG_CAPEX'!$D$81*(1+'ENG_CAPEX'!$D$23*E44))))*'IN_MACRO'!$D$14+('ENG_CAPEX'!$D$81*(1+'ENG_CAPEX'!$D$23*E44))-(('ENG_CAPEX'!$D$21+'ENG_CAPEX'!$D$42)*(1+'ENG_CAPEX'!$D$23*E44))-('ENG_WC'!$D$19*(1+AVERAGE('ENG_OPS'!$D$84:$P$84)*E44)*(1+F44))</f>
        <v/>
      </c>
      <c r="H44" s="36">
        <f>(('ENG_OPS'!$E$81*(1+AVERAGE('ENG_OPS'!$D$84:$P$84)*E44)*(1+F44))-('ENG_COST'!$E$266*(1+'IN_COST'!$D$8*E44))-('ENG_COST'!$E$268*(1+'IN_COST'!$D$9*E44))-('ENG_CAPEX'!$E$81*(1+'ENG_CAPEX'!$D$23*E44)))-MAX(0,(('ENG_OPS'!$E$81*(1+AVERAGE('ENG_OPS'!$D$84:$P$84)*E44)*(1+F44))-('ENG_COST'!$E$266*(1+'IN_COST'!$D$8*E44))-('ENG_COST'!$E$268*(1+'IN_COST'!$D$9*E44))-('ENG_CAPEX'!$E$81*(1+'ENG_CAPEX'!$D$23*E44))))*'IN_MACRO'!$D$14+('ENG_CAPEX'!$E$81*(1+'ENG_CAPEX'!$D$23*E44))-(('ENG_CAPEX'!$E$21+'ENG_CAPEX'!$E$42)*(1+'ENG_CAPEX'!$D$23*E44))-('ENG_WC'!$E$19*(1+AVERAGE('ENG_OPS'!$D$84:$P$84)*E44)*(1+F44))</f>
        <v/>
      </c>
      <c r="I44" s="36">
        <f>(('ENG_OPS'!$F$81*(1+AVERAGE('ENG_OPS'!$D$84:$P$84)*E44)*(1+F44))-('ENG_COST'!$F$266*(1+'IN_COST'!$D$8*E44))-('ENG_COST'!$F$268*(1+'IN_COST'!$D$9*E44))-('ENG_CAPEX'!$F$81*(1+'ENG_CAPEX'!$D$23*E44)))-MAX(0,(('ENG_OPS'!$F$81*(1+AVERAGE('ENG_OPS'!$D$84:$P$84)*E44)*(1+F44))-('ENG_COST'!$F$266*(1+'IN_COST'!$D$8*E44))-('ENG_COST'!$F$268*(1+'IN_COST'!$D$9*E44))-('ENG_CAPEX'!$F$81*(1+'ENG_CAPEX'!$D$23*E44))))*'IN_MACRO'!$D$14+('ENG_CAPEX'!$F$81*(1+'ENG_CAPEX'!$D$23*E44))-(('ENG_CAPEX'!$F$21+'ENG_CAPEX'!$F$42)*(1+'ENG_CAPEX'!$D$23*E44))-('ENG_WC'!$F$19*(1+AVERAGE('ENG_OPS'!$D$84:$P$84)*E44)*(1+F44))</f>
        <v/>
      </c>
      <c r="J44" s="36">
        <f>(('ENG_OPS'!$G$81*(1+AVERAGE('ENG_OPS'!$D$84:$P$84)*E44)*(1+F44))-('ENG_COST'!$G$266*(1+'IN_COST'!$D$8*E44))-('ENG_COST'!$G$268*(1+'IN_COST'!$D$9*E44))-('ENG_CAPEX'!$G$81*(1+'ENG_CAPEX'!$D$23*E44)))-MAX(0,(('ENG_OPS'!$G$81*(1+AVERAGE('ENG_OPS'!$D$84:$P$84)*E44)*(1+F44))-('ENG_COST'!$G$266*(1+'IN_COST'!$D$8*E44))-('ENG_COST'!$G$268*(1+'IN_COST'!$D$9*E44))-('ENG_CAPEX'!$G$81*(1+'ENG_CAPEX'!$D$23*E44))))*'IN_MACRO'!$D$14+('ENG_CAPEX'!$G$81*(1+'ENG_CAPEX'!$D$23*E44))-(('ENG_CAPEX'!$G$21+'ENG_CAPEX'!$G$42)*(1+'ENG_CAPEX'!$D$23*E44))-('ENG_WC'!$G$19*(1+AVERAGE('ENG_OPS'!$D$84:$P$84)*E44)*(1+F44))</f>
        <v/>
      </c>
      <c r="K44" s="36">
        <f>(('ENG_OPS'!$H$81*(1+AVERAGE('ENG_OPS'!$D$84:$P$84)*E44)*(1+F44))-('ENG_COST'!$H$266*(1+'IN_COST'!$D$8*E44))-('ENG_COST'!$H$268*(1+'IN_COST'!$D$9*E44))-('ENG_CAPEX'!$H$81*(1+'ENG_CAPEX'!$D$23*E44)))-MAX(0,(('ENG_OPS'!$H$81*(1+AVERAGE('ENG_OPS'!$D$84:$P$84)*E44)*(1+F44))-('ENG_COST'!$H$266*(1+'IN_COST'!$D$8*E44))-('ENG_COST'!$H$268*(1+'IN_COST'!$D$9*E44))-('ENG_CAPEX'!$H$81*(1+'ENG_CAPEX'!$D$23*E44))))*'IN_MACRO'!$D$14+('ENG_CAPEX'!$H$81*(1+'ENG_CAPEX'!$D$23*E44))-(('ENG_CAPEX'!$H$21+'ENG_CAPEX'!$H$42)*(1+'ENG_CAPEX'!$D$23*E44))-('ENG_WC'!$H$19*(1+AVERAGE('ENG_OPS'!$D$84:$P$84)*E44)*(1+F44))</f>
        <v/>
      </c>
      <c r="L44" s="36">
        <f>(('ENG_OPS'!$I$81*(1+AVERAGE('ENG_OPS'!$D$84:$P$84)*E44)*(1+F44))-('ENG_COST'!$I$266*(1+'IN_COST'!$D$8*E44))-('ENG_COST'!$I$268*(1+'IN_COST'!$D$9*E44))-('ENG_CAPEX'!$I$81*(1+'ENG_CAPEX'!$D$23*E44)))-MAX(0,(('ENG_OPS'!$I$81*(1+AVERAGE('ENG_OPS'!$D$84:$P$84)*E44)*(1+F44))-('ENG_COST'!$I$266*(1+'IN_COST'!$D$8*E44))-('ENG_COST'!$I$268*(1+'IN_COST'!$D$9*E44))-('ENG_CAPEX'!$I$81*(1+'ENG_CAPEX'!$D$23*E44))))*'IN_MACRO'!$D$14+('ENG_CAPEX'!$I$81*(1+'ENG_CAPEX'!$D$23*E44))-(('ENG_CAPEX'!$I$21+'ENG_CAPEX'!$I$42)*(1+'ENG_CAPEX'!$D$23*E44))-('ENG_WC'!$I$19*(1+AVERAGE('ENG_OPS'!$D$84:$P$84)*E44)*(1+F44))</f>
        <v/>
      </c>
      <c r="M44" s="36">
        <f>(('ENG_OPS'!$J$81*(1+AVERAGE('ENG_OPS'!$D$84:$P$84)*E44)*(1+F44))-('ENG_COST'!$J$266*(1+'IN_COST'!$D$8*E44))-('ENG_COST'!$J$268*(1+'IN_COST'!$D$9*E44))-('ENG_CAPEX'!$J$81*(1+'ENG_CAPEX'!$D$23*E44)))-MAX(0,(('ENG_OPS'!$J$81*(1+AVERAGE('ENG_OPS'!$D$84:$P$84)*E44)*(1+F44))-('ENG_COST'!$J$266*(1+'IN_COST'!$D$8*E44))-('ENG_COST'!$J$268*(1+'IN_COST'!$D$9*E44))-('ENG_CAPEX'!$J$81*(1+'ENG_CAPEX'!$D$23*E44))))*'IN_MACRO'!$D$14+('ENG_CAPEX'!$J$81*(1+'ENG_CAPEX'!$D$23*E44))-(('ENG_CAPEX'!$J$21+'ENG_CAPEX'!$J$42)*(1+'ENG_CAPEX'!$D$23*E44))-('ENG_WC'!$J$19*(1+AVERAGE('ENG_OPS'!$D$84:$P$84)*E44)*(1+F44))</f>
        <v/>
      </c>
      <c r="N44" s="36">
        <f>(('ENG_OPS'!$K$81*(1+AVERAGE('ENG_OPS'!$D$84:$P$84)*E44)*(1+F44))-('ENG_COST'!$K$266*(1+'IN_COST'!$D$8*E44))-('ENG_COST'!$K$268*(1+'IN_COST'!$D$9*E44))-('ENG_CAPEX'!$K$81*(1+'ENG_CAPEX'!$D$23*E44)))-MAX(0,(('ENG_OPS'!$K$81*(1+AVERAGE('ENG_OPS'!$D$84:$P$84)*E44)*(1+F44))-('ENG_COST'!$K$266*(1+'IN_COST'!$D$8*E44))-('ENG_COST'!$K$268*(1+'IN_COST'!$D$9*E44))-('ENG_CAPEX'!$K$81*(1+'ENG_CAPEX'!$D$23*E44))))*'IN_MACRO'!$D$14+('ENG_CAPEX'!$K$81*(1+'ENG_CAPEX'!$D$23*E44))-(('ENG_CAPEX'!$K$21+'ENG_CAPEX'!$K$42)*(1+'ENG_CAPEX'!$D$23*E44))-('ENG_WC'!$K$19*(1+AVERAGE('ENG_OPS'!$D$84:$P$84)*E44)*(1+F44))</f>
        <v/>
      </c>
      <c r="O44" s="36">
        <f>(('ENG_OPS'!$L$81*(1+AVERAGE('ENG_OPS'!$D$84:$P$84)*E44)*(1+F44))-('ENG_COST'!$L$266*(1+'IN_COST'!$D$8*E44))-('ENG_COST'!$L$268*(1+'IN_COST'!$D$9*E44))-('ENG_CAPEX'!$L$81*(1+'ENG_CAPEX'!$D$23*E44)))-MAX(0,(('ENG_OPS'!$L$81*(1+AVERAGE('ENG_OPS'!$D$84:$P$84)*E44)*(1+F44))-('ENG_COST'!$L$266*(1+'IN_COST'!$D$8*E44))-('ENG_COST'!$L$268*(1+'IN_COST'!$D$9*E44))-('ENG_CAPEX'!$L$81*(1+'ENG_CAPEX'!$D$23*E44))))*'IN_MACRO'!$D$14+('ENG_CAPEX'!$L$81*(1+'ENG_CAPEX'!$D$23*E44))-(('ENG_CAPEX'!$L$21+'ENG_CAPEX'!$L$42)*(1+'ENG_CAPEX'!$D$23*E44))-('ENG_WC'!$L$19*(1+AVERAGE('ENG_OPS'!$D$84:$P$84)*E44)*(1+F44))</f>
        <v/>
      </c>
      <c r="P44" s="36">
        <f>(('ENG_OPS'!$M$81*(1+AVERAGE('ENG_OPS'!$D$84:$P$84)*E44)*(1+F44))-('ENG_COST'!$M$266*(1+'IN_COST'!$D$8*E44))-('ENG_COST'!$M$268*(1+'IN_COST'!$D$9*E44))-('ENG_CAPEX'!$M$81*(1+'ENG_CAPEX'!$D$23*E44)))-MAX(0,(('ENG_OPS'!$M$81*(1+AVERAGE('ENG_OPS'!$D$84:$P$84)*E44)*(1+F44))-('ENG_COST'!$M$266*(1+'IN_COST'!$D$8*E44))-('ENG_COST'!$M$268*(1+'IN_COST'!$D$9*E44))-('ENG_CAPEX'!$M$81*(1+'ENG_CAPEX'!$D$23*E44))))*'IN_MACRO'!$D$14+('ENG_CAPEX'!$M$81*(1+'ENG_CAPEX'!$D$23*E44))-(('ENG_CAPEX'!$M$21+'ENG_CAPEX'!$M$42)*(1+'ENG_CAPEX'!$D$23*E44))-('ENG_WC'!$M$19*(1+AVERAGE('ENG_OPS'!$D$84:$P$84)*E44)*(1+F44))</f>
        <v/>
      </c>
      <c r="Q44" s="36">
        <f>(('ENG_OPS'!$N$81*(1+AVERAGE('ENG_OPS'!$D$84:$P$84)*E44)*(1+F44))-('ENG_COST'!$N$266*(1+'IN_COST'!$D$8*E44))-('ENG_COST'!$N$268*(1+'IN_COST'!$D$9*E44))-('ENG_CAPEX'!$N$81*(1+'ENG_CAPEX'!$D$23*E44)))-MAX(0,(('ENG_OPS'!$N$81*(1+AVERAGE('ENG_OPS'!$D$84:$P$84)*E44)*(1+F44))-('ENG_COST'!$N$266*(1+'IN_COST'!$D$8*E44))-('ENG_COST'!$N$268*(1+'IN_COST'!$D$9*E44))-('ENG_CAPEX'!$N$81*(1+'ENG_CAPEX'!$D$23*E44))))*'IN_MACRO'!$D$14+('ENG_CAPEX'!$N$81*(1+'ENG_CAPEX'!$D$23*E44))-(('ENG_CAPEX'!$N$21+'ENG_CAPEX'!$N$42)*(1+'ENG_CAPEX'!$D$23*E44))-('ENG_WC'!$N$19*(1+AVERAGE('ENG_OPS'!$D$84:$P$84)*E44)*(1+F44))</f>
        <v/>
      </c>
      <c r="R44" s="36">
        <f>(('ENG_OPS'!$O$81*(1+AVERAGE('ENG_OPS'!$D$84:$P$84)*E44)*(1+F44))-('ENG_COST'!$O$266*(1+'IN_COST'!$D$8*E44))-('ENG_COST'!$O$268*(1+'IN_COST'!$D$9*E44))-('ENG_CAPEX'!$O$81*(1+'ENG_CAPEX'!$D$23*E44)))-MAX(0,(('ENG_OPS'!$O$81*(1+AVERAGE('ENG_OPS'!$D$84:$P$84)*E44)*(1+F44))-('ENG_COST'!$O$266*(1+'IN_COST'!$D$8*E44))-('ENG_COST'!$O$268*(1+'IN_COST'!$D$9*E44))-('ENG_CAPEX'!$O$81*(1+'ENG_CAPEX'!$D$23*E44))))*'IN_MACRO'!$D$14+('ENG_CAPEX'!$O$81*(1+'ENG_CAPEX'!$D$23*E44))-(('ENG_CAPEX'!$O$21+'ENG_CAPEX'!$O$42)*(1+'ENG_CAPEX'!$D$23*E44))-('ENG_WC'!$O$19*(1+AVERAGE('ENG_OPS'!$D$84:$P$84)*E44)*(1+F44))</f>
        <v/>
      </c>
      <c r="S44" s="36">
        <f>(('ENG_OPS'!$P$81*(1+AVERAGE('ENG_OPS'!$D$84:$P$84)*E44)*(1+F44))-('ENG_COST'!$P$266*(1+'IN_COST'!$D$8*E44))-('ENG_COST'!$P$268*(1+'IN_COST'!$D$9*E44))-('ENG_CAPEX'!$P$81*(1+'ENG_CAPEX'!$D$23*E44)))-MAX(0,(('ENG_OPS'!$P$81*(1+AVERAGE('ENG_OPS'!$D$84:$P$84)*E44)*(1+F44))-('ENG_COST'!$P$266*(1+'IN_COST'!$D$8*E44))-('ENG_COST'!$P$268*(1+'IN_COST'!$D$9*E44))-('ENG_CAPEX'!$P$81*(1+'ENG_CAPEX'!$D$23*E44))))*'IN_MACRO'!$D$14+('ENG_CAPEX'!$P$81*(1+'ENG_CAPEX'!$D$23*E44))-(('ENG_CAPEX'!$P$21+'ENG_CAPEX'!$P$42)*(1+'ENG_CAPEX'!$D$23*E44))-('ENG_WC'!$P$19*(1+AVERAGE('ENG_OPS'!$D$84:$P$84)*E44)*(1+F44))</f>
        <v/>
      </c>
      <c r="T44" s="30">
        <f>1</f>
        <v/>
      </c>
      <c r="U44" s="30">
        <f>T44/(1+'ENG_DCF'!$E$14+D44)</f>
        <v/>
      </c>
      <c r="V44" s="30">
        <f>U44/(1+'ENG_DCF'!$F$14+D44)</f>
        <v/>
      </c>
      <c r="W44" s="30">
        <f>V44/(1+'ENG_DCF'!$G$14+D44)</f>
        <v/>
      </c>
      <c r="X44" s="30">
        <f>W44/(1+'ENG_DCF'!$H$14+D44)</f>
        <v/>
      </c>
      <c r="Y44" s="30">
        <f>X44/(1+'ENG_DCF'!$I$14+D44)</f>
        <v/>
      </c>
      <c r="Z44" s="30">
        <f>Y44/(1+'ENG_DCF'!$J$14+D44)</f>
        <v/>
      </c>
      <c r="AA44" s="30">
        <f>Z44/(1+'ENG_DCF'!$K$14+D44)</f>
        <v/>
      </c>
      <c r="AB44" s="30">
        <f>AA44/(1+'ENG_DCF'!$L$14+D44)</f>
        <v/>
      </c>
      <c r="AC44" s="30">
        <f>AB44/(1+'ENG_DCF'!$M$14+D44)</f>
        <v/>
      </c>
      <c r="AD44" s="30">
        <f>AC44/(1+'ENG_DCF'!$N$14+D44)</f>
        <v/>
      </c>
      <c r="AE44" s="30">
        <f>AD44/(1+'ENG_DCF'!$O$14+D44)</f>
        <v/>
      </c>
      <c r="AF44" s="30">
        <f>AE44/(1+'ENG_DCF'!$P$14+D44)</f>
        <v/>
      </c>
      <c r="AG44" s="36">
        <f>(G44*T44+H44*U44+I44*V44+J44*W44+K44*X44+L44*Y44+M44*Z44+N44*AA44+O44*AB44+P44*AC44+Q44*AD44+R44*AE44+S44*AF44)+(IF('IN_MACRO'!$D$19=1,MAX(0,(S44+(('ENG_CAPEX'!$P$21+'ENG_CAPEX'!$P$42)*(1+'ENG_CAPEX'!$D$23*E44))))*(1+'IN_MACRO'!$D$18)/MAX(0.005,'ENG_DCF'!$P$14+D44-'IN_MACRO'!$D$18),(('ENG_OPS'!$P$81*(1+AVERAGE('ENG_OPS'!$D$84:$P$84)*E44)*(1+F44))-('ENG_COST'!$P$266*(1+'IN_COST'!$D$8*E44))-('ENG_COST'!$P$268*(1+'IN_COST'!$D$9*E44)))*'IN_MACRO'!$D$20))*AF44</f>
        <v/>
      </c>
    </row>
    <row r="45">
      <c r="A45" t="inlineStr">
        <is>
          <t>PR|3|4</t>
        </is>
      </c>
      <c r="D45" s="38">
        <f>'IN_SCEN'!$G$24</f>
        <v/>
      </c>
      <c r="E45" s="38">
        <f>0</f>
        <v/>
      </c>
      <c r="F45" s="38">
        <f>'IN_SCEN'!$H$26</f>
        <v/>
      </c>
      <c r="G45" s="36">
        <f>(('ENG_OPS'!$D$81*(1+AVERAGE('ENG_OPS'!$D$84:$P$84)*E45)*(1+F45))-('ENG_COST'!$D$266*(1+'IN_COST'!$D$8*E45))-('ENG_COST'!$D$268*(1+'IN_COST'!$D$9*E45))-('ENG_CAPEX'!$D$81*(1+'ENG_CAPEX'!$D$23*E45)))-MAX(0,(('ENG_OPS'!$D$81*(1+AVERAGE('ENG_OPS'!$D$84:$P$84)*E45)*(1+F45))-('ENG_COST'!$D$266*(1+'IN_COST'!$D$8*E45))-('ENG_COST'!$D$268*(1+'IN_COST'!$D$9*E45))-('ENG_CAPEX'!$D$81*(1+'ENG_CAPEX'!$D$23*E45))))*'IN_MACRO'!$D$14+('ENG_CAPEX'!$D$81*(1+'ENG_CAPEX'!$D$23*E45))-(('ENG_CAPEX'!$D$21+'ENG_CAPEX'!$D$42)*(1+'ENG_CAPEX'!$D$23*E45))-('ENG_WC'!$D$19*(1+AVERAGE('ENG_OPS'!$D$84:$P$84)*E45)*(1+F45))</f>
        <v/>
      </c>
      <c r="H45" s="36">
        <f>(('ENG_OPS'!$E$81*(1+AVERAGE('ENG_OPS'!$D$84:$P$84)*E45)*(1+F45))-('ENG_COST'!$E$266*(1+'IN_COST'!$D$8*E45))-('ENG_COST'!$E$268*(1+'IN_COST'!$D$9*E45))-('ENG_CAPEX'!$E$81*(1+'ENG_CAPEX'!$D$23*E45)))-MAX(0,(('ENG_OPS'!$E$81*(1+AVERAGE('ENG_OPS'!$D$84:$P$84)*E45)*(1+F45))-('ENG_COST'!$E$266*(1+'IN_COST'!$D$8*E45))-('ENG_COST'!$E$268*(1+'IN_COST'!$D$9*E45))-('ENG_CAPEX'!$E$81*(1+'ENG_CAPEX'!$D$23*E45))))*'IN_MACRO'!$D$14+('ENG_CAPEX'!$E$81*(1+'ENG_CAPEX'!$D$23*E45))-(('ENG_CAPEX'!$E$21+'ENG_CAPEX'!$E$42)*(1+'ENG_CAPEX'!$D$23*E45))-('ENG_WC'!$E$19*(1+AVERAGE('ENG_OPS'!$D$84:$P$84)*E45)*(1+F45))</f>
        <v/>
      </c>
      <c r="I45" s="36">
        <f>(('ENG_OPS'!$F$81*(1+AVERAGE('ENG_OPS'!$D$84:$P$84)*E45)*(1+F45))-('ENG_COST'!$F$266*(1+'IN_COST'!$D$8*E45))-('ENG_COST'!$F$268*(1+'IN_COST'!$D$9*E45))-('ENG_CAPEX'!$F$81*(1+'ENG_CAPEX'!$D$23*E45)))-MAX(0,(('ENG_OPS'!$F$81*(1+AVERAGE('ENG_OPS'!$D$84:$P$84)*E45)*(1+F45))-('ENG_COST'!$F$266*(1+'IN_COST'!$D$8*E45))-('ENG_COST'!$F$268*(1+'IN_COST'!$D$9*E45))-('ENG_CAPEX'!$F$81*(1+'ENG_CAPEX'!$D$23*E45))))*'IN_MACRO'!$D$14+('ENG_CAPEX'!$F$81*(1+'ENG_CAPEX'!$D$23*E45))-(('ENG_CAPEX'!$F$21+'ENG_CAPEX'!$F$42)*(1+'ENG_CAPEX'!$D$23*E45))-('ENG_WC'!$F$19*(1+AVERAGE('ENG_OPS'!$D$84:$P$84)*E45)*(1+F45))</f>
        <v/>
      </c>
      <c r="J45" s="36">
        <f>(('ENG_OPS'!$G$81*(1+AVERAGE('ENG_OPS'!$D$84:$P$84)*E45)*(1+F45))-('ENG_COST'!$G$266*(1+'IN_COST'!$D$8*E45))-('ENG_COST'!$G$268*(1+'IN_COST'!$D$9*E45))-('ENG_CAPEX'!$G$81*(1+'ENG_CAPEX'!$D$23*E45)))-MAX(0,(('ENG_OPS'!$G$81*(1+AVERAGE('ENG_OPS'!$D$84:$P$84)*E45)*(1+F45))-('ENG_COST'!$G$266*(1+'IN_COST'!$D$8*E45))-('ENG_COST'!$G$268*(1+'IN_COST'!$D$9*E45))-('ENG_CAPEX'!$G$81*(1+'ENG_CAPEX'!$D$23*E45))))*'IN_MACRO'!$D$14+('ENG_CAPEX'!$G$81*(1+'ENG_CAPEX'!$D$23*E45))-(('ENG_CAPEX'!$G$21+'ENG_CAPEX'!$G$42)*(1+'ENG_CAPEX'!$D$23*E45))-('ENG_WC'!$G$19*(1+AVERAGE('ENG_OPS'!$D$84:$P$84)*E45)*(1+F45))</f>
        <v/>
      </c>
      <c r="K45" s="36">
        <f>(('ENG_OPS'!$H$81*(1+AVERAGE('ENG_OPS'!$D$84:$P$84)*E45)*(1+F45))-('ENG_COST'!$H$266*(1+'IN_COST'!$D$8*E45))-('ENG_COST'!$H$268*(1+'IN_COST'!$D$9*E45))-('ENG_CAPEX'!$H$81*(1+'ENG_CAPEX'!$D$23*E45)))-MAX(0,(('ENG_OPS'!$H$81*(1+AVERAGE('ENG_OPS'!$D$84:$P$84)*E45)*(1+F45))-('ENG_COST'!$H$266*(1+'IN_COST'!$D$8*E45))-('ENG_COST'!$H$268*(1+'IN_COST'!$D$9*E45))-('ENG_CAPEX'!$H$81*(1+'ENG_CAPEX'!$D$23*E45))))*'IN_MACRO'!$D$14+('ENG_CAPEX'!$H$81*(1+'ENG_CAPEX'!$D$23*E45))-(('ENG_CAPEX'!$H$21+'ENG_CAPEX'!$H$42)*(1+'ENG_CAPEX'!$D$23*E45))-('ENG_WC'!$H$19*(1+AVERAGE('ENG_OPS'!$D$84:$P$84)*E45)*(1+F45))</f>
        <v/>
      </c>
      <c r="L45" s="36">
        <f>(('ENG_OPS'!$I$81*(1+AVERAGE('ENG_OPS'!$D$84:$P$84)*E45)*(1+F45))-('ENG_COST'!$I$266*(1+'IN_COST'!$D$8*E45))-('ENG_COST'!$I$268*(1+'IN_COST'!$D$9*E45))-('ENG_CAPEX'!$I$81*(1+'ENG_CAPEX'!$D$23*E45)))-MAX(0,(('ENG_OPS'!$I$81*(1+AVERAGE('ENG_OPS'!$D$84:$P$84)*E45)*(1+F45))-('ENG_COST'!$I$266*(1+'IN_COST'!$D$8*E45))-('ENG_COST'!$I$268*(1+'IN_COST'!$D$9*E45))-('ENG_CAPEX'!$I$81*(1+'ENG_CAPEX'!$D$23*E45))))*'IN_MACRO'!$D$14+('ENG_CAPEX'!$I$81*(1+'ENG_CAPEX'!$D$23*E45))-(('ENG_CAPEX'!$I$21+'ENG_CAPEX'!$I$42)*(1+'ENG_CAPEX'!$D$23*E45))-('ENG_WC'!$I$19*(1+AVERAGE('ENG_OPS'!$D$84:$P$84)*E45)*(1+F45))</f>
        <v/>
      </c>
      <c r="M45" s="36">
        <f>(('ENG_OPS'!$J$81*(1+AVERAGE('ENG_OPS'!$D$84:$P$84)*E45)*(1+F45))-('ENG_COST'!$J$266*(1+'IN_COST'!$D$8*E45))-('ENG_COST'!$J$268*(1+'IN_COST'!$D$9*E45))-('ENG_CAPEX'!$J$81*(1+'ENG_CAPEX'!$D$23*E45)))-MAX(0,(('ENG_OPS'!$J$81*(1+AVERAGE('ENG_OPS'!$D$84:$P$84)*E45)*(1+F45))-('ENG_COST'!$J$266*(1+'IN_COST'!$D$8*E45))-('ENG_COST'!$J$268*(1+'IN_COST'!$D$9*E45))-('ENG_CAPEX'!$J$81*(1+'ENG_CAPEX'!$D$23*E45))))*'IN_MACRO'!$D$14+('ENG_CAPEX'!$J$81*(1+'ENG_CAPEX'!$D$23*E45))-(('ENG_CAPEX'!$J$21+'ENG_CAPEX'!$J$42)*(1+'ENG_CAPEX'!$D$23*E45))-('ENG_WC'!$J$19*(1+AVERAGE('ENG_OPS'!$D$84:$P$84)*E45)*(1+F45))</f>
        <v/>
      </c>
      <c r="N45" s="36">
        <f>(('ENG_OPS'!$K$81*(1+AVERAGE('ENG_OPS'!$D$84:$P$84)*E45)*(1+F45))-('ENG_COST'!$K$266*(1+'IN_COST'!$D$8*E45))-('ENG_COST'!$K$268*(1+'IN_COST'!$D$9*E45))-('ENG_CAPEX'!$K$81*(1+'ENG_CAPEX'!$D$23*E45)))-MAX(0,(('ENG_OPS'!$K$81*(1+AVERAGE('ENG_OPS'!$D$84:$P$84)*E45)*(1+F45))-('ENG_COST'!$K$266*(1+'IN_COST'!$D$8*E45))-('ENG_COST'!$K$268*(1+'IN_COST'!$D$9*E45))-('ENG_CAPEX'!$K$81*(1+'ENG_CAPEX'!$D$23*E45))))*'IN_MACRO'!$D$14+('ENG_CAPEX'!$K$81*(1+'ENG_CAPEX'!$D$23*E45))-(('ENG_CAPEX'!$K$21+'ENG_CAPEX'!$K$42)*(1+'ENG_CAPEX'!$D$23*E45))-('ENG_WC'!$K$19*(1+AVERAGE('ENG_OPS'!$D$84:$P$84)*E45)*(1+F45))</f>
        <v/>
      </c>
      <c r="O45" s="36">
        <f>(('ENG_OPS'!$L$81*(1+AVERAGE('ENG_OPS'!$D$84:$P$84)*E45)*(1+F45))-('ENG_COST'!$L$266*(1+'IN_COST'!$D$8*E45))-('ENG_COST'!$L$268*(1+'IN_COST'!$D$9*E45))-('ENG_CAPEX'!$L$81*(1+'ENG_CAPEX'!$D$23*E45)))-MAX(0,(('ENG_OPS'!$L$81*(1+AVERAGE('ENG_OPS'!$D$84:$P$84)*E45)*(1+F45))-('ENG_COST'!$L$266*(1+'IN_COST'!$D$8*E45))-('ENG_COST'!$L$268*(1+'IN_COST'!$D$9*E45))-('ENG_CAPEX'!$L$81*(1+'ENG_CAPEX'!$D$23*E45))))*'IN_MACRO'!$D$14+('ENG_CAPEX'!$L$81*(1+'ENG_CAPEX'!$D$23*E45))-(('ENG_CAPEX'!$L$21+'ENG_CAPEX'!$L$42)*(1+'ENG_CAPEX'!$D$23*E45))-('ENG_WC'!$L$19*(1+AVERAGE('ENG_OPS'!$D$84:$P$84)*E45)*(1+F45))</f>
        <v/>
      </c>
      <c r="P45" s="36">
        <f>(('ENG_OPS'!$M$81*(1+AVERAGE('ENG_OPS'!$D$84:$P$84)*E45)*(1+F45))-('ENG_COST'!$M$266*(1+'IN_COST'!$D$8*E45))-('ENG_COST'!$M$268*(1+'IN_COST'!$D$9*E45))-('ENG_CAPEX'!$M$81*(1+'ENG_CAPEX'!$D$23*E45)))-MAX(0,(('ENG_OPS'!$M$81*(1+AVERAGE('ENG_OPS'!$D$84:$P$84)*E45)*(1+F45))-('ENG_COST'!$M$266*(1+'IN_COST'!$D$8*E45))-('ENG_COST'!$M$268*(1+'IN_COST'!$D$9*E45))-('ENG_CAPEX'!$M$81*(1+'ENG_CAPEX'!$D$23*E45))))*'IN_MACRO'!$D$14+('ENG_CAPEX'!$M$81*(1+'ENG_CAPEX'!$D$23*E45))-(('ENG_CAPEX'!$M$21+'ENG_CAPEX'!$M$42)*(1+'ENG_CAPEX'!$D$23*E45))-('ENG_WC'!$M$19*(1+AVERAGE('ENG_OPS'!$D$84:$P$84)*E45)*(1+F45))</f>
        <v/>
      </c>
      <c r="Q45" s="36">
        <f>(('ENG_OPS'!$N$81*(1+AVERAGE('ENG_OPS'!$D$84:$P$84)*E45)*(1+F45))-('ENG_COST'!$N$266*(1+'IN_COST'!$D$8*E45))-('ENG_COST'!$N$268*(1+'IN_COST'!$D$9*E45))-('ENG_CAPEX'!$N$81*(1+'ENG_CAPEX'!$D$23*E45)))-MAX(0,(('ENG_OPS'!$N$81*(1+AVERAGE('ENG_OPS'!$D$84:$P$84)*E45)*(1+F45))-('ENG_COST'!$N$266*(1+'IN_COST'!$D$8*E45))-('ENG_COST'!$N$268*(1+'IN_COST'!$D$9*E45))-('ENG_CAPEX'!$N$81*(1+'ENG_CAPEX'!$D$23*E45))))*'IN_MACRO'!$D$14+('ENG_CAPEX'!$N$81*(1+'ENG_CAPEX'!$D$23*E45))-(('ENG_CAPEX'!$N$21+'ENG_CAPEX'!$N$42)*(1+'ENG_CAPEX'!$D$23*E45))-('ENG_WC'!$N$19*(1+AVERAGE('ENG_OPS'!$D$84:$P$84)*E45)*(1+F45))</f>
        <v/>
      </c>
      <c r="R45" s="36">
        <f>(('ENG_OPS'!$O$81*(1+AVERAGE('ENG_OPS'!$D$84:$P$84)*E45)*(1+F45))-('ENG_COST'!$O$266*(1+'IN_COST'!$D$8*E45))-('ENG_COST'!$O$268*(1+'IN_COST'!$D$9*E45))-('ENG_CAPEX'!$O$81*(1+'ENG_CAPEX'!$D$23*E45)))-MAX(0,(('ENG_OPS'!$O$81*(1+AVERAGE('ENG_OPS'!$D$84:$P$84)*E45)*(1+F45))-('ENG_COST'!$O$266*(1+'IN_COST'!$D$8*E45))-('ENG_COST'!$O$268*(1+'IN_COST'!$D$9*E45))-('ENG_CAPEX'!$O$81*(1+'ENG_CAPEX'!$D$23*E45))))*'IN_MACRO'!$D$14+('ENG_CAPEX'!$O$81*(1+'ENG_CAPEX'!$D$23*E45))-(('ENG_CAPEX'!$O$21+'ENG_CAPEX'!$O$42)*(1+'ENG_CAPEX'!$D$23*E45))-('ENG_WC'!$O$19*(1+AVERAGE('ENG_OPS'!$D$84:$P$84)*E45)*(1+F45))</f>
        <v/>
      </c>
      <c r="S45" s="36">
        <f>(('ENG_OPS'!$P$81*(1+AVERAGE('ENG_OPS'!$D$84:$P$84)*E45)*(1+F45))-('ENG_COST'!$P$266*(1+'IN_COST'!$D$8*E45))-('ENG_COST'!$P$268*(1+'IN_COST'!$D$9*E45))-('ENG_CAPEX'!$P$81*(1+'ENG_CAPEX'!$D$23*E45)))-MAX(0,(('ENG_OPS'!$P$81*(1+AVERAGE('ENG_OPS'!$D$84:$P$84)*E45)*(1+F45))-('ENG_COST'!$P$266*(1+'IN_COST'!$D$8*E45))-('ENG_COST'!$P$268*(1+'IN_COST'!$D$9*E45))-('ENG_CAPEX'!$P$81*(1+'ENG_CAPEX'!$D$23*E45))))*'IN_MACRO'!$D$14+('ENG_CAPEX'!$P$81*(1+'ENG_CAPEX'!$D$23*E45))-(('ENG_CAPEX'!$P$21+'ENG_CAPEX'!$P$42)*(1+'ENG_CAPEX'!$D$23*E45))-('ENG_WC'!$P$19*(1+AVERAGE('ENG_OPS'!$D$84:$P$84)*E45)*(1+F45))</f>
        <v/>
      </c>
      <c r="T45" s="30">
        <f>1</f>
        <v/>
      </c>
      <c r="U45" s="30">
        <f>T45/(1+'ENG_DCF'!$E$14+D45)</f>
        <v/>
      </c>
      <c r="V45" s="30">
        <f>U45/(1+'ENG_DCF'!$F$14+D45)</f>
        <v/>
      </c>
      <c r="W45" s="30">
        <f>V45/(1+'ENG_DCF'!$G$14+D45)</f>
        <v/>
      </c>
      <c r="X45" s="30">
        <f>W45/(1+'ENG_DCF'!$H$14+D45)</f>
        <v/>
      </c>
      <c r="Y45" s="30">
        <f>X45/(1+'ENG_DCF'!$I$14+D45)</f>
        <v/>
      </c>
      <c r="Z45" s="30">
        <f>Y45/(1+'ENG_DCF'!$J$14+D45)</f>
        <v/>
      </c>
      <c r="AA45" s="30">
        <f>Z45/(1+'ENG_DCF'!$K$14+D45)</f>
        <v/>
      </c>
      <c r="AB45" s="30">
        <f>AA45/(1+'ENG_DCF'!$L$14+D45)</f>
        <v/>
      </c>
      <c r="AC45" s="30">
        <f>AB45/(1+'ENG_DCF'!$M$14+D45)</f>
        <v/>
      </c>
      <c r="AD45" s="30">
        <f>AC45/(1+'ENG_DCF'!$N$14+D45)</f>
        <v/>
      </c>
      <c r="AE45" s="30">
        <f>AD45/(1+'ENG_DCF'!$O$14+D45)</f>
        <v/>
      </c>
      <c r="AF45" s="30">
        <f>AE45/(1+'ENG_DCF'!$P$14+D45)</f>
        <v/>
      </c>
      <c r="AG45" s="36">
        <f>(G45*T45+H45*U45+I45*V45+J45*W45+K45*X45+L45*Y45+M45*Z45+N45*AA45+O45*AB45+P45*AC45+Q45*AD45+R45*AE45+S45*AF45)+(IF('IN_MACRO'!$D$19=1,MAX(0,(S45+(('ENG_CAPEX'!$P$21+'ENG_CAPEX'!$P$42)*(1+'ENG_CAPEX'!$D$23*E45))))*(1+'IN_MACRO'!$D$18)/MAX(0.005,'ENG_DCF'!$P$14+D45-'IN_MACRO'!$D$18),(('ENG_OPS'!$P$81*(1+AVERAGE('ENG_OPS'!$D$84:$P$84)*E45)*(1+F45))-('ENG_COST'!$P$266*(1+'IN_COST'!$D$8*E45))-('ENG_COST'!$P$268*(1+'IN_COST'!$D$9*E45)))*'IN_MACRO'!$D$20))*AF45</f>
        <v/>
      </c>
    </row>
    <row r="46">
      <c r="A46" t="inlineStr">
        <is>
          <t>FX|4|0</t>
        </is>
      </c>
      <c r="D46" s="38">
        <f>'IN_SCEN'!$H$24</f>
        <v/>
      </c>
      <c r="E46" s="38">
        <f>'IN_SCEN'!$D$25</f>
        <v/>
      </c>
      <c r="F46" s="38">
        <f>0</f>
        <v/>
      </c>
      <c r="G46" s="36">
        <f>(('ENG_OPS'!$D$81*(1+AVERAGE('ENG_OPS'!$D$84:$P$84)*E46)*(1+F46))-('ENG_COST'!$D$266*(1+'IN_COST'!$D$8*E46))-('ENG_COST'!$D$268*(1+'IN_COST'!$D$9*E46))-('ENG_CAPEX'!$D$81*(1+'ENG_CAPEX'!$D$23*E46)))-MAX(0,(('ENG_OPS'!$D$81*(1+AVERAGE('ENG_OPS'!$D$84:$P$84)*E46)*(1+F46))-('ENG_COST'!$D$266*(1+'IN_COST'!$D$8*E46))-('ENG_COST'!$D$268*(1+'IN_COST'!$D$9*E46))-('ENG_CAPEX'!$D$81*(1+'ENG_CAPEX'!$D$23*E46))))*'IN_MACRO'!$D$14+('ENG_CAPEX'!$D$81*(1+'ENG_CAPEX'!$D$23*E46))-(('ENG_CAPEX'!$D$21+'ENG_CAPEX'!$D$42)*(1+'ENG_CAPEX'!$D$23*E46))-('ENG_WC'!$D$19*(1+AVERAGE('ENG_OPS'!$D$84:$P$84)*E46)*(1+F46))</f>
        <v/>
      </c>
      <c r="H46" s="36">
        <f>(('ENG_OPS'!$E$81*(1+AVERAGE('ENG_OPS'!$D$84:$P$84)*E46)*(1+F46))-('ENG_COST'!$E$266*(1+'IN_COST'!$D$8*E46))-('ENG_COST'!$E$268*(1+'IN_COST'!$D$9*E46))-('ENG_CAPEX'!$E$81*(1+'ENG_CAPEX'!$D$23*E46)))-MAX(0,(('ENG_OPS'!$E$81*(1+AVERAGE('ENG_OPS'!$D$84:$P$84)*E46)*(1+F46))-('ENG_COST'!$E$266*(1+'IN_COST'!$D$8*E46))-('ENG_COST'!$E$268*(1+'IN_COST'!$D$9*E46))-('ENG_CAPEX'!$E$81*(1+'ENG_CAPEX'!$D$23*E46))))*'IN_MACRO'!$D$14+('ENG_CAPEX'!$E$81*(1+'ENG_CAPEX'!$D$23*E46))-(('ENG_CAPEX'!$E$21+'ENG_CAPEX'!$E$42)*(1+'ENG_CAPEX'!$D$23*E46))-('ENG_WC'!$E$19*(1+AVERAGE('ENG_OPS'!$D$84:$P$84)*E46)*(1+F46))</f>
        <v/>
      </c>
      <c r="I46" s="36">
        <f>(('ENG_OPS'!$F$81*(1+AVERAGE('ENG_OPS'!$D$84:$P$84)*E46)*(1+F46))-('ENG_COST'!$F$266*(1+'IN_COST'!$D$8*E46))-('ENG_COST'!$F$268*(1+'IN_COST'!$D$9*E46))-('ENG_CAPEX'!$F$81*(1+'ENG_CAPEX'!$D$23*E46)))-MAX(0,(('ENG_OPS'!$F$81*(1+AVERAGE('ENG_OPS'!$D$84:$P$84)*E46)*(1+F46))-('ENG_COST'!$F$266*(1+'IN_COST'!$D$8*E46))-('ENG_COST'!$F$268*(1+'IN_COST'!$D$9*E46))-('ENG_CAPEX'!$F$81*(1+'ENG_CAPEX'!$D$23*E46))))*'IN_MACRO'!$D$14+('ENG_CAPEX'!$F$81*(1+'ENG_CAPEX'!$D$23*E46))-(('ENG_CAPEX'!$F$21+'ENG_CAPEX'!$F$42)*(1+'ENG_CAPEX'!$D$23*E46))-('ENG_WC'!$F$19*(1+AVERAGE('ENG_OPS'!$D$84:$P$84)*E46)*(1+F46))</f>
        <v/>
      </c>
      <c r="J46" s="36">
        <f>(('ENG_OPS'!$G$81*(1+AVERAGE('ENG_OPS'!$D$84:$P$84)*E46)*(1+F46))-('ENG_COST'!$G$266*(1+'IN_COST'!$D$8*E46))-('ENG_COST'!$G$268*(1+'IN_COST'!$D$9*E46))-('ENG_CAPEX'!$G$81*(1+'ENG_CAPEX'!$D$23*E46)))-MAX(0,(('ENG_OPS'!$G$81*(1+AVERAGE('ENG_OPS'!$D$84:$P$84)*E46)*(1+F46))-('ENG_COST'!$G$266*(1+'IN_COST'!$D$8*E46))-('ENG_COST'!$G$268*(1+'IN_COST'!$D$9*E46))-('ENG_CAPEX'!$G$81*(1+'ENG_CAPEX'!$D$23*E46))))*'IN_MACRO'!$D$14+('ENG_CAPEX'!$G$81*(1+'ENG_CAPEX'!$D$23*E46))-(('ENG_CAPEX'!$G$21+'ENG_CAPEX'!$G$42)*(1+'ENG_CAPEX'!$D$23*E46))-('ENG_WC'!$G$19*(1+AVERAGE('ENG_OPS'!$D$84:$P$84)*E46)*(1+F46))</f>
        <v/>
      </c>
      <c r="K46" s="36">
        <f>(('ENG_OPS'!$H$81*(1+AVERAGE('ENG_OPS'!$D$84:$P$84)*E46)*(1+F46))-('ENG_COST'!$H$266*(1+'IN_COST'!$D$8*E46))-('ENG_COST'!$H$268*(1+'IN_COST'!$D$9*E46))-('ENG_CAPEX'!$H$81*(1+'ENG_CAPEX'!$D$23*E46)))-MAX(0,(('ENG_OPS'!$H$81*(1+AVERAGE('ENG_OPS'!$D$84:$P$84)*E46)*(1+F46))-('ENG_COST'!$H$266*(1+'IN_COST'!$D$8*E46))-('ENG_COST'!$H$268*(1+'IN_COST'!$D$9*E46))-('ENG_CAPEX'!$H$81*(1+'ENG_CAPEX'!$D$23*E46))))*'IN_MACRO'!$D$14+('ENG_CAPEX'!$H$81*(1+'ENG_CAPEX'!$D$23*E46))-(('ENG_CAPEX'!$H$21+'ENG_CAPEX'!$H$42)*(1+'ENG_CAPEX'!$D$23*E46))-('ENG_WC'!$H$19*(1+AVERAGE('ENG_OPS'!$D$84:$P$84)*E46)*(1+F46))</f>
        <v/>
      </c>
      <c r="L46" s="36">
        <f>(('ENG_OPS'!$I$81*(1+AVERAGE('ENG_OPS'!$D$84:$P$84)*E46)*(1+F46))-('ENG_COST'!$I$266*(1+'IN_COST'!$D$8*E46))-('ENG_COST'!$I$268*(1+'IN_COST'!$D$9*E46))-('ENG_CAPEX'!$I$81*(1+'ENG_CAPEX'!$D$23*E46)))-MAX(0,(('ENG_OPS'!$I$81*(1+AVERAGE('ENG_OPS'!$D$84:$P$84)*E46)*(1+F46))-('ENG_COST'!$I$266*(1+'IN_COST'!$D$8*E46))-('ENG_COST'!$I$268*(1+'IN_COST'!$D$9*E46))-('ENG_CAPEX'!$I$81*(1+'ENG_CAPEX'!$D$23*E46))))*'IN_MACRO'!$D$14+('ENG_CAPEX'!$I$81*(1+'ENG_CAPEX'!$D$23*E46))-(('ENG_CAPEX'!$I$21+'ENG_CAPEX'!$I$42)*(1+'ENG_CAPEX'!$D$23*E46))-('ENG_WC'!$I$19*(1+AVERAGE('ENG_OPS'!$D$84:$P$84)*E46)*(1+F46))</f>
        <v/>
      </c>
      <c r="M46" s="36">
        <f>(('ENG_OPS'!$J$81*(1+AVERAGE('ENG_OPS'!$D$84:$P$84)*E46)*(1+F46))-('ENG_COST'!$J$266*(1+'IN_COST'!$D$8*E46))-('ENG_COST'!$J$268*(1+'IN_COST'!$D$9*E46))-('ENG_CAPEX'!$J$81*(1+'ENG_CAPEX'!$D$23*E46)))-MAX(0,(('ENG_OPS'!$J$81*(1+AVERAGE('ENG_OPS'!$D$84:$P$84)*E46)*(1+F46))-('ENG_COST'!$J$266*(1+'IN_COST'!$D$8*E46))-('ENG_COST'!$J$268*(1+'IN_COST'!$D$9*E46))-('ENG_CAPEX'!$J$81*(1+'ENG_CAPEX'!$D$23*E46))))*'IN_MACRO'!$D$14+('ENG_CAPEX'!$J$81*(1+'ENG_CAPEX'!$D$23*E46))-(('ENG_CAPEX'!$J$21+'ENG_CAPEX'!$J$42)*(1+'ENG_CAPEX'!$D$23*E46))-('ENG_WC'!$J$19*(1+AVERAGE('ENG_OPS'!$D$84:$P$84)*E46)*(1+F46))</f>
        <v/>
      </c>
      <c r="N46" s="36">
        <f>(('ENG_OPS'!$K$81*(1+AVERAGE('ENG_OPS'!$D$84:$P$84)*E46)*(1+F46))-('ENG_COST'!$K$266*(1+'IN_COST'!$D$8*E46))-('ENG_COST'!$K$268*(1+'IN_COST'!$D$9*E46))-('ENG_CAPEX'!$K$81*(1+'ENG_CAPEX'!$D$23*E46)))-MAX(0,(('ENG_OPS'!$K$81*(1+AVERAGE('ENG_OPS'!$D$84:$P$84)*E46)*(1+F46))-('ENG_COST'!$K$266*(1+'IN_COST'!$D$8*E46))-('ENG_COST'!$K$268*(1+'IN_COST'!$D$9*E46))-('ENG_CAPEX'!$K$81*(1+'ENG_CAPEX'!$D$23*E46))))*'IN_MACRO'!$D$14+('ENG_CAPEX'!$K$81*(1+'ENG_CAPEX'!$D$23*E46))-(('ENG_CAPEX'!$K$21+'ENG_CAPEX'!$K$42)*(1+'ENG_CAPEX'!$D$23*E46))-('ENG_WC'!$K$19*(1+AVERAGE('ENG_OPS'!$D$84:$P$84)*E46)*(1+F46))</f>
        <v/>
      </c>
      <c r="O46" s="36">
        <f>(('ENG_OPS'!$L$81*(1+AVERAGE('ENG_OPS'!$D$84:$P$84)*E46)*(1+F46))-('ENG_COST'!$L$266*(1+'IN_COST'!$D$8*E46))-('ENG_COST'!$L$268*(1+'IN_COST'!$D$9*E46))-('ENG_CAPEX'!$L$81*(1+'ENG_CAPEX'!$D$23*E46)))-MAX(0,(('ENG_OPS'!$L$81*(1+AVERAGE('ENG_OPS'!$D$84:$P$84)*E46)*(1+F46))-('ENG_COST'!$L$266*(1+'IN_COST'!$D$8*E46))-('ENG_COST'!$L$268*(1+'IN_COST'!$D$9*E46))-('ENG_CAPEX'!$L$81*(1+'ENG_CAPEX'!$D$23*E46))))*'IN_MACRO'!$D$14+('ENG_CAPEX'!$L$81*(1+'ENG_CAPEX'!$D$23*E46))-(('ENG_CAPEX'!$L$21+'ENG_CAPEX'!$L$42)*(1+'ENG_CAPEX'!$D$23*E46))-('ENG_WC'!$L$19*(1+AVERAGE('ENG_OPS'!$D$84:$P$84)*E46)*(1+F46))</f>
        <v/>
      </c>
      <c r="P46" s="36">
        <f>(('ENG_OPS'!$M$81*(1+AVERAGE('ENG_OPS'!$D$84:$P$84)*E46)*(1+F46))-('ENG_COST'!$M$266*(1+'IN_COST'!$D$8*E46))-('ENG_COST'!$M$268*(1+'IN_COST'!$D$9*E46))-('ENG_CAPEX'!$M$81*(1+'ENG_CAPEX'!$D$23*E46)))-MAX(0,(('ENG_OPS'!$M$81*(1+AVERAGE('ENG_OPS'!$D$84:$P$84)*E46)*(1+F46))-('ENG_COST'!$M$266*(1+'IN_COST'!$D$8*E46))-('ENG_COST'!$M$268*(1+'IN_COST'!$D$9*E46))-('ENG_CAPEX'!$M$81*(1+'ENG_CAPEX'!$D$23*E46))))*'IN_MACRO'!$D$14+('ENG_CAPEX'!$M$81*(1+'ENG_CAPEX'!$D$23*E46))-(('ENG_CAPEX'!$M$21+'ENG_CAPEX'!$M$42)*(1+'ENG_CAPEX'!$D$23*E46))-('ENG_WC'!$M$19*(1+AVERAGE('ENG_OPS'!$D$84:$P$84)*E46)*(1+F46))</f>
        <v/>
      </c>
      <c r="Q46" s="36">
        <f>(('ENG_OPS'!$N$81*(1+AVERAGE('ENG_OPS'!$D$84:$P$84)*E46)*(1+F46))-('ENG_COST'!$N$266*(1+'IN_COST'!$D$8*E46))-('ENG_COST'!$N$268*(1+'IN_COST'!$D$9*E46))-('ENG_CAPEX'!$N$81*(1+'ENG_CAPEX'!$D$23*E46)))-MAX(0,(('ENG_OPS'!$N$81*(1+AVERAGE('ENG_OPS'!$D$84:$P$84)*E46)*(1+F46))-('ENG_COST'!$N$266*(1+'IN_COST'!$D$8*E46))-('ENG_COST'!$N$268*(1+'IN_COST'!$D$9*E46))-('ENG_CAPEX'!$N$81*(1+'ENG_CAPEX'!$D$23*E46))))*'IN_MACRO'!$D$14+('ENG_CAPEX'!$N$81*(1+'ENG_CAPEX'!$D$23*E46))-(('ENG_CAPEX'!$N$21+'ENG_CAPEX'!$N$42)*(1+'ENG_CAPEX'!$D$23*E46))-('ENG_WC'!$N$19*(1+AVERAGE('ENG_OPS'!$D$84:$P$84)*E46)*(1+F46))</f>
        <v/>
      </c>
      <c r="R46" s="36">
        <f>(('ENG_OPS'!$O$81*(1+AVERAGE('ENG_OPS'!$D$84:$P$84)*E46)*(1+F46))-('ENG_COST'!$O$266*(1+'IN_COST'!$D$8*E46))-('ENG_COST'!$O$268*(1+'IN_COST'!$D$9*E46))-('ENG_CAPEX'!$O$81*(1+'ENG_CAPEX'!$D$23*E46)))-MAX(0,(('ENG_OPS'!$O$81*(1+AVERAGE('ENG_OPS'!$D$84:$P$84)*E46)*(1+F46))-('ENG_COST'!$O$266*(1+'IN_COST'!$D$8*E46))-('ENG_COST'!$O$268*(1+'IN_COST'!$D$9*E46))-('ENG_CAPEX'!$O$81*(1+'ENG_CAPEX'!$D$23*E46))))*'IN_MACRO'!$D$14+('ENG_CAPEX'!$O$81*(1+'ENG_CAPEX'!$D$23*E46))-(('ENG_CAPEX'!$O$21+'ENG_CAPEX'!$O$42)*(1+'ENG_CAPEX'!$D$23*E46))-('ENG_WC'!$O$19*(1+AVERAGE('ENG_OPS'!$D$84:$P$84)*E46)*(1+F46))</f>
        <v/>
      </c>
      <c r="S46" s="36">
        <f>(('ENG_OPS'!$P$81*(1+AVERAGE('ENG_OPS'!$D$84:$P$84)*E46)*(1+F46))-('ENG_COST'!$P$266*(1+'IN_COST'!$D$8*E46))-('ENG_COST'!$P$268*(1+'IN_COST'!$D$9*E46))-('ENG_CAPEX'!$P$81*(1+'ENG_CAPEX'!$D$23*E46)))-MAX(0,(('ENG_OPS'!$P$81*(1+AVERAGE('ENG_OPS'!$D$84:$P$84)*E46)*(1+F46))-('ENG_COST'!$P$266*(1+'IN_COST'!$D$8*E46))-('ENG_COST'!$P$268*(1+'IN_COST'!$D$9*E46))-('ENG_CAPEX'!$P$81*(1+'ENG_CAPEX'!$D$23*E46))))*'IN_MACRO'!$D$14+('ENG_CAPEX'!$P$81*(1+'ENG_CAPEX'!$D$23*E46))-(('ENG_CAPEX'!$P$21+'ENG_CAPEX'!$P$42)*(1+'ENG_CAPEX'!$D$23*E46))-('ENG_WC'!$P$19*(1+AVERAGE('ENG_OPS'!$D$84:$P$84)*E46)*(1+F46))</f>
        <v/>
      </c>
      <c r="T46" s="30">
        <f>1</f>
        <v/>
      </c>
      <c r="U46" s="30">
        <f>T46/(1+'ENG_DCF'!$E$14+D46)</f>
        <v/>
      </c>
      <c r="V46" s="30">
        <f>U46/(1+'ENG_DCF'!$F$14+D46)</f>
        <v/>
      </c>
      <c r="W46" s="30">
        <f>V46/(1+'ENG_DCF'!$G$14+D46)</f>
        <v/>
      </c>
      <c r="X46" s="30">
        <f>W46/(1+'ENG_DCF'!$H$14+D46)</f>
        <v/>
      </c>
      <c r="Y46" s="30">
        <f>X46/(1+'ENG_DCF'!$I$14+D46)</f>
        <v/>
      </c>
      <c r="Z46" s="30">
        <f>Y46/(1+'ENG_DCF'!$J$14+D46)</f>
        <v/>
      </c>
      <c r="AA46" s="30">
        <f>Z46/(1+'ENG_DCF'!$K$14+D46)</f>
        <v/>
      </c>
      <c r="AB46" s="30">
        <f>AA46/(1+'ENG_DCF'!$L$14+D46)</f>
        <v/>
      </c>
      <c r="AC46" s="30">
        <f>AB46/(1+'ENG_DCF'!$M$14+D46)</f>
        <v/>
      </c>
      <c r="AD46" s="30">
        <f>AC46/(1+'ENG_DCF'!$N$14+D46)</f>
        <v/>
      </c>
      <c r="AE46" s="30">
        <f>AD46/(1+'ENG_DCF'!$O$14+D46)</f>
        <v/>
      </c>
      <c r="AF46" s="30">
        <f>AE46/(1+'ENG_DCF'!$P$14+D46)</f>
        <v/>
      </c>
      <c r="AG46" s="36">
        <f>(G46*T46+H46*U46+I46*V46+J46*W46+K46*X46+L46*Y46+M46*Z46+N46*AA46+O46*AB46+P46*AC46+Q46*AD46+R46*AE46+S46*AF46)+(IF('IN_MACRO'!$D$19=1,MAX(0,(S46+(('ENG_CAPEX'!$P$21+'ENG_CAPEX'!$P$42)*(1+'ENG_CAPEX'!$D$23*E46))))*(1+'IN_MACRO'!$D$18)/MAX(0.005,'ENG_DCF'!$P$14+D46-'IN_MACRO'!$D$18),(('ENG_OPS'!$P$81*(1+AVERAGE('ENG_OPS'!$D$84:$P$84)*E46)*(1+F46))-('ENG_COST'!$P$266*(1+'IN_COST'!$D$8*E46))-('ENG_COST'!$P$268*(1+'IN_COST'!$D$9*E46)))*'IN_MACRO'!$D$20))*AF46</f>
        <v/>
      </c>
    </row>
    <row r="47">
      <c r="A47" t="inlineStr">
        <is>
          <t>PR|4|0</t>
        </is>
      </c>
      <c r="D47" s="38">
        <f>'IN_SCEN'!$H$24</f>
        <v/>
      </c>
      <c r="E47" s="38">
        <f>0</f>
        <v/>
      </c>
      <c r="F47" s="38">
        <f>'IN_SCEN'!$D$26</f>
        <v/>
      </c>
      <c r="G47" s="36">
        <f>(('ENG_OPS'!$D$81*(1+AVERAGE('ENG_OPS'!$D$84:$P$84)*E47)*(1+F47))-('ENG_COST'!$D$266*(1+'IN_COST'!$D$8*E47))-('ENG_COST'!$D$268*(1+'IN_COST'!$D$9*E47))-('ENG_CAPEX'!$D$81*(1+'ENG_CAPEX'!$D$23*E47)))-MAX(0,(('ENG_OPS'!$D$81*(1+AVERAGE('ENG_OPS'!$D$84:$P$84)*E47)*(1+F47))-('ENG_COST'!$D$266*(1+'IN_COST'!$D$8*E47))-('ENG_COST'!$D$268*(1+'IN_COST'!$D$9*E47))-('ENG_CAPEX'!$D$81*(1+'ENG_CAPEX'!$D$23*E47))))*'IN_MACRO'!$D$14+('ENG_CAPEX'!$D$81*(1+'ENG_CAPEX'!$D$23*E47))-(('ENG_CAPEX'!$D$21+'ENG_CAPEX'!$D$42)*(1+'ENG_CAPEX'!$D$23*E47))-('ENG_WC'!$D$19*(1+AVERAGE('ENG_OPS'!$D$84:$P$84)*E47)*(1+F47))</f>
        <v/>
      </c>
      <c r="H47" s="36">
        <f>(('ENG_OPS'!$E$81*(1+AVERAGE('ENG_OPS'!$D$84:$P$84)*E47)*(1+F47))-('ENG_COST'!$E$266*(1+'IN_COST'!$D$8*E47))-('ENG_COST'!$E$268*(1+'IN_COST'!$D$9*E47))-('ENG_CAPEX'!$E$81*(1+'ENG_CAPEX'!$D$23*E47)))-MAX(0,(('ENG_OPS'!$E$81*(1+AVERAGE('ENG_OPS'!$D$84:$P$84)*E47)*(1+F47))-('ENG_COST'!$E$266*(1+'IN_COST'!$D$8*E47))-('ENG_COST'!$E$268*(1+'IN_COST'!$D$9*E47))-('ENG_CAPEX'!$E$81*(1+'ENG_CAPEX'!$D$23*E47))))*'IN_MACRO'!$D$14+('ENG_CAPEX'!$E$81*(1+'ENG_CAPEX'!$D$23*E47))-(('ENG_CAPEX'!$E$21+'ENG_CAPEX'!$E$42)*(1+'ENG_CAPEX'!$D$23*E47))-('ENG_WC'!$E$19*(1+AVERAGE('ENG_OPS'!$D$84:$P$84)*E47)*(1+F47))</f>
        <v/>
      </c>
      <c r="I47" s="36">
        <f>(('ENG_OPS'!$F$81*(1+AVERAGE('ENG_OPS'!$D$84:$P$84)*E47)*(1+F47))-('ENG_COST'!$F$266*(1+'IN_COST'!$D$8*E47))-('ENG_COST'!$F$268*(1+'IN_COST'!$D$9*E47))-('ENG_CAPEX'!$F$81*(1+'ENG_CAPEX'!$D$23*E47)))-MAX(0,(('ENG_OPS'!$F$81*(1+AVERAGE('ENG_OPS'!$D$84:$P$84)*E47)*(1+F47))-('ENG_COST'!$F$266*(1+'IN_COST'!$D$8*E47))-('ENG_COST'!$F$268*(1+'IN_COST'!$D$9*E47))-('ENG_CAPEX'!$F$81*(1+'ENG_CAPEX'!$D$23*E47))))*'IN_MACRO'!$D$14+('ENG_CAPEX'!$F$81*(1+'ENG_CAPEX'!$D$23*E47))-(('ENG_CAPEX'!$F$21+'ENG_CAPEX'!$F$42)*(1+'ENG_CAPEX'!$D$23*E47))-('ENG_WC'!$F$19*(1+AVERAGE('ENG_OPS'!$D$84:$P$84)*E47)*(1+F47))</f>
        <v/>
      </c>
      <c r="J47" s="36">
        <f>(('ENG_OPS'!$G$81*(1+AVERAGE('ENG_OPS'!$D$84:$P$84)*E47)*(1+F47))-('ENG_COST'!$G$266*(1+'IN_COST'!$D$8*E47))-('ENG_COST'!$G$268*(1+'IN_COST'!$D$9*E47))-('ENG_CAPEX'!$G$81*(1+'ENG_CAPEX'!$D$23*E47)))-MAX(0,(('ENG_OPS'!$G$81*(1+AVERAGE('ENG_OPS'!$D$84:$P$84)*E47)*(1+F47))-('ENG_COST'!$G$266*(1+'IN_COST'!$D$8*E47))-('ENG_COST'!$G$268*(1+'IN_COST'!$D$9*E47))-('ENG_CAPEX'!$G$81*(1+'ENG_CAPEX'!$D$23*E47))))*'IN_MACRO'!$D$14+('ENG_CAPEX'!$G$81*(1+'ENG_CAPEX'!$D$23*E47))-(('ENG_CAPEX'!$G$21+'ENG_CAPEX'!$G$42)*(1+'ENG_CAPEX'!$D$23*E47))-('ENG_WC'!$G$19*(1+AVERAGE('ENG_OPS'!$D$84:$P$84)*E47)*(1+F47))</f>
        <v/>
      </c>
      <c r="K47" s="36">
        <f>(('ENG_OPS'!$H$81*(1+AVERAGE('ENG_OPS'!$D$84:$P$84)*E47)*(1+F47))-('ENG_COST'!$H$266*(1+'IN_COST'!$D$8*E47))-('ENG_COST'!$H$268*(1+'IN_COST'!$D$9*E47))-('ENG_CAPEX'!$H$81*(1+'ENG_CAPEX'!$D$23*E47)))-MAX(0,(('ENG_OPS'!$H$81*(1+AVERAGE('ENG_OPS'!$D$84:$P$84)*E47)*(1+F47))-('ENG_COST'!$H$266*(1+'IN_COST'!$D$8*E47))-('ENG_COST'!$H$268*(1+'IN_COST'!$D$9*E47))-('ENG_CAPEX'!$H$81*(1+'ENG_CAPEX'!$D$23*E47))))*'IN_MACRO'!$D$14+('ENG_CAPEX'!$H$81*(1+'ENG_CAPEX'!$D$23*E47))-(('ENG_CAPEX'!$H$21+'ENG_CAPEX'!$H$42)*(1+'ENG_CAPEX'!$D$23*E47))-('ENG_WC'!$H$19*(1+AVERAGE('ENG_OPS'!$D$84:$P$84)*E47)*(1+F47))</f>
        <v/>
      </c>
      <c r="L47" s="36">
        <f>(('ENG_OPS'!$I$81*(1+AVERAGE('ENG_OPS'!$D$84:$P$84)*E47)*(1+F47))-('ENG_COST'!$I$266*(1+'IN_COST'!$D$8*E47))-('ENG_COST'!$I$268*(1+'IN_COST'!$D$9*E47))-('ENG_CAPEX'!$I$81*(1+'ENG_CAPEX'!$D$23*E47)))-MAX(0,(('ENG_OPS'!$I$81*(1+AVERAGE('ENG_OPS'!$D$84:$P$84)*E47)*(1+F47))-('ENG_COST'!$I$266*(1+'IN_COST'!$D$8*E47))-('ENG_COST'!$I$268*(1+'IN_COST'!$D$9*E47))-('ENG_CAPEX'!$I$81*(1+'ENG_CAPEX'!$D$23*E47))))*'IN_MACRO'!$D$14+('ENG_CAPEX'!$I$81*(1+'ENG_CAPEX'!$D$23*E47))-(('ENG_CAPEX'!$I$21+'ENG_CAPEX'!$I$42)*(1+'ENG_CAPEX'!$D$23*E47))-('ENG_WC'!$I$19*(1+AVERAGE('ENG_OPS'!$D$84:$P$84)*E47)*(1+F47))</f>
        <v/>
      </c>
      <c r="M47" s="36">
        <f>(('ENG_OPS'!$J$81*(1+AVERAGE('ENG_OPS'!$D$84:$P$84)*E47)*(1+F47))-('ENG_COST'!$J$266*(1+'IN_COST'!$D$8*E47))-('ENG_COST'!$J$268*(1+'IN_COST'!$D$9*E47))-('ENG_CAPEX'!$J$81*(1+'ENG_CAPEX'!$D$23*E47)))-MAX(0,(('ENG_OPS'!$J$81*(1+AVERAGE('ENG_OPS'!$D$84:$P$84)*E47)*(1+F47))-('ENG_COST'!$J$266*(1+'IN_COST'!$D$8*E47))-('ENG_COST'!$J$268*(1+'IN_COST'!$D$9*E47))-('ENG_CAPEX'!$J$81*(1+'ENG_CAPEX'!$D$23*E47))))*'IN_MACRO'!$D$14+('ENG_CAPEX'!$J$81*(1+'ENG_CAPEX'!$D$23*E47))-(('ENG_CAPEX'!$J$21+'ENG_CAPEX'!$J$42)*(1+'ENG_CAPEX'!$D$23*E47))-('ENG_WC'!$J$19*(1+AVERAGE('ENG_OPS'!$D$84:$P$84)*E47)*(1+F47))</f>
        <v/>
      </c>
      <c r="N47" s="36">
        <f>(('ENG_OPS'!$K$81*(1+AVERAGE('ENG_OPS'!$D$84:$P$84)*E47)*(1+F47))-('ENG_COST'!$K$266*(1+'IN_COST'!$D$8*E47))-('ENG_COST'!$K$268*(1+'IN_COST'!$D$9*E47))-('ENG_CAPEX'!$K$81*(1+'ENG_CAPEX'!$D$23*E47)))-MAX(0,(('ENG_OPS'!$K$81*(1+AVERAGE('ENG_OPS'!$D$84:$P$84)*E47)*(1+F47))-('ENG_COST'!$K$266*(1+'IN_COST'!$D$8*E47))-('ENG_COST'!$K$268*(1+'IN_COST'!$D$9*E47))-('ENG_CAPEX'!$K$81*(1+'ENG_CAPEX'!$D$23*E47))))*'IN_MACRO'!$D$14+('ENG_CAPEX'!$K$81*(1+'ENG_CAPEX'!$D$23*E47))-(('ENG_CAPEX'!$K$21+'ENG_CAPEX'!$K$42)*(1+'ENG_CAPEX'!$D$23*E47))-('ENG_WC'!$K$19*(1+AVERAGE('ENG_OPS'!$D$84:$P$84)*E47)*(1+F47))</f>
        <v/>
      </c>
      <c r="O47" s="36">
        <f>(('ENG_OPS'!$L$81*(1+AVERAGE('ENG_OPS'!$D$84:$P$84)*E47)*(1+F47))-('ENG_COST'!$L$266*(1+'IN_COST'!$D$8*E47))-('ENG_COST'!$L$268*(1+'IN_COST'!$D$9*E47))-('ENG_CAPEX'!$L$81*(1+'ENG_CAPEX'!$D$23*E47)))-MAX(0,(('ENG_OPS'!$L$81*(1+AVERAGE('ENG_OPS'!$D$84:$P$84)*E47)*(1+F47))-('ENG_COST'!$L$266*(1+'IN_COST'!$D$8*E47))-('ENG_COST'!$L$268*(1+'IN_COST'!$D$9*E47))-('ENG_CAPEX'!$L$81*(1+'ENG_CAPEX'!$D$23*E47))))*'IN_MACRO'!$D$14+('ENG_CAPEX'!$L$81*(1+'ENG_CAPEX'!$D$23*E47))-(('ENG_CAPEX'!$L$21+'ENG_CAPEX'!$L$42)*(1+'ENG_CAPEX'!$D$23*E47))-('ENG_WC'!$L$19*(1+AVERAGE('ENG_OPS'!$D$84:$P$84)*E47)*(1+F47))</f>
        <v/>
      </c>
      <c r="P47" s="36">
        <f>(('ENG_OPS'!$M$81*(1+AVERAGE('ENG_OPS'!$D$84:$P$84)*E47)*(1+F47))-('ENG_COST'!$M$266*(1+'IN_COST'!$D$8*E47))-('ENG_COST'!$M$268*(1+'IN_COST'!$D$9*E47))-('ENG_CAPEX'!$M$81*(1+'ENG_CAPEX'!$D$23*E47)))-MAX(0,(('ENG_OPS'!$M$81*(1+AVERAGE('ENG_OPS'!$D$84:$P$84)*E47)*(1+F47))-('ENG_COST'!$M$266*(1+'IN_COST'!$D$8*E47))-('ENG_COST'!$M$268*(1+'IN_COST'!$D$9*E47))-('ENG_CAPEX'!$M$81*(1+'ENG_CAPEX'!$D$23*E47))))*'IN_MACRO'!$D$14+('ENG_CAPEX'!$M$81*(1+'ENG_CAPEX'!$D$23*E47))-(('ENG_CAPEX'!$M$21+'ENG_CAPEX'!$M$42)*(1+'ENG_CAPEX'!$D$23*E47))-('ENG_WC'!$M$19*(1+AVERAGE('ENG_OPS'!$D$84:$P$84)*E47)*(1+F47))</f>
        <v/>
      </c>
      <c r="Q47" s="36">
        <f>(('ENG_OPS'!$N$81*(1+AVERAGE('ENG_OPS'!$D$84:$P$84)*E47)*(1+F47))-('ENG_COST'!$N$266*(1+'IN_COST'!$D$8*E47))-('ENG_COST'!$N$268*(1+'IN_COST'!$D$9*E47))-('ENG_CAPEX'!$N$81*(1+'ENG_CAPEX'!$D$23*E47)))-MAX(0,(('ENG_OPS'!$N$81*(1+AVERAGE('ENG_OPS'!$D$84:$P$84)*E47)*(1+F47))-('ENG_COST'!$N$266*(1+'IN_COST'!$D$8*E47))-('ENG_COST'!$N$268*(1+'IN_COST'!$D$9*E47))-('ENG_CAPEX'!$N$81*(1+'ENG_CAPEX'!$D$23*E47))))*'IN_MACRO'!$D$14+('ENG_CAPEX'!$N$81*(1+'ENG_CAPEX'!$D$23*E47))-(('ENG_CAPEX'!$N$21+'ENG_CAPEX'!$N$42)*(1+'ENG_CAPEX'!$D$23*E47))-('ENG_WC'!$N$19*(1+AVERAGE('ENG_OPS'!$D$84:$P$84)*E47)*(1+F47))</f>
        <v/>
      </c>
      <c r="R47" s="36">
        <f>(('ENG_OPS'!$O$81*(1+AVERAGE('ENG_OPS'!$D$84:$P$84)*E47)*(1+F47))-('ENG_COST'!$O$266*(1+'IN_COST'!$D$8*E47))-('ENG_COST'!$O$268*(1+'IN_COST'!$D$9*E47))-('ENG_CAPEX'!$O$81*(1+'ENG_CAPEX'!$D$23*E47)))-MAX(0,(('ENG_OPS'!$O$81*(1+AVERAGE('ENG_OPS'!$D$84:$P$84)*E47)*(1+F47))-('ENG_COST'!$O$266*(1+'IN_COST'!$D$8*E47))-('ENG_COST'!$O$268*(1+'IN_COST'!$D$9*E47))-('ENG_CAPEX'!$O$81*(1+'ENG_CAPEX'!$D$23*E47))))*'IN_MACRO'!$D$14+('ENG_CAPEX'!$O$81*(1+'ENG_CAPEX'!$D$23*E47))-(('ENG_CAPEX'!$O$21+'ENG_CAPEX'!$O$42)*(1+'ENG_CAPEX'!$D$23*E47))-('ENG_WC'!$O$19*(1+AVERAGE('ENG_OPS'!$D$84:$P$84)*E47)*(1+F47))</f>
        <v/>
      </c>
      <c r="S47" s="36">
        <f>(('ENG_OPS'!$P$81*(1+AVERAGE('ENG_OPS'!$D$84:$P$84)*E47)*(1+F47))-('ENG_COST'!$P$266*(1+'IN_COST'!$D$8*E47))-('ENG_COST'!$P$268*(1+'IN_COST'!$D$9*E47))-('ENG_CAPEX'!$P$81*(1+'ENG_CAPEX'!$D$23*E47)))-MAX(0,(('ENG_OPS'!$P$81*(1+AVERAGE('ENG_OPS'!$D$84:$P$84)*E47)*(1+F47))-('ENG_COST'!$P$266*(1+'IN_COST'!$D$8*E47))-('ENG_COST'!$P$268*(1+'IN_COST'!$D$9*E47))-('ENG_CAPEX'!$P$81*(1+'ENG_CAPEX'!$D$23*E47))))*'IN_MACRO'!$D$14+('ENG_CAPEX'!$P$81*(1+'ENG_CAPEX'!$D$23*E47))-(('ENG_CAPEX'!$P$21+'ENG_CAPEX'!$P$42)*(1+'ENG_CAPEX'!$D$23*E47))-('ENG_WC'!$P$19*(1+AVERAGE('ENG_OPS'!$D$84:$P$84)*E47)*(1+F47))</f>
        <v/>
      </c>
      <c r="T47" s="30">
        <f>1</f>
        <v/>
      </c>
      <c r="U47" s="30">
        <f>T47/(1+'ENG_DCF'!$E$14+D47)</f>
        <v/>
      </c>
      <c r="V47" s="30">
        <f>U47/(1+'ENG_DCF'!$F$14+D47)</f>
        <v/>
      </c>
      <c r="W47" s="30">
        <f>V47/(1+'ENG_DCF'!$G$14+D47)</f>
        <v/>
      </c>
      <c r="X47" s="30">
        <f>W47/(1+'ENG_DCF'!$H$14+D47)</f>
        <v/>
      </c>
      <c r="Y47" s="30">
        <f>X47/(1+'ENG_DCF'!$I$14+D47)</f>
        <v/>
      </c>
      <c r="Z47" s="30">
        <f>Y47/(1+'ENG_DCF'!$J$14+D47)</f>
        <v/>
      </c>
      <c r="AA47" s="30">
        <f>Z47/(1+'ENG_DCF'!$K$14+D47)</f>
        <v/>
      </c>
      <c r="AB47" s="30">
        <f>AA47/(1+'ENG_DCF'!$L$14+D47)</f>
        <v/>
      </c>
      <c r="AC47" s="30">
        <f>AB47/(1+'ENG_DCF'!$M$14+D47)</f>
        <v/>
      </c>
      <c r="AD47" s="30">
        <f>AC47/(1+'ENG_DCF'!$N$14+D47)</f>
        <v/>
      </c>
      <c r="AE47" s="30">
        <f>AD47/(1+'ENG_DCF'!$O$14+D47)</f>
        <v/>
      </c>
      <c r="AF47" s="30">
        <f>AE47/(1+'ENG_DCF'!$P$14+D47)</f>
        <v/>
      </c>
      <c r="AG47" s="36">
        <f>(G47*T47+H47*U47+I47*V47+J47*W47+K47*X47+L47*Y47+M47*Z47+N47*AA47+O47*AB47+P47*AC47+Q47*AD47+R47*AE47+S47*AF47)+(IF('IN_MACRO'!$D$19=1,MAX(0,(S47+(('ENG_CAPEX'!$P$21+'ENG_CAPEX'!$P$42)*(1+'ENG_CAPEX'!$D$23*E47))))*(1+'IN_MACRO'!$D$18)/MAX(0.005,'ENG_DCF'!$P$14+D47-'IN_MACRO'!$D$18),(('ENG_OPS'!$P$81*(1+AVERAGE('ENG_OPS'!$D$84:$P$84)*E47)*(1+F47))-('ENG_COST'!$P$266*(1+'IN_COST'!$D$8*E47))-('ENG_COST'!$P$268*(1+'IN_COST'!$D$9*E47)))*'IN_MACRO'!$D$20))*AF47</f>
        <v/>
      </c>
    </row>
    <row r="48">
      <c r="A48" t="inlineStr">
        <is>
          <t>FX|4|1</t>
        </is>
      </c>
      <c r="D48" s="38">
        <f>'IN_SCEN'!$H$24</f>
        <v/>
      </c>
      <c r="E48" s="38">
        <f>'IN_SCEN'!$E$25</f>
        <v/>
      </c>
      <c r="F48" s="38">
        <f>0</f>
        <v/>
      </c>
      <c r="G48" s="36">
        <f>(('ENG_OPS'!$D$81*(1+AVERAGE('ENG_OPS'!$D$84:$P$84)*E48)*(1+F48))-('ENG_COST'!$D$266*(1+'IN_COST'!$D$8*E48))-('ENG_COST'!$D$268*(1+'IN_COST'!$D$9*E48))-('ENG_CAPEX'!$D$81*(1+'ENG_CAPEX'!$D$23*E48)))-MAX(0,(('ENG_OPS'!$D$81*(1+AVERAGE('ENG_OPS'!$D$84:$P$84)*E48)*(1+F48))-('ENG_COST'!$D$266*(1+'IN_COST'!$D$8*E48))-('ENG_COST'!$D$268*(1+'IN_COST'!$D$9*E48))-('ENG_CAPEX'!$D$81*(1+'ENG_CAPEX'!$D$23*E48))))*'IN_MACRO'!$D$14+('ENG_CAPEX'!$D$81*(1+'ENG_CAPEX'!$D$23*E48))-(('ENG_CAPEX'!$D$21+'ENG_CAPEX'!$D$42)*(1+'ENG_CAPEX'!$D$23*E48))-('ENG_WC'!$D$19*(1+AVERAGE('ENG_OPS'!$D$84:$P$84)*E48)*(1+F48))</f>
        <v/>
      </c>
      <c r="H48" s="36">
        <f>(('ENG_OPS'!$E$81*(1+AVERAGE('ENG_OPS'!$D$84:$P$84)*E48)*(1+F48))-('ENG_COST'!$E$266*(1+'IN_COST'!$D$8*E48))-('ENG_COST'!$E$268*(1+'IN_COST'!$D$9*E48))-('ENG_CAPEX'!$E$81*(1+'ENG_CAPEX'!$D$23*E48)))-MAX(0,(('ENG_OPS'!$E$81*(1+AVERAGE('ENG_OPS'!$D$84:$P$84)*E48)*(1+F48))-('ENG_COST'!$E$266*(1+'IN_COST'!$D$8*E48))-('ENG_COST'!$E$268*(1+'IN_COST'!$D$9*E48))-('ENG_CAPEX'!$E$81*(1+'ENG_CAPEX'!$D$23*E48))))*'IN_MACRO'!$D$14+('ENG_CAPEX'!$E$81*(1+'ENG_CAPEX'!$D$23*E48))-(('ENG_CAPEX'!$E$21+'ENG_CAPEX'!$E$42)*(1+'ENG_CAPEX'!$D$23*E48))-('ENG_WC'!$E$19*(1+AVERAGE('ENG_OPS'!$D$84:$P$84)*E48)*(1+F48))</f>
        <v/>
      </c>
      <c r="I48" s="36">
        <f>(('ENG_OPS'!$F$81*(1+AVERAGE('ENG_OPS'!$D$84:$P$84)*E48)*(1+F48))-('ENG_COST'!$F$266*(1+'IN_COST'!$D$8*E48))-('ENG_COST'!$F$268*(1+'IN_COST'!$D$9*E48))-('ENG_CAPEX'!$F$81*(1+'ENG_CAPEX'!$D$23*E48)))-MAX(0,(('ENG_OPS'!$F$81*(1+AVERAGE('ENG_OPS'!$D$84:$P$84)*E48)*(1+F48))-('ENG_COST'!$F$266*(1+'IN_COST'!$D$8*E48))-('ENG_COST'!$F$268*(1+'IN_COST'!$D$9*E48))-('ENG_CAPEX'!$F$81*(1+'ENG_CAPEX'!$D$23*E48))))*'IN_MACRO'!$D$14+('ENG_CAPEX'!$F$81*(1+'ENG_CAPEX'!$D$23*E48))-(('ENG_CAPEX'!$F$21+'ENG_CAPEX'!$F$42)*(1+'ENG_CAPEX'!$D$23*E48))-('ENG_WC'!$F$19*(1+AVERAGE('ENG_OPS'!$D$84:$P$84)*E48)*(1+F48))</f>
        <v/>
      </c>
      <c r="J48" s="36">
        <f>(('ENG_OPS'!$G$81*(1+AVERAGE('ENG_OPS'!$D$84:$P$84)*E48)*(1+F48))-('ENG_COST'!$G$266*(1+'IN_COST'!$D$8*E48))-('ENG_COST'!$G$268*(1+'IN_COST'!$D$9*E48))-('ENG_CAPEX'!$G$81*(1+'ENG_CAPEX'!$D$23*E48)))-MAX(0,(('ENG_OPS'!$G$81*(1+AVERAGE('ENG_OPS'!$D$84:$P$84)*E48)*(1+F48))-('ENG_COST'!$G$266*(1+'IN_COST'!$D$8*E48))-('ENG_COST'!$G$268*(1+'IN_COST'!$D$9*E48))-('ENG_CAPEX'!$G$81*(1+'ENG_CAPEX'!$D$23*E48))))*'IN_MACRO'!$D$14+('ENG_CAPEX'!$G$81*(1+'ENG_CAPEX'!$D$23*E48))-(('ENG_CAPEX'!$G$21+'ENG_CAPEX'!$G$42)*(1+'ENG_CAPEX'!$D$23*E48))-('ENG_WC'!$G$19*(1+AVERAGE('ENG_OPS'!$D$84:$P$84)*E48)*(1+F48))</f>
        <v/>
      </c>
      <c r="K48" s="36">
        <f>(('ENG_OPS'!$H$81*(1+AVERAGE('ENG_OPS'!$D$84:$P$84)*E48)*(1+F48))-('ENG_COST'!$H$266*(1+'IN_COST'!$D$8*E48))-('ENG_COST'!$H$268*(1+'IN_COST'!$D$9*E48))-('ENG_CAPEX'!$H$81*(1+'ENG_CAPEX'!$D$23*E48)))-MAX(0,(('ENG_OPS'!$H$81*(1+AVERAGE('ENG_OPS'!$D$84:$P$84)*E48)*(1+F48))-('ENG_COST'!$H$266*(1+'IN_COST'!$D$8*E48))-('ENG_COST'!$H$268*(1+'IN_COST'!$D$9*E48))-('ENG_CAPEX'!$H$81*(1+'ENG_CAPEX'!$D$23*E48))))*'IN_MACRO'!$D$14+('ENG_CAPEX'!$H$81*(1+'ENG_CAPEX'!$D$23*E48))-(('ENG_CAPEX'!$H$21+'ENG_CAPEX'!$H$42)*(1+'ENG_CAPEX'!$D$23*E48))-('ENG_WC'!$H$19*(1+AVERAGE('ENG_OPS'!$D$84:$P$84)*E48)*(1+F48))</f>
        <v/>
      </c>
      <c r="L48" s="36">
        <f>(('ENG_OPS'!$I$81*(1+AVERAGE('ENG_OPS'!$D$84:$P$84)*E48)*(1+F48))-('ENG_COST'!$I$266*(1+'IN_COST'!$D$8*E48))-('ENG_COST'!$I$268*(1+'IN_COST'!$D$9*E48))-('ENG_CAPEX'!$I$81*(1+'ENG_CAPEX'!$D$23*E48)))-MAX(0,(('ENG_OPS'!$I$81*(1+AVERAGE('ENG_OPS'!$D$84:$P$84)*E48)*(1+F48))-('ENG_COST'!$I$266*(1+'IN_COST'!$D$8*E48))-('ENG_COST'!$I$268*(1+'IN_COST'!$D$9*E48))-('ENG_CAPEX'!$I$81*(1+'ENG_CAPEX'!$D$23*E48))))*'IN_MACRO'!$D$14+('ENG_CAPEX'!$I$81*(1+'ENG_CAPEX'!$D$23*E48))-(('ENG_CAPEX'!$I$21+'ENG_CAPEX'!$I$42)*(1+'ENG_CAPEX'!$D$23*E48))-('ENG_WC'!$I$19*(1+AVERAGE('ENG_OPS'!$D$84:$P$84)*E48)*(1+F48))</f>
        <v/>
      </c>
      <c r="M48" s="36">
        <f>(('ENG_OPS'!$J$81*(1+AVERAGE('ENG_OPS'!$D$84:$P$84)*E48)*(1+F48))-('ENG_COST'!$J$266*(1+'IN_COST'!$D$8*E48))-('ENG_COST'!$J$268*(1+'IN_COST'!$D$9*E48))-('ENG_CAPEX'!$J$81*(1+'ENG_CAPEX'!$D$23*E48)))-MAX(0,(('ENG_OPS'!$J$81*(1+AVERAGE('ENG_OPS'!$D$84:$P$84)*E48)*(1+F48))-('ENG_COST'!$J$266*(1+'IN_COST'!$D$8*E48))-('ENG_COST'!$J$268*(1+'IN_COST'!$D$9*E48))-('ENG_CAPEX'!$J$81*(1+'ENG_CAPEX'!$D$23*E48))))*'IN_MACRO'!$D$14+('ENG_CAPEX'!$J$81*(1+'ENG_CAPEX'!$D$23*E48))-(('ENG_CAPEX'!$J$21+'ENG_CAPEX'!$J$42)*(1+'ENG_CAPEX'!$D$23*E48))-('ENG_WC'!$J$19*(1+AVERAGE('ENG_OPS'!$D$84:$P$84)*E48)*(1+F48))</f>
        <v/>
      </c>
      <c r="N48" s="36">
        <f>(('ENG_OPS'!$K$81*(1+AVERAGE('ENG_OPS'!$D$84:$P$84)*E48)*(1+F48))-('ENG_COST'!$K$266*(1+'IN_COST'!$D$8*E48))-('ENG_COST'!$K$268*(1+'IN_COST'!$D$9*E48))-('ENG_CAPEX'!$K$81*(1+'ENG_CAPEX'!$D$23*E48)))-MAX(0,(('ENG_OPS'!$K$81*(1+AVERAGE('ENG_OPS'!$D$84:$P$84)*E48)*(1+F48))-('ENG_COST'!$K$266*(1+'IN_COST'!$D$8*E48))-('ENG_COST'!$K$268*(1+'IN_COST'!$D$9*E48))-('ENG_CAPEX'!$K$81*(1+'ENG_CAPEX'!$D$23*E48))))*'IN_MACRO'!$D$14+('ENG_CAPEX'!$K$81*(1+'ENG_CAPEX'!$D$23*E48))-(('ENG_CAPEX'!$K$21+'ENG_CAPEX'!$K$42)*(1+'ENG_CAPEX'!$D$23*E48))-('ENG_WC'!$K$19*(1+AVERAGE('ENG_OPS'!$D$84:$P$84)*E48)*(1+F48))</f>
        <v/>
      </c>
      <c r="O48" s="36">
        <f>(('ENG_OPS'!$L$81*(1+AVERAGE('ENG_OPS'!$D$84:$P$84)*E48)*(1+F48))-('ENG_COST'!$L$266*(1+'IN_COST'!$D$8*E48))-('ENG_COST'!$L$268*(1+'IN_COST'!$D$9*E48))-('ENG_CAPEX'!$L$81*(1+'ENG_CAPEX'!$D$23*E48)))-MAX(0,(('ENG_OPS'!$L$81*(1+AVERAGE('ENG_OPS'!$D$84:$P$84)*E48)*(1+F48))-('ENG_COST'!$L$266*(1+'IN_COST'!$D$8*E48))-('ENG_COST'!$L$268*(1+'IN_COST'!$D$9*E48))-('ENG_CAPEX'!$L$81*(1+'ENG_CAPEX'!$D$23*E48))))*'IN_MACRO'!$D$14+('ENG_CAPEX'!$L$81*(1+'ENG_CAPEX'!$D$23*E48))-(('ENG_CAPEX'!$L$21+'ENG_CAPEX'!$L$42)*(1+'ENG_CAPEX'!$D$23*E48))-('ENG_WC'!$L$19*(1+AVERAGE('ENG_OPS'!$D$84:$P$84)*E48)*(1+F48))</f>
        <v/>
      </c>
      <c r="P48" s="36">
        <f>(('ENG_OPS'!$M$81*(1+AVERAGE('ENG_OPS'!$D$84:$P$84)*E48)*(1+F48))-('ENG_COST'!$M$266*(1+'IN_COST'!$D$8*E48))-('ENG_COST'!$M$268*(1+'IN_COST'!$D$9*E48))-('ENG_CAPEX'!$M$81*(1+'ENG_CAPEX'!$D$23*E48)))-MAX(0,(('ENG_OPS'!$M$81*(1+AVERAGE('ENG_OPS'!$D$84:$P$84)*E48)*(1+F48))-('ENG_COST'!$M$266*(1+'IN_COST'!$D$8*E48))-('ENG_COST'!$M$268*(1+'IN_COST'!$D$9*E48))-('ENG_CAPEX'!$M$81*(1+'ENG_CAPEX'!$D$23*E48))))*'IN_MACRO'!$D$14+('ENG_CAPEX'!$M$81*(1+'ENG_CAPEX'!$D$23*E48))-(('ENG_CAPEX'!$M$21+'ENG_CAPEX'!$M$42)*(1+'ENG_CAPEX'!$D$23*E48))-('ENG_WC'!$M$19*(1+AVERAGE('ENG_OPS'!$D$84:$P$84)*E48)*(1+F48))</f>
        <v/>
      </c>
      <c r="Q48" s="36">
        <f>(('ENG_OPS'!$N$81*(1+AVERAGE('ENG_OPS'!$D$84:$P$84)*E48)*(1+F48))-('ENG_COST'!$N$266*(1+'IN_COST'!$D$8*E48))-('ENG_COST'!$N$268*(1+'IN_COST'!$D$9*E48))-('ENG_CAPEX'!$N$81*(1+'ENG_CAPEX'!$D$23*E48)))-MAX(0,(('ENG_OPS'!$N$81*(1+AVERAGE('ENG_OPS'!$D$84:$P$84)*E48)*(1+F48))-('ENG_COST'!$N$266*(1+'IN_COST'!$D$8*E48))-('ENG_COST'!$N$268*(1+'IN_COST'!$D$9*E48))-('ENG_CAPEX'!$N$81*(1+'ENG_CAPEX'!$D$23*E48))))*'IN_MACRO'!$D$14+('ENG_CAPEX'!$N$81*(1+'ENG_CAPEX'!$D$23*E48))-(('ENG_CAPEX'!$N$21+'ENG_CAPEX'!$N$42)*(1+'ENG_CAPEX'!$D$23*E48))-('ENG_WC'!$N$19*(1+AVERAGE('ENG_OPS'!$D$84:$P$84)*E48)*(1+F48))</f>
        <v/>
      </c>
      <c r="R48" s="36">
        <f>(('ENG_OPS'!$O$81*(1+AVERAGE('ENG_OPS'!$D$84:$P$84)*E48)*(1+F48))-('ENG_COST'!$O$266*(1+'IN_COST'!$D$8*E48))-('ENG_COST'!$O$268*(1+'IN_COST'!$D$9*E48))-('ENG_CAPEX'!$O$81*(1+'ENG_CAPEX'!$D$23*E48)))-MAX(0,(('ENG_OPS'!$O$81*(1+AVERAGE('ENG_OPS'!$D$84:$P$84)*E48)*(1+F48))-('ENG_COST'!$O$266*(1+'IN_COST'!$D$8*E48))-('ENG_COST'!$O$268*(1+'IN_COST'!$D$9*E48))-('ENG_CAPEX'!$O$81*(1+'ENG_CAPEX'!$D$23*E48))))*'IN_MACRO'!$D$14+('ENG_CAPEX'!$O$81*(1+'ENG_CAPEX'!$D$23*E48))-(('ENG_CAPEX'!$O$21+'ENG_CAPEX'!$O$42)*(1+'ENG_CAPEX'!$D$23*E48))-('ENG_WC'!$O$19*(1+AVERAGE('ENG_OPS'!$D$84:$P$84)*E48)*(1+F48))</f>
        <v/>
      </c>
      <c r="S48" s="36">
        <f>(('ENG_OPS'!$P$81*(1+AVERAGE('ENG_OPS'!$D$84:$P$84)*E48)*(1+F48))-('ENG_COST'!$P$266*(1+'IN_COST'!$D$8*E48))-('ENG_COST'!$P$268*(1+'IN_COST'!$D$9*E48))-('ENG_CAPEX'!$P$81*(1+'ENG_CAPEX'!$D$23*E48)))-MAX(0,(('ENG_OPS'!$P$81*(1+AVERAGE('ENG_OPS'!$D$84:$P$84)*E48)*(1+F48))-('ENG_COST'!$P$266*(1+'IN_COST'!$D$8*E48))-('ENG_COST'!$P$268*(1+'IN_COST'!$D$9*E48))-('ENG_CAPEX'!$P$81*(1+'ENG_CAPEX'!$D$23*E48))))*'IN_MACRO'!$D$14+('ENG_CAPEX'!$P$81*(1+'ENG_CAPEX'!$D$23*E48))-(('ENG_CAPEX'!$P$21+'ENG_CAPEX'!$P$42)*(1+'ENG_CAPEX'!$D$23*E48))-('ENG_WC'!$P$19*(1+AVERAGE('ENG_OPS'!$D$84:$P$84)*E48)*(1+F48))</f>
        <v/>
      </c>
      <c r="T48" s="30">
        <f>1</f>
        <v/>
      </c>
      <c r="U48" s="30">
        <f>T48/(1+'ENG_DCF'!$E$14+D48)</f>
        <v/>
      </c>
      <c r="V48" s="30">
        <f>U48/(1+'ENG_DCF'!$F$14+D48)</f>
        <v/>
      </c>
      <c r="W48" s="30">
        <f>V48/(1+'ENG_DCF'!$G$14+D48)</f>
        <v/>
      </c>
      <c r="X48" s="30">
        <f>W48/(1+'ENG_DCF'!$H$14+D48)</f>
        <v/>
      </c>
      <c r="Y48" s="30">
        <f>X48/(1+'ENG_DCF'!$I$14+D48)</f>
        <v/>
      </c>
      <c r="Z48" s="30">
        <f>Y48/(1+'ENG_DCF'!$J$14+D48)</f>
        <v/>
      </c>
      <c r="AA48" s="30">
        <f>Z48/(1+'ENG_DCF'!$K$14+D48)</f>
        <v/>
      </c>
      <c r="AB48" s="30">
        <f>AA48/(1+'ENG_DCF'!$L$14+D48)</f>
        <v/>
      </c>
      <c r="AC48" s="30">
        <f>AB48/(1+'ENG_DCF'!$M$14+D48)</f>
        <v/>
      </c>
      <c r="AD48" s="30">
        <f>AC48/(1+'ENG_DCF'!$N$14+D48)</f>
        <v/>
      </c>
      <c r="AE48" s="30">
        <f>AD48/(1+'ENG_DCF'!$O$14+D48)</f>
        <v/>
      </c>
      <c r="AF48" s="30">
        <f>AE48/(1+'ENG_DCF'!$P$14+D48)</f>
        <v/>
      </c>
      <c r="AG48" s="36">
        <f>(G48*T48+H48*U48+I48*V48+J48*W48+K48*X48+L48*Y48+M48*Z48+N48*AA48+O48*AB48+P48*AC48+Q48*AD48+R48*AE48+S48*AF48)+(IF('IN_MACRO'!$D$19=1,MAX(0,(S48+(('ENG_CAPEX'!$P$21+'ENG_CAPEX'!$P$42)*(1+'ENG_CAPEX'!$D$23*E48))))*(1+'IN_MACRO'!$D$18)/MAX(0.005,'ENG_DCF'!$P$14+D48-'IN_MACRO'!$D$18),(('ENG_OPS'!$P$81*(1+AVERAGE('ENG_OPS'!$D$84:$P$84)*E48)*(1+F48))-('ENG_COST'!$P$266*(1+'IN_COST'!$D$8*E48))-('ENG_COST'!$P$268*(1+'IN_COST'!$D$9*E48)))*'IN_MACRO'!$D$20))*AF48</f>
        <v/>
      </c>
    </row>
    <row r="49">
      <c r="A49" t="inlineStr">
        <is>
          <t>PR|4|1</t>
        </is>
      </c>
      <c r="D49" s="38">
        <f>'IN_SCEN'!$H$24</f>
        <v/>
      </c>
      <c r="E49" s="38">
        <f>0</f>
        <v/>
      </c>
      <c r="F49" s="38">
        <f>'IN_SCEN'!$E$26</f>
        <v/>
      </c>
      <c r="G49" s="36">
        <f>(('ENG_OPS'!$D$81*(1+AVERAGE('ENG_OPS'!$D$84:$P$84)*E49)*(1+F49))-('ENG_COST'!$D$266*(1+'IN_COST'!$D$8*E49))-('ENG_COST'!$D$268*(1+'IN_COST'!$D$9*E49))-('ENG_CAPEX'!$D$81*(1+'ENG_CAPEX'!$D$23*E49)))-MAX(0,(('ENG_OPS'!$D$81*(1+AVERAGE('ENG_OPS'!$D$84:$P$84)*E49)*(1+F49))-('ENG_COST'!$D$266*(1+'IN_COST'!$D$8*E49))-('ENG_COST'!$D$268*(1+'IN_COST'!$D$9*E49))-('ENG_CAPEX'!$D$81*(1+'ENG_CAPEX'!$D$23*E49))))*'IN_MACRO'!$D$14+('ENG_CAPEX'!$D$81*(1+'ENG_CAPEX'!$D$23*E49))-(('ENG_CAPEX'!$D$21+'ENG_CAPEX'!$D$42)*(1+'ENG_CAPEX'!$D$23*E49))-('ENG_WC'!$D$19*(1+AVERAGE('ENG_OPS'!$D$84:$P$84)*E49)*(1+F49))</f>
        <v/>
      </c>
      <c r="H49" s="36">
        <f>(('ENG_OPS'!$E$81*(1+AVERAGE('ENG_OPS'!$D$84:$P$84)*E49)*(1+F49))-('ENG_COST'!$E$266*(1+'IN_COST'!$D$8*E49))-('ENG_COST'!$E$268*(1+'IN_COST'!$D$9*E49))-('ENG_CAPEX'!$E$81*(1+'ENG_CAPEX'!$D$23*E49)))-MAX(0,(('ENG_OPS'!$E$81*(1+AVERAGE('ENG_OPS'!$D$84:$P$84)*E49)*(1+F49))-('ENG_COST'!$E$266*(1+'IN_COST'!$D$8*E49))-('ENG_COST'!$E$268*(1+'IN_COST'!$D$9*E49))-('ENG_CAPEX'!$E$81*(1+'ENG_CAPEX'!$D$23*E49))))*'IN_MACRO'!$D$14+('ENG_CAPEX'!$E$81*(1+'ENG_CAPEX'!$D$23*E49))-(('ENG_CAPEX'!$E$21+'ENG_CAPEX'!$E$42)*(1+'ENG_CAPEX'!$D$23*E49))-('ENG_WC'!$E$19*(1+AVERAGE('ENG_OPS'!$D$84:$P$84)*E49)*(1+F49))</f>
        <v/>
      </c>
      <c r="I49" s="36">
        <f>(('ENG_OPS'!$F$81*(1+AVERAGE('ENG_OPS'!$D$84:$P$84)*E49)*(1+F49))-('ENG_COST'!$F$266*(1+'IN_COST'!$D$8*E49))-('ENG_COST'!$F$268*(1+'IN_COST'!$D$9*E49))-('ENG_CAPEX'!$F$81*(1+'ENG_CAPEX'!$D$23*E49)))-MAX(0,(('ENG_OPS'!$F$81*(1+AVERAGE('ENG_OPS'!$D$84:$P$84)*E49)*(1+F49))-('ENG_COST'!$F$266*(1+'IN_COST'!$D$8*E49))-('ENG_COST'!$F$268*(1+'IN_COST'!$D$9*E49))-('ENG_CAPEX'!$F$81*(1+'ENG_CAPEX'!$D$23*E49))))*'IN_MACRO'!$D$14+('ENG_CAPEX'!$F$81*(1+'ENG_CAPEX'!$D$23*E49))-(('ENG_CAPEX'!$F$21+'ENG_CAPEX'!$F$42)*(1+'ENG_CAPEX'!$D$23*E49))-('ENG_WC'!$F$19*(1+AVERAGE('ENG_OPS'!$D$84:$P$84)*E49)*(1+F49))</f>
        <v/>
      </c>
      <c r="J49" s="36">
        <f>(('ENG_OPS'!$G$81*(1+AVERAGE('ENG_OPS'!$D$84:$P$84)*E49)*(1+F49))-('ENG_COST'!$G$266*(1+'IN_COST'!$D$8*E49))-('ENG_COST'!$G$268*(1+'IN_COST'!$D$9*E49))-('ENG_CAPEX'!$G$81*(1+'ENG_CAPEX'!$D$23*E49)))-MAX(0,(('ENG_OPS'!$G$81*(1+AVERAGE('ENG_OPS'!$D$84:$P$84)*E49)*(1+F49))-('ENG_COST'!$G$266*(1+'IN_COST'!$D$8*E49))-('ENG_COST'!$G$268*(1+'IN_COST'!$D$9*E49))-('ENG_CAPEX'!$G$81*(1+'ENG_CAPEX'!$D$23*E49))))*'IN_MACRO'!$D$14+('ENG_CAPEX'!$G$81*(1+'ENG_CAPEX'!$D$23*E49))-(('ENG_CAPEX'!$G$21+'ENG_CAPEX'!$G$42)*(1+'ENG_CAPEX'!$D$23*E49))-('ENG_WC'!$G$19*(1+AVERAGE('ENG_OPS'!$D$84:$P$84)*E49)*(1+F49))</f>
        <v/>
      </c>
      <c r="K49" s="36">
        <f>(('ENG_OPS'!$H$81*(1+AVERAGE('ENG_OPS'!$D$84:$P$84)*E49)*(1+F49))-('ENG_COST'!$H$266*(1+'IN_COST'!$D$8*E49))-('ENG_COST'!$H$268*(1+'IN_COST'!$D$9*E49))-('ENG_CAPEX'!$H$81*(1+'ENG_CAPEX'!$D$23*E49)))-MAX(0,(('ENG_OPS'!$H$81*(1+AVERAGE('ENG_OPS'!$D$84:$P$84)*E49)*(1+F49))-('ENG_COST'!$H$266*(1+'IN_COST'!$D$8*E49))-('ENG_COST'!$H$268*(1+'IN_COST'!$D$9*E49))-('ENG_CAPEX'!$H$81*(1+'ENG_CAPEX'!$D$23*E49))))*'IN_MACRO'!$D$14+('ENG_CAPEX'!$H$81*(1+'ENG_CAPEX'!$D$23*E49))-(('ENG_CAPEX'!$H$21+'ENG_CAPEX'!$H$42)*(1+'ENG_CAPEX'!$D$23*E49))-('ENG_WC'!$H$19*(1+AVERAGE('ENG_OPS'!$D$84:$P$84)*E49)*(1+F49))</f>
        <v/>
      </c>
      <c r="L49" s="36">
        <f>(('ENG_OPS'!$I$81*(1+AVERAGE('ENG_OPS'!$D$84:$P$84)*E49)*(1+F49))-('ENG_COST'!$I$266*(1+'IN_COST'!$D$8*E49))-('ENG_COST'!$I$268*(1+'IN_COST'!$D$9*E49))-('ENG_CAPEX'!$I$81*(1+'ENG_CAPEX'!$D$23*E49)))-MAX(0,(('ENG_OPS'!$I$81*(1+AVERAGE('ENG_OPS'!$D$84:$P$84)*E49)*(1+F49))-('ENG_COST'!$I$266*(1+'IN_COST'!$D$8*E49))-('ENG_COST'!$I$268*(1+'IN_COST'!$D$9*E49))-('ENG_CAPEX'!$I$81*(1+'ENG_CAPEX'!$D$23*E49))))*'IN_MACRO'!$D$14+('ENG_CAPEX'!$I$81*(1+'ENG_CAPEX'!$D$23*E49))-(('ENG_CAPEX'!$I$21+'ENG_CAPEX'!$I$42)*(1+'ENG_CAPEX'!$D$23*E49))-('ENG_WC'!$I$19*(1+AVERAGE('ENG_OPS'!$D$84:$P$84)*E49)*(1+F49))</f>
        <v/>
      </c>
      <c r="M49" s="36">
        <f>(('ENG_OPS'!$J$81*(1+AVERAGE('ENG_OPS'!$D$84:$P$84)*E49)*(1+F49))-('ENG_COST'!$J$266*(1+'IN_COST'!$D$8*E49))-('ENG_COST'!$J$268*(1+'IN_COST'!$D$9*E49))-('ENG_CAPEX'!$J$81*(1+'ENG_CAPEX'!$D$23*E49)))-MAX(0,(('ENG_OPS'!$J$81*(1+AVERAGE('ENG_OPS'!$D$84:$P$84)*E49)*(1+F49))-('ENG_COST'!$J$266*(1+'IN_COST'!$D$8*E49))-('ENG_COST'!$J$268*(1+'IN_COST'!$D$9*E49))-('ENG_CAPEX'!$J$81*(1+'ENG_CAPEX'!$D$23*E49))))*'IN_MACRO'!$D$14+('ENG_CAPEX'!$J$81*(1+'ENG_CAPEX'!$D$23*E49))-(('ENG_CAPEX'!$J$21+'ENG_CAPEX'!$J$42)*(1+'ENG_CAPEX'!$D$23*E49))-('ENG_WC'!$J$19*(1+AVERAGE('ENG_OPS'!$D$84:$P$84)*E49)*(1+F49))</f>
        <v/>
      </c>
      <c r="N49" s="36">
        <f>(('ENG_OPS'!$K$81*(1+AVERAGE('ENG_OPS'!$D$84:$P$84)*E49)*(1+F49))-('ENG_COST'!$K$266*(1+'IN_COST'!$D$8*E49))-('ENG_COST'!$K$268*(1+'IN_COST'!$D$9*E49))-('ENG_CAPEX'!$K$81*(1+'ENG_CAPEX'!$D$23*E49)))-MAX(0,(('ENG_OPS'!$K$81*(1+AVERAGE('ENG_OPS'!$D$84:$P$84)*E49)*(1+F49))-('ENG_COST'!$K$266*(1+'IN_COST'!$D$8*E49))-('ENG_COST'!$K$268*(1+'IN_COST'!$D$9*E49))-('ENG_CAPEX'!$K$81*(1+'ENG_CAPEX'!$D$23*E49))))*'IN_MACRO'!$D$14+('ENG_CAPEX'!$K$81*(1+'ENG_CAPEX'!$D$23*E49))-(('ENG_CAPEX'!$K$21+'ENG_CAPEX'!$K$42)*(1+'ENG_CAPEX'!$D$23*E49))-('ENG_WC'!$K$19*(1+AVERAGE('ENG_OPS'!$D$84:$P$84)*E49)*(1+F49))</f>
        <v/>
      </c>
      <c r="O49" s="36">
        <f>(('ENG_OPS'!$L$81*(1+AVERAGE('ENG_OPS'!$D$84:$P$84)*E49)*(1+F49))-('ENG_COST'!$L$266*(1+'IN_COST'!$D$8*E49))-('ENG_COST'!$L$268*(1+'IN_COST'!$D$9*E49))-('ENG_CAPEX'!$L$81*(1+'ENG_CAPEX'!$D$23*E49)))-MAX(0,(('ENG_OPS'!$L$81*(1+AVERAGE('ENG_OPS'!$D$84:$P$84)*E49)*(1+F49))-('ENG_COST'!$L$266*(1+'IN_COST'!$D$8*E49))-('ENG_COST'!$L$268*(1+'IN_COST'!$D$9*E49))-('ENG_CAPEX'!$L$81*(1+'ENG_CAPEX'!$D$23*E49))))*'IN_MACRO'!$D$14+('ENG_CAPEX'!$L$81*(1+'ENG_CAPEX'!$D$23*E49))-(('ENG_CAPEX'!$L$21+'ENG_CAPEX'!$L$42)*(1+'ENG_CAPEX'!$D$23*E49))-('ENG_WC'!$L$19*(1+AVERAGE('ENG_OPS'!$D$84:$P$84)*E49)*(1+F49))</f>
        <v/>
      </c>
      <c r="P49" s="36">
        <f>(('ENG_OPS'!$M$81*(1+AVERAGE('ENG_OPS'!$D$84:$P$84)*E49)*(1+F49))-('ENG_COST'!$M$266*(1+'IN_COST'!$D$8*E49))-('ENG_COST'!$M$268*(1+'IN_COST'!$D$9*E49))-('ENG_CAPEX'!$M$81*(1+'ENG_CAPEX'!$D$23*E49)))-MAX(0,(('ENG_OPS'!$M$81*(1+AVERAGE('ENG_OPS'!$D$84:$P$84)*E49)*(1+F49))-('ENG_COST'!$M$266*(1+'IN_COST'!$D$8*E49))-('ENG_COST'!$M$268*(1+'IN_COST'!$D$9*E49))-('ENG_CAPEX'!$M$81*(1+'ENG_CAPEX'!$D$23*E49))))*'IN_MACRO'!$D$14+('ENG_CAPEX'!$M$81*(1+'ENG_CAPEX'!$D$23*E49))-(('ENG_CAPEX'!$M$21+'ENG_CAPEX'!$M$42)*(1+'ENG_CAPEX'!$D$23*E49))-('ENG_WC'!$M$19*(1+AVERAGE('ENG_OPS'!$D$84:$P$84)*E49)*(1+F49))</f>
        <v/>
      </c>
      <c r="Q49" s="36">
        <f>(('ENG_OPS'!$N$81*(1+AVERAGE('ENG_OPS'!$D$84:$P$84)*E49)*(1+F49))-('ENG_COST'!$N$266*(1+'IN_COST'!$D$8*E49))-('ENG_COST'!$N$268*(1+'IN_COST'!$D$9*E49))-('ENG_CAPEX'!$N$81*(1+'ENG_CAPEX'!$D$23*E49)))-MAX(0,(('ENG_OPS'!$N$81*(1+AVERAGE('ENG_OPS'!$D$84:$P$84)*E49)*(1+F49))-('ENG_COST'!$N$266*(1+'IN_COST'!$D$8*E49))-('ENG_COST'!$N$268*(1+'IN_COST'!$D$9*E49))-('ENG_CAPEX'!$N$81*(1+'ENG_CAPEX'!$D$23*E49))))*'IN_MACRO'!$D$14+('ENG_CAPEX'!$N$81*(1+'ENG_CAPEX'!$D$23*E49))-(('ENG_CAPEX'!$N$21+'ENG_CAPEX'!$N$42)*(1+'ENG_CAPEX'!$D$23*E49))-('ENG_WC'!$N$19*(1+AVERAGE('ENG_OPS'!$D$84:$P$84)*E49)*(1+F49))</f>
        <v/>
      </c>
      <c r="R49" s="36">
        <f>(('ENG_OPS'!$O$81*(1+AVERAGE('ENG_OPS'!$D$84:$P$84)*E49)*(1+F49))-('ENG_COST'!$O$266*(1+'IN_COST'!$D$8*E49))-('ENG_COST'!$O$268*(1+'IN_COST'!$D$9*E49))-('ENG_CAPEX'!$O$81*(1+'ENG_CAPEX'!$D$23*E49)))-MAX(0,(('ENG_OPS'!$O$81*(1+AVERAGE('ENG_OPS'!$D$84:$P$84)*E49)*(1+F49))-('ENG_COST'!$O$266*(1+'IN_COST'!$D$8*E49))-('ENG_COST'!$O$268*(1+'IN_COST'!$D$9*E49))-('ENG_CAPEX'!$O$81*(1+'ENG_CAPEX'!$D$23*E49))))*'IN_MACRO'!$D$14+('ENG_CAPEX'!$O$81*(1+'ENG_CAPEX'!$D$23*E49))-(('ENG_CAPEX'!$O$21+'ENG_CAPEX'!$O$42)*(1+'ENG_CAPEX'!$D$23*E49))-('ENG_WC'!$O$19*(1+AVERAGE('ENG_OPS'!$D$84:$P$84)*E49)*(1+F49))</f>
        <v/>
      </c>
      <c r="S49" s="36">
        <f>(('ENG_OPS'!$P$81*(1+AVERAGE('ENG_OPS'!$D$84:$P$84)*E49)*(1+F49))-('ENG_COST'!$P$266*(1+'IN_COST'!$D$8*E49))-('ENG_COST'!$P$268*(1+'IN_COST'!$D$9*E49))-('ENG_CAPEX'!$P$81*(1+'ENG_CAPEX'!$D$23*E49)))-MAX(0,(('ENG_OPS'!$P$81*(1+AVERAGE('ENG_OPS'!$D$84:$P$84)*E49)*(1+F49))-('ENG_COST'!$P$266*(1+'IN_COST'!$D$8*E49))-('ENG_COST'!$P$268*(1+'IN_COST'!$D$9*E49))-('ENG_CAPEX'!$P$81*(1+'ENG_CAPEX'!$D$23*E49))))*'IN_MACRO'!$D$14+('ENG_CAPEX'!$P$81*(1+'ENG_CAPEX'!$D$23*E49))-(('ENG_CAPEX'!$P$21+'ENG_CAPEX'!$P$42)*(1+'ENG_CAPEX'!$D$23*E49))-('ENG_WC'!$P$19*(1+AVERAGE('ENG_OPS'!$D$84:$P$84)*E49)*(1+F49))</f>
        <v/>
      </c>
      <c r="T49" s="30">
        <f>1</f>
        <v/>
      </c>
      <c r="U49" s="30">
        <f>T49/(1+'ENG_DCF'!$E$14+D49)</f>
        <v/>
      </c>
      <c r="V49" s="30">
        <f>U49/(1+'ENG_DCF'!$F$14+D49)</f>
        <v/>
      </c>
      <c r="W49" s="30">
        <f>V49/(1+'ENG_DCF'!$G$14+D49)</f>
        <v/>
      </c>
      <c r="X49" s="30">
        <f>W49/(1+'ENG_DCF'!$H$14+D49)</f>
        <v/>
      </c>
      <c r="Y49" s="30">
        <f>X49/(1+'ENG_DCF'!$I$14+D49)</f>
        <v/>
      </c>
      <c r="Z49" s="30">
        <f>Y49/(1+'ENG_DCF'!$J$14+D49)</f>
        <v/>
      </c>
      <c r="AA49" s="30">
        <f>Z49/(1+'ENG_DCF'!$K$14+D49)</f>
        <v/>
      </c>
      <c r="AB49" s="30">
        <f>AA49/(1+'ENG_DCF'!$L$14+D49)</f>
        <v/>
      </c>
      <c r="AC49" s="30">
        <f>AB49/(1+'ENG_DCF'!$M$14+D49)</f>
        <v/>
      </c>
      <c r="AD49" s="30">
        <f>AC49/(1+'ENG_DCF'!$N$14+D49)</f>
        <v/>
      </c>
      <c r="AE49" s="30">
        <f>AD49/(1+'ENG_DCF'!$O$14+D49)</f>
        <v/>
      </c>
      <c r="AF49" s="30">
        <f>AE49/(1+'ENG_DCF'!$P$14+D49)</f>
        <v/>
      </c>
      <c r="AG49" s="36">
        <f>(G49*T49+H49*U49+I49*V49+J49*W49+K49*X49+L49*Y49+M49*Z49+N49*AA49+O49*AB49+P49*AC49+Q49*AD49+R49*AE49+S49*AF49)+(IF('IN_MACRO'!$D$19=1,MAX(0,(S49+(('ENG_CAPEX'!$P$21+'ENG_CAPEX'!$P$42)*(1+'ENG_CAPEX'!$D$23*E49))))*(1+'IN_MACRO'!$D$18)/MAX(0.005,'ENG_DCF'!$P$14+D49-'IN_MACRO'!$D$18),(('ENG_OPS'!$P$81*(1+AVERAGE('ENG_OPS'!$D$84:$P$84)*E49)*(1+F49))-('ENG_COST'!$P$266*(1+'IN_COST'!$D$8*E49))-('ENG_COST'!$P$268*(1+'IN_COST'!$D$9*E49)))*'IN_MACRO'!$D$20))*AF49</f>
        <v/>
      </c>
    </row>
    <row r="50">
      <c r="A50" t="inlineStr">
        <is>
          <t>FX|4|2</t>
        </is>
      </c>
      <c r="D50" s="38">
        <f>'IN_SCEN'!$H$24</f>
        <v/>
      </c>
      <c r="E50" s="38">
        <f>'IN_SCEN'!$F$25</f>
        <v/>
      </c>
      <c r="F50" s="38">
        <f>0</f>
        <v/>
      </c>
      <c r="G50" s="36">
        <f>(('ENG_OPS'!$D$81*(1+AVERAGE('ENG_OPS'!$D$84:$P$84)*E50)*(1+F50))-('ENG_COST'!$D$266*(1+'IN_COST'!$D$8*E50))-('ENG_COST'!$D$268*(1+'IN_COST'!$D$9*E50))-('ENG_CAPEX'!$D$81*(1+'ENG_CAPEX'!$D$23*E50)))-MAX(0,(('ENG_OPS'!$D$81*(1+AVERAGE('ENG_OPS'!$D$84:$P$84)*E50)*(1+F50))-('ENG_COST'!$D$266*(1+'IN_COST'!$D$8*E50))-('ENG_COST'!$D$268*(1+'IN_COST'!$D$9*E50))-('ENG_CAPEX'!$D$81*(1+'ENG_CAPEX'!$D$23*E50))))*'IN_MACRO'!$D$14+('ENG_CAPEX'!$D$81*(1+'ENG_CAPEX'!$D$23*E50))-(('ENG_CAPEX'!$D$21+'ENG_CAPEX'!$D$42)*(1+'ENG_CAPEX'!$D$23*E50))-('ENG_WC'!$D$19*(1+AVERAGE('ENG_OPS'!$D$84:$P$84)*E50)*(1+F50))</f>
        <v/>
      </c>
      <c r="H50" s="36">
        <f>(('ENG_OPS'!$E$81*(1+AVERAGE('ENG_OPS'!$D$84:$P$84)*E50)*(1+F50))-('ENG_COST'!$E$266*(1+'IN_COST'!$D$8*E50))-('ENG_COST'!$E$268*(1+'IN_COST'!$D$9*E50))-('ENG_CAPEX'!$E$81*(1+'ENG_CAPEX'!$D$23*E50)))-MAX(0,(('ENG_OPS'!$E$81*(1+AVERAGE('ENG_OPS'!$D$84:$P$84)*E50)*(1+F50))-('ENG_COST'!$E$266*(1+'IN_COST'!$D$8*E50))-('ENG_COST'!$E$268*(1+'IN_COST'!$D$9*E50))-('ENG_CAPEX'!$E$81*(1+'ENG_CAPEX'!$D$23*E50))))*'IN_MACRO'!$D$14+('ENG_CAPEX'!$E$81*(1+'ENG_CAPEX'!$D$23*E50))-(('ENG_CAPEX'!$E$21+'ENG_CAPEX'!$E$42)*(1+'ENG_CAPEX'!$D$23*E50))-('ENG_WC'!$E$19*(1+AVERAGE('ENG_OPS'!$D$84:$P$84)*E50)*(1+F50))</f>
        <v/>
      </c>
      <c r="I50" s="36">
        <f>(('ENG_OPS'!$F$81*(1+AVERAGE('ENG_OPS'!$D$84:$P$84)*E50)*(1+F50))-('ENG_COST'!$F$266*(1+'IN_COST'!$D$8*E50))-('ENG_COST'!$F$268*(1+'IN_COST'!$D$9*E50))-('ENG_CAPEX'!$F$81*(1+'ENG_CAPEX'!$D$23*E50)))-MAX(0,(('ENG_OPS'!$F$81*(1+AVERAGE('ENG_OPS'!$D$84:$P$84)*E50)*(1+F50))-('ENG_COST'!$F$266*(1+'IN_COST'!$D$8*E50))-('ENG_COST'!$F$268*(1+'IN_COST'!$D$9*E50))-('ENG_CAPEX'!$F$81*(1+'ENG_CAPEX'!$D$23*E50))))*'IN_MACRO'!$D$14+('ENG_CAPEX'!$F$81*(1+'ENG_CAPEX'!$D$23*E50))-(('ENG_CAPEX'!$F$21+'ENG_CAPEX'!$F$42)*(1+'ENG_CAPEX'!$D$23*E50))-('ENG_WC'!$F$19*(1+AVERAGE('ENG_OPS'!$D$84:$P$84)*E50)*(1+F50))</f>
        <v/>
      </c>
      <c r="J50" s="36">
        <f>(('ENG_OPS'!$G$81*(1+AVERAGE('ENG_OPS'!$D$84:$P$84)*E50)*(1+F50))-('ENG_COST'!$G$266*(1+'IN_COST'!$D$8*E50))-('ENG_COST'!$G$268*(1+'IN_COST'!$D$9*E50))-('ENG_CAPEX'!$G$81*(1+'ENG_CAPEX'!$D$23*E50)))-MAX(0,(('ENG_OPS'!$G$81*(1+AVERAGE('ENG_OPS'!$D$84:$P$84)*E50)*(1+F50))-('ENG_COST'!$G$266*(1+'IN_COST'!$D$8*E50))-('ENG_COST'!$G$268*(1+'IN_COST'!$D$9*E50))-('ENG_CAPEX'!$G$81*(1+'ENG_CAPEX'!$D$23*E50))))*'IN_MACRO'!$D$14+('ENG_CAPEX'!$G$81*(1+'ENG_CAPEX'!$D$23*E50))-(('ENG_CAPEX'!$G$21+'ENG_CAPEX'!$G$42)*(1+'ENG_CAPEX'!$D$23*E50))-('ENG_WC'!$G$19*(1+AVERAGE('ENG_OPS'!$D$84:$P$84)*E50)*(1+F50))</f>
        <v/>
      </c>
      <c r="K50" s="36">
        <f>(('ENG_OPS'!$H$81*(1+AVERAGE('ENG_OPS'!$D$84:$P$84)*E50)*(1+F50))-('ENG_COST'!$H$266*(1+'IN_COST'!$D$8*E50))-('ENG_COST'!$H$268*(1+'IN_COST'!$D$9*E50))-('ENG_CAPEX'!$H$81*(1+'ENG_CAPEX'!$D$23*E50)))-MAX(0,(('ENG_OPS'!$H$81*(1+AVERAGE('ENG_OPS'!$D$84:$P$84)*E50)*(1+F50))-('ENG_COST'!$H$266*(1+'IN_COST'!$D$8*E50))-('ENG_COST'!$H$268*(1+'IN_COST'!$D$9*E50))-('ENG_CAPEX'!$H$81*(1+'ENG_CAPEX'!$D$23*E50))))*'IN_MACRO'!$D$14+('ENG_CAPEX'!$H$81*(1+'ENG_CAPEX'!$D$23*E50))-(('ENG_CAPEX'!$H$21+'ENG_CAPEX'!$H$42)*(1+'ENG_CAPEX'!$D$23*E50))-('ENG_WC'!$H$19*(1+AVERAGE('ENG_OPS'!$D$84:$P$84)*E50)*(1+F50))</f>
        <v/>
      </c>
      <c r="L50" s="36">
        <f>(('ENG_OPS'!$I$81*(1+AVERAGE('ENG_OPS'!$D$84:$P$84)*E50)*(1+F50))-('ENG_COST'!$I$266*(1+'IN_COST'!$D$8*E50))-('ENG_COST'!$I$268*(1+'IN_COST'!$D$9*E50))-('ENG_CAPEX'!$I$81*(1+'ENG_CAPEX'!$D$23*E50)))-MAX(0,(('ENG_OPS'!$I$81*(1+AVERAGE('ENG_OPS'!$D$84:$P$84)*E50)*(1+F50))-('ENG_COST'!$I$266*(1+'IN_COST'!$D$8*E50))-('ENG_COST'!$I$268*(1+'IN_COST'!$D$9*E50))-('ENG_CAPEX'!$I$81*(1+'ENG_CAPEX'!$D$23*E50))))*'IN_MACRO'!$D$14+('ENG_CAPEX'!$I$81*(1+'ENG_CAPEX'!$D$23*E50))-(('ENG_CAPEX'!$I$21+'ENG_CAPEX'!$I$42)*(1+'ENG_CAPEX'!$D$23*E50))-('ENG_WC'!$I$19*(1+AVERAGE('ENG_OPS'!$D$84:$P$84)*E50)*(1+F50))</f>
        <v/>
      </c>
      <c r="M50" s="36">
        <f>(('ENG_OPS'!$J$81*(1+AVERAGE('ENG_OPS'!$D$84:$P$84)*E50)*(1+F50))-('ENG_COST'!$J$266*(1+'IN_COST'!$D$8*E50))-('ENG_COST'!$J$268*(1+'IN_COST'!$D$9*E50))-('ENG_CAPEX'!$J$81*(1+'ENG_CAPEX'!$D$23*E50)))-MAX(0,(('ENG_OPS'!$J$81*(1+AVERAGE('ENG_OPS'!$D$84:$P$84)*E50)*(1+F50))-('ENG_COST'!$J$266*(1+'IN_COST'!$D$8*E50))-('ENG_COST'!$J$268*(1+'IN_COST'!$D$9*E50))-('ENG_CAPEX'!$J$81*(1+'ENG_CAPEX'!$D$23*E50))))*'IN_MACRO'!$D$14+('ENG_CAPEX'!$J$81*(1+'ENG_CAPEX'!$D$23*E50))-(('ENG_CAPEX'!$J$21+'ENG_CAPEX'!$J$42)*(1+'ENG_CAPEX'!$D$23*E50))-('ENG_WC'!$J$19*(1+AVERAGE('ENG_OPS'!$D$84:$P$84)*E50)*(1+F50))</f>
        <v/>
      </c>
      <c r="N50" s="36">
        <f>(('ENG_OPS'!$K$81*(1+AVERAGE('ENG_OPS'!$D$84:$P$84)*E50)*(1+F50))-('ENG_COST'!$K$266*(1+'IN_COST'!$D$8*E50))-('ENG_COST'!$K$268*(1+'IN_COST'!$D$9*E50))-('ENG_CAPEX'!$K$81*(1+'ENG_CAPEX'!$D$23*E50)))-MAX(0,(('ENG_OPS'!$K$81*(1+AVERAGE('ENG_OPS'!$D$84:$P$84)*E50)*(1+F50))-('ENG_COST'!$K$266*(1+'IN_COST'!$D$8*E50))-('ENG_COST'!$K$268*(1+'IN_COST'!$D$9*E50))-('ENG_CAPEX'!$K$81*(1+'ENG_CAPEX'!$D$23*E50))))*'IN_MACRO'!$D$14+('ENG_CAPEX'!$K$81*(1+'ENG_CAPEX'!$D$23*E50))-(('ENG_CAPEX'!$K$21+'ENG_CAPEX'!$K$42)*(1+'ENG_CAPEX'!$D$23*E50))-('ENG_WC'!$K$19*(1+AVERAGE('ENG_OPS'!$D$84:$P$84)*E50)*(1+F50))</f>
        <v/>
      </c>
      <c r="O50" s="36">
        <f>(('ENG_OPS'!$L$81*(1+AVERAGE('ENG_OPS'!$D$84:$P$84)*E50)*(1+F50))-('ENG_COST'!$L$266*(1+'IN_COST'!$D$8*E50))-('ENG_COST'!$L$268*(1+'IN_COST'!$D$9*E50))-('ENG_CAPEX'!$L$81*(1+'ENG_CAPEX'!$D$23*E50)))-MAX(0,(('ENG_OPS'!$L$81*(1+AVERAGE('ENG_OPS'!$D$84:$P$84)*E50)*(1+F50))-('ENG_COST'!$L$266*(1+'IN_COST'!$D$8*E50))-('ENG_COST'!$L$268*(1+'IN_COST'!$D$9*E50))-('ENG_CAPEX'!$L$81*(1+'ENG_CAPEX'!$D$23*E50))))*'IN_MACRO'!$D$14+('ENG_CAPEX'!$L$81*(1+'ENG_CAPEX'!$D$23*E50))-(('ENG_CAPEX'!$L$21+'ENG_CAPEX'!$L$42)*(1+'ENG_CAPEX'!$D$23*E50))-('ENG_WC'!$L$19*(1+AVERAGE('ENG_OPS'!$D$84:$P$84)*E50)*(1+F50))</f>
        <v/>
      </c>
      <c r="P50" s="36">
        <f>(('ENG_OPS'!$M$81*(1+AVERAGE('ENG_OPS'!$D$84:$P$84)*E50)*(1+F50))-('ENG_COST'!$M$266*(1+'IN_COST'!$D$8*E50))-('ENG_COST'!$M$268*(1+'IN_COST'!$D$9*E50))-('ENG_CAPEX'!$M$81*(1+'ENG_CAPEX'!$D$23*E50)))-MAX(0,(('ENG_OPS'!$M$81*(1+AVERAGE('ENG_OPS'!$D$84:$P$84)*E50)*(1+F50))-('ENG_COST'!$M$266*(1+'IN_COST'!$D$8*E50))-('ENG_COST'!$M$268*(1+'IN_COST'!$D$9*E50))-('ENG_CAPEX'!$M$81*(1+'ENG_CAPEX'!$D$23*E50))))*'IN_MACRO'!$D$14+('ENG_CAPEX'!$M$81*(1+'ENG_CAPEX'!$D$23*E50))-(('ENG_CAPEX'!$M$21+'ENG_CAPEX'!$M$42)*(1+'ENG_CAPEX'!$D$23*E50))-('ENG_WC'!$M$19*(1+AVERAGE('ENG_OPS'!$D$84:$P$84)*E50)*(1+F50))</f>
        <v/>
      </c>
      <c r="Q50" s="36">
        <f>(('ENG_OPS'!$N$81*(1+AVERAGE('ENG_OPS'!$D$84:$P$84)*E50)*(1+F50))-('ENG_COST'!$N$266*(1+'IN_COST'!$D$8*E50))-('ENG_COST'!$N$268*(1+'IN_COST'!$D$9*E50))-('ENG_CAPEX'!$N$81*(1+'ENG_CAPEX'!$D$23*E50)))-MAX(0,(('ENG_OPS'!$N$81*(1+AVERAGE('ENG_OPS'!$D$84:$P$84)*E50)*(1+F50))-('ENG_COST'!$N$266*(1+'IN_COST'!$D$8*E50))-('ENG_COST'!$N$268*(1+'IN_COST'!$D$9*E50))-('ENG_CAPEX'!$N$81*(1+'ENG_CAPEX'!$D$23*E50))))*'IN_MACRO'!$D$14+('ENG_CAPEX'!$N$81*(1+'ENG_CAPEX'!$D$23*E50))-(('ENG_CAPEX'!$N$21+'ENG_CAPEX'!$N$42)*(1+'ENG_CAPEX'!$D$23*E50))-('ENG_WC'!$N$19*(1+AVERAGE('ENG_OPS'!$D$84:$P$84)*E50)*(1+F50))</f>
        <v/>
      </c>
      <c r="R50" s="36">
        <f>(('ENG_OPS'!$O$81*(1+AVERAGE('ENG_OPS'!$D$84:$P$84)*E50)*(1+F50))-('ENG_COST'!$O$266*(1+'IN_COST'!$D$8*E50))-('ENG_COST'!$O$268*(1+'IN_COST'!$D$9*E50))-('ENG_CAPEX'!$O$81*(1+'ENG_CAPEX'!$D$23*E50)))-MAX(0,(('ENG_OPS'!$O$81*(1+AVERAGE('ENG_OPS'!$D$84:$P$84)*E50)*(1+F50))-('ENG_COST'!$O$266*(1+'IN_COST'!$D$8*E50))-('ENG_COST'!$O$268*(1+'IN_COST'!$D$9*E50))-('ENG_CAPEX'!$O$81*(1+'ENG_CAPEX'!$D$23*E50))))*'IN_MACRO'!$D$14+('ENG_CAPEX'!$O$81*(1+'ENG_CAPEX'!$D$23*E50))-(('ENG_CAPEX'!$O$21+'ENG_CAPEX'!$O$42)*(1+'ENG_CAPEX'!$D$23*E50))-('ENG_WC'!$O$19*(1+AVERAGE('ENG_OPS'!$D$84:$P$84)*E50)*(1+F50))</f>
        <v/>
      </c>
      <c r="S50" s="36">
        <f>(('ENG_OPS'!$P$81*(1+AVERAGE('ENG_OPS'!$D$84:$P$84)*E50)*(1+F50))-('ENG_COST'!$P$266*(1+'IN_COST'!$D$8*E50))-('ENG_COST'!$P$268*(1+'IN_COST'!$D$9*E50))-('ENG_CAPEX'!$P$81*(1+'ENG_CAPEX'!$D$23*E50)))-MAX(0,(('ENG_OPS'!$P$81*(1+AVERAGE('ENG_OPS'!$D$84:$P$84)*E50)*(1+F50))-('ENG_COST'!$P$266*(1+'IN_COST'!$D$8*E50))-('ENG_COST'!$P$268*(1+'IN_COST'!$D$9*E50))-('ENG_CAPEX'!$P$81*(1+'ENG_CAPEX'!$D$23*E50))))*'IN_MACRO'!$D$14+('ENG_CAPEX'!$P$81*(1+'ENG_CAPEX'!$D$23*E50))-(('ENG_CAPEX'!$P$21+'ENG_CAPEX'!$P$42)*(1+'ENG_CAPEX'!$D$23*E50))-('ENG_WC'!$P$19*(1+AVERAGE('ENG_OPS'!$D$84:$P$84)*E50)*(1+F50))</f>
        <v/>
      </c>
      <c r="T50" s="30">
        <f>1</f>
        <v/>
      </c>
      <c r="U50" s="30">
        <f>T50/(1+'ENG_DCF'!$E$14+D50)</f>
        <v/>
      </c>
      <c r="V50" s="30">
        <f>U50/(1+'ENG_DCF'!$F$14+D50)</f>
        <v/>
      </c>
      <c r="W50" s="30">
        <f>V50/(1+'ENG_DCF'!$G$14+D50)</f>
        <v/>
      </c>
      <c r="X50" s="30">
        <f>W50/(1+'ENG_DCF'!$H$14+D50)</f>
        <v/>
      </c>
      <c r="Y50" s="30">
        <f>X50/(1+'ENG_DCF'!$I$14+D50)</f>
        <v/>
      </c>
      <c r="Z50" s="30">
        <f>Y50/(1+'ENG_DCF'!$J$14+D50)</f>
        <v/>
      </c>
      <c r="AA50" s="30">
        <f>Z50/(1+'ENG_DCF'!$K$14+D50)</f>
        <v/>
      </c>
      <c r="AB50" s="30">
        <f>AA50/(1+'ENG_DCF'!$L$14+D50)</f>
        <v/>
      </c>
      <c r="AC50" s="30">
        <f>AB50/(1+'ENG_DCF'!$M$14+D50)</f>
        <v/>
      </c>
      <c r="AD50" s="30">
        <f>AC50/(1+'ENG_DCF'!$N$14+D50)</f>
        <v/>
      </c>
      <c r="AE50" s="30">
        <f>AD50/(1+'ENG_DCF'!$O$14+D50)</f>
        <v/>
      </c>
      <c r="AF50" s="30">
        <f>AE50/(1+'ENG_DCF'!$P$14+D50)</f>
        <v/>
      </c>
      <c r="AG50" s="36">
        <f>(G50*T50+H50*U50+I50*V50+J50*W50+K50*X50+L50*Y50+M50*Z50+N50*AA50+O50*AB50+P50*AC50+Q50*AD50+R50*AE50+S50*AF50)+(IF('IN_MACRO'!$D$19=1,MAX(0,(S50+(('ENG_CAPEX'!$P$21+'ENG_CAPEX'!$P$42)*(1+'ENG_CAPEX'!$D$23*E50))))*(1+'IN_MACRO'!$D$18)/MAX(0.005,'ENG_DCF'!$P$14+D50-'IN_MACRO'!$D$18),(('ENG_OPS'!$P$81*(1+AVERAGE('ENG_OPS'!$D$84:$P$84)*E50)*(1+F50))-('ENG_COST'!$P$266*(1+'IN_COST'!$D$8*E50))-('ENG_COST'!$P$268*(1+'IN_COST'!$D$9*E50)))*'IN_MACRO'!$D$20))*AF50</f>
        <v/>
      </c>
    </row>
    <row r="51">
      <c r="A51" t="inlineStr">
        <is>
          <t>PR|4|2</t>
        </is>
      </c>
      <c r="D51" s="38">
        <f>'IN_SCEN'!$H$24</f>
        <v/>
      </c>
      <c r="E51" s="38">
        <f>0</f>
        <v/>
      </c>
      <c r="F51" s="38">
        <f>'IN_SCEN'!$F$26</f>
        <v/>
      </c>
      <c r="G51" s="36">
        <f>(('ENG_OPS'!$D$81*(1+AVERAGE('ENG_OPS'!$D$84:$P$84)*E51)*(1+F51))-('ENG_COST'!$D$266*(1+'IN_COST'!$D$8*E51))-('ENG_COST'!$D$268*(1+'IN_COST'!$D$9*E51))-('ENG_CAPEX'!$D$81*(1+'ENG_CAPEX'!$D$23*E51)))-MAX(0,(('ENG_OPS'!$D$81*(1+AVERAGE('ENG_OPS'!$D$84:$P$84)*E51)*(1+F51))-('ENG_COST'!$D$266*(1+'IN_COST'!$D$8*E51))-('ENG_COST'!$D$268*(1+'IN_COST'!$D$9*E51))-('ENG_CAPEX'!$D$81*(1+'ENG_CAPEX'!$D$23*E51))))*'IN_MACRO'!$D$14+('ENG_CAPEX'!$D$81*(1+'ENG_CAPEX'!$D$23*E51))-(('ENG_CAPEX'!$D$21+'ENG_CAPEX'!$D$42)*(1+'ENG_CAPEX'!$D$23*E51))-('ENG_WC'!$D$19*(1+AVERAGE('ENG_OPS'!$D$84:$P$84)*E51)*(1+F51))</f>
        <v/>
      </c>
      <c r="H51" s="36">
        <f>(('ENG_OPS'!$E$81*(1+AVERAGE('ENG_OPS'!$D$84:$P$84)*E51)*(1+F51))-('ENG_COST'!$E$266*(1+'IN_COST'!$D$8*E51))-('ENG_COST'!$E$268*(1+'IN_COST'!$D$9*E51))-('ENG_CAPEX'!$E$81*(1+'ENG_CAPEX'!$D$23*E51)))-MAX(0,(('ENG_OPS'!$E$81*(1+AVERAGE('ENG_OPS'!$D$84:$P$84)*E51)*(1+F51))-('ENG_COST'!$E$266*(1+'IN_COST'!$D$8*E51))-('ENG_COST'!$E$268*(1+'IN_COST'!$D$9*E51))-('ENG_CAPEX'!$E$81*(1+'ENG_CAPEX'!$D$23*E51))))*'IN_MACRO'!$D$14+('ENG_CAPEX'!$E$81*(1+'ENG_CAPEX'!$D$23*E51))-(('ENG_CAPEX'!$E$21+'ENG_CAPEX'!$E$42)*(1+'ENG_CAPEX'!$D$23*E51))-('ENG_WC'!$E$19*(1+AVERAGE('ENG_OPS'!$D$84:$P$84)*E51)*(1+F51))</f>
        <v/>
      </c>
      <c r="I51" s="36">
        <f>(('ENG_OPS'!$F$81*(1+AVERAGE('ENG_OPS'!$D$84:$P$84)*E51)*(1+F51))-('ENG_COST'!$F$266*(1+'IN_COST'!$D$8*E51))-('ENG_COST'!$F$268*(1+'IN_COST'!$D$9*E51))-('ENG_CAPEX'!$F$81*(1+'ENG_CAPEX'!$D$23*E51)))-MAX(0,(('ENG_OPS'!$F$81*(1+AVERAGE('ENG_OPS'!$D$84:$P$84)*E51)*(1+F51))-('ENG_COST'!$F$266*(1+'IN_COST'!$D$8*E51))-('ENG_COST'!$F$268*(1+'IN_COST'!$D$9*E51))-('ENG_CAPEX'!$F$81*(1+'ENG_CAPEX'!$D$23*E51))))*'IN_MACRO'!$D$14+('ENG_CAPEX'!$F$81*(1+'ENG_CAPEX'!$D$23*E51))-(('ENG_CAPEX'!$F$21+'ENG_CAPEX'!$F$42)*(1+'ENG_CAPEX'!$D$23*E51))-('ENG_WC'!$F$19*(1+AVERAGE('ENG_OPS'!$D$84:$P$84)*E51)*(1+F51))</f>
        <v/>
      </c>
      <c r="J51" s="36">
        <f>(('ENG_OPS'!$G$81*(1+AVERAGE('ENG_OPS'!$D$84:$P$84)*E51)*(1+F51))-('ENG_COST'!$G$266*(1+'IN_COST'!$D$8*E51))-('ENG_COST'!$G$268*(1+'IN_COST'!$D$9*E51))-('ENG_CAPEX'!$G$81*(1+'ENG_CAPEX'!$D$23*E51)))-MAX(0,(('ENG_OPS'!$G$81*(1+AVERAGE('ENG_OPS'!$D$84:$P$84)*E51)*(1+F51))-('ENG_COST'!$G$266*(1+'IN_COST'!$D$8*E51))-('ENG_COST'!$G$268*(1+'IN_COST'!$D$9*E51))-('ENG_CAPEX'!$G$81*(1+'ENG_CAPEX'!$D$23*E51))))*'IN_MACRO'!$D$14+('ENG_CAPEX'!$G$81*(1+'ENG_CAPEX'!$D$23*E51))-(('ENG_CAPEX'!$G$21+'ENG_CAPEX'!$G$42)*(1+'ENG_CAPEX'!$D$23*E51))-('ENG_WC'!$G$19*(1+AVERAGE('ENG_OPS'!$D$84:$P$84)*E51)*(1+F51))</f>
        <v/>
      </c>
      <c r="K51" s="36">
        <f>(('ENG_OPS'!$H$81*(1+AVERAGE('ENG_OPS'!$D$84:$P$84)*E51)*(1+F51))-('ENG_COST'!$H$266*(1+'IN_COST'!$D$8*E51))-('ENG_COST'!$H$268*(1+'IN_COST'!$D$9*E51))-('ENG_CAPEX'!$H$81*(1+'ENG_CAPEX'!$D$23*E51)))-MAX(0,(('ENG_OPS'!$H$81*(1+AVERAGE('ENG_OPS'!$D$84:$P$84)*E51)*(1+F51))-('ENG_COST'!$H$266*(1+'IN_COST'!$D$8*E51))-('ENG_COST'!$H$268*(1+'IN_COST'!$D$9*E51))-('ENG_CAPEX'!$H$81*(1+'ENG_CAPEX'!$D$23*E51))))*'IN_MACRO'!$D$14+('ENG_CAPEX'!$H$81*(1+'ENG_CAPEX'!$D$23*E51))-(('ENG_CAPEX'!$H$21+'ENG_CAPEX'!$H$42)*(1+'ENG_CAPEX'!$D$23*E51))-('ENG_WC'!$H$19*(1+AVERAGE('ENG_OPS'!$D$84:$P$84)*E51)*(1+F51))</f>
        <v/>
      </c>
      <c r="L51" s="36">
        <f>(('ENG_OPS'!$I$81*(1+AVERAGE('ENG_OPS'!$D$84:$P$84)*E51)*(1+F51))-('ENG_COST'!$I$266*(1+'IN_COST'!$D$8*E51))-('ENG_COST'!$I$268*(1+'IN_COST'!$D$9*E51))-('ENG_CAPEX'!$I$81*(1+'ENG_CAPEX'!$D$23*E51)))-MAX(0,(('ENG_OPS'!$I$81*(1+AVERAGE('ENG_OPS'!$D$84:$P$84)*E51)*(1+F51))-('ENG_COST'!$I$266*(1+'IN_COST'!$D$8*E51))-('ENG_COST'!$I$268*(1+'IN_COST'!$D$9*E51))-('ENG_CAPEX'!$I$81*(1+'ENG_CAPEX'!$D$23*E51))))*'IN_MACRO'!$D$14+('ENG_CAPEX'!$I$81*(1+'ENG_CAPEX'!$D$23*E51))-(('ENG_CAPEX'!$I$21+'ENG_CAPEX'!$I$42)*(1+'ENG_CAPEX'!$D$23*E51))-('ENG_WC'!$I$19*(1+AVERAGE('ENG_OPS'!$D$84:$P$84)*E51)*(1+F51))</f>
        <v/>
      </c>
      <c r="M51" s="36">
        <f>(('ENG_OPS'!$J$81*(1+AVERAGE('ENG_OPS'!$D$84:$P$84)*E51)*(1+F51))-('ENG_COST'!$J$266*(1+'IN_COST'!$D$8*E51))-('ENG_COST'!$J$268*(1+'IN_COST'!$D$9*E51))-('ENG_CAPEX'!$J$81*(1+'ENG_CAPEX'!$D$23*E51)))-MAX(0,(('ENG_OPS'!$J$81*(1+AVERAGE('ENG_OPS'!$D$84:$P$84)*E51)*(1+F51))-('ENG_COST'!$J$266*(1+'IN_COST'!$D$8*E51))-('ENG_COST'!$J$268*(1+'IN_COST'!$D$9*E51))-('ENG_CAPEX'!$J$81*(1+'ENG_CAPEX'!$D$23*E51))))*'IN_MACRO'!$D$14+('ENG_CAPEX'!$J$81*(1+'ENG_CAPEX'!$D$23*E51))-(('ENG_CAPEX'!$J$21+'ENG_CAPEX'!$J$42)*(1+'ENG_CAPEX'!$D$23*E51))-('ENG_WC'!$J$19*(1+AVERAGE('ENG_OPS'!$D$84:$P$84)*E51)*(1+F51))</f>
        <v/>
      </c>
      <c r="N51" s="36">
        <f>(('ENG_OPS'!$K$81*(1+AVERAGE('ENG_OPS'!$D$84:$P$84)*E51)*(1+F51))-('ENG_COST'!$K$266*(1+'IN_COST'!$D$8*E51))-('ENG_COST'!$K$268*(1+'IN_COST'!$D$9*E51))-('ENG_CAPEX'!$K$81*(1+'ENG_CAPEX'!$D$23*E51)))-MAX(0,(('ENG_OPS'!$K$81*(1+AVERAGE('ENG_OPS'!$D$84:$P$84)*E51)*(1+F51))-('ENG_COST'!$K$266*(1+'IN_COST'!$D$8*E51))-('ENG_COST'!$K$268*(1+'IN_COST'!$D$9*E51))-('ENG_CAPEX'!$K$81*(1+'ENG_CAPEX'!$D$23*E51))))*'IN_MACRO'!$D$14+('ENG_CAPEX'!$K$81*(1+'ENG_CAPEX'!$D$23*E51))-(('ENG_CAPEX'!$K$21+'ENG_CAPEX'!$K$42)*(1+'ENG_CAPEX'!$D$23*E51))-('ENG_WC'!$K$19*(1+AVERAGE('ENG_OPS'!$D$84:$P$84)*E51)*(1+F51))</f>
        <v/>
      </c>
      <c r="O51" s="36">
        <f>(('ENG_OPS'!$L$81*(1+AVERAGE('ENG_OPS'!$D$84:$P$84)*E51)*(1+F51))-('ENG_COST'!$L$266*(1+'IN_COST'!$D$8*E51))-('ENG_COST'!$L$268*(1+'IN_COST'!$D$9*E51))-('ENG_CAPEX'!$L$81*(1+'ENG_CAPEX'!$D$23*E51)))-MAX(0,(('ENG_OPS'!$L$81*(1+AVERAGE('ENG_OPS'!$D$84:$P$84)*E51)*(1+F51))-('ENG_COST'!$L$266*(1+'IN_COST'!$D$8*E51))-('ENG_COST'!$L$268*(1+'IN_COST'!$D$9*E51))-('ENG_CAPEX'!$L$81*(1+'ENG_CAPEX'!$D$23*E51))))*'IN_MACRO'!$D$14+('ENG_CAPEX'!$L$81*(1+'ENG_CAPEX'!$D$23*E51))-(('ENG_CAPEX'!$L$21+'ENG_CAPEX'!$L$42)*(1+'ENG_CAPEX'!$D$23*E51))-('ENG_WC'!$L$19*(1+AVERAGE('ENG_OPS'!$D$84:$P$84)*E51)*(1+F51))</f>
        <v/>
      </c>
      <c r="P51" s="36">
        <f>(('ENG_OPS'!$M$81*(1+AVERAGE('ENG_OPS'!$D$84:$P$84)*E51)*(1+F51))-('ENG_COST'!$M$266*(1+'IN_COST'!$D$8*E51))-('ENG_COST'!$M$268*(1+'IN_COST'!$D$9*E51))-('ENG_CAPEX'!$M$81*(1+'ENG_CAPEX'!$D$23*E51)))-MAX(0,(('ENG_OPS'!$M$81*(1+AVERAGE('ENG_OPS'!$D$84:$P$84)*E51)*(1+F51))-('ENG_COST'!$M$266*(1+'IN_COST'!$D$8*E51))-('ENG_COST'!$M$268*(1+'IN_COST'!$D$9*E51))-('ENG_CAPEX'!$M$81*(1+'ENG_CAPEX'!$D$23*E51))))*'IN_MACRO'!$D$14+('ENG_CAPEX'!$M$81*(1+'ENG_CAPEX'!$D$23*E51))-(('ENG_CAPEX'!$M$21+'ENG_CAPEX'!$M$42)*(1+'ENG_CAPEX'!$D$23*E51))-('ENG_WC'!$M$19*(1+AVERAGE('ENG_OPS'!$D$84:$P$84)*E51)*(1+F51))</f>
        <v/>
      </c>
      <c r="Q51" s="36">
        <f>(('ENG_OPS'!$N$81*(1+AVERAGE('ENG_OPS'!$D$84:$P$84)*E51)*(1+F51))-('ENG_COST'!$N$266*(1+'IN_COST'!$D$8*E51))-('ENG_COST'!$N$268*(1+'IN_COST'!$D$9*E51))-('ENG_CAPEX'!$N$81*(1+'ENG_CAPEX'!$D$23*E51)))-MAX(0,(('ENG_OPS'!$N$81*(1+AVERAGE('ENG_OPS'!$D$84:$P$84)*E51)*(1+F51))-('ENG_COST'!$N$266*(1+'IN_COST'!$D$8*E51))-('ENG_COST'!$N$268*(1+'IN_COST'!$D$9*E51))-('ENG_CAPEX'!$N$81*(1+'ENG_CAPEX'!$D$23*E51))))*'IN_MACRO'!$D$14+('ENG_CAPEX'!$N$81*(1+'ENG_CAPEX'!$D$23*E51))-(('ENG_CAPEX'!$N$21+'ENG_CAPEX'!$N$42)*(1+'ENG_CAPEX'!$D$23*E51))-('ENG_WC'!$N$19*(1+AVERAGE('ENG_OPS'!$D$84:$P$84)*E51)*(1+F51))</f>
        <v/>
      </c>
      <c r="R51" s="36">
        <f>(('ENG_OPS'!$O$81*(1+AVERAGE('ENG_OPS'!$D$84:$P$84)*E51)*(1+F51))-('ENG_COST'!$O$266*(1+'IN_COST'!$D$8*E51))-('ENG_COST'!$O$268*(1+'IN_COST'!$D$9*E51))-('ENG_CAPEX'!$O$81*(1+'ENG_CAPEX'!$D$23*E51)))-MAX(0,(('ENG_OPS'!$O$81*(1+AVERAGE('ENG_OPS'!$D$84:$P$84)*E51)*(1+F51))-('ENG_COST'!$O$266*(1+'IN_COST'!$D$8*E51))-('ENG_COST'!$O$268*(1+'IN_COST'!$D$9*E51))-('ENG_CAPEX'!$O$81*(1+'ENG_CAPEX'!$D$23*E51))))*'IN_MACRO'!$D$14+('ENG_CAPEX'!$O$81*(1+'ENG_CAPEX'!$D$23*E51))-(('ENG_CAPEX'!$O$21+'ENG_CAPEX'!$O$42)*(1+'ENG_CAPEX'!$D$23*E51))-('ENG_WC'!$O$19*(1+AVERAGE('ENG_OPS'!$D$84:$P$84)*E51)*(1+F51))</f>
        <v/>
      </c>
      <c r="S51" s="36">
        <f>(('ENG_OPS'!$P$81*(1+AVERAGE('ENG_OPS'!$D$84:$P$84)*E51)*(1+F51))-('ENG_COST'!$P$266*(1+'IN_COST'!$D$8*E51))-('ENG_COST'!$P$268*(1+'IN_COST'!$D$9*E51))-('ENG_CAPEX'!$P$81*(1+'ENG_CAPEX'!$D$23*E51)))-MAX(0,(('ENG_OPS'!$P$81*(1+AVERAGE('ENG_OPS'!$D$84:$P$84)*E51)*(1+F51))-('ENG_COST'!$P$266*(1+'IN_COST'!$D$8*E51))-('ENG_COST'!$P$268*(1+'IN_COST'!$D$9*E51))-('ENG_CAPEX'!$P$81*(1+'ENG_CAPEX'!$D$23*E51))))*'IN_MACRO'!$D$14+('ENG_CAPEX'!$P$81*(1+'ENG_CAPEX'!$D$23*E51))-(('ENG_CAPEX'!$P$21+'ENG_CAPEX'!$P$42)*(1+'ENG_CAPEX'!$D$23*E51))-('ENG_WC'!$P$19*(1+AVERAGE('ENG_OPS'!$D$84:$P$84)*E51)*(1+F51))</f>
        <v/>
      </c>
      <c r="T51" s="30">
        <f>1</f>
        <v/>
      </c>
      <c r="U51" s="30">
        <f>T51/(1+'ENG_DCF'!$E$14+D51)</f>
        <v/>
      </c>
      <c r="V51" s="30">
        <f>U51/(1+'ENG_DCF'!$F$14+D51)</f>
        <v/>
      </c>
      <c r="W51" s="30">
        <f>V51/(1+'ENG_DCF'!$G$14+D51)</f>
        <v/>
      </c>
      <c r="X51" s="30">
        <f>W51/(1+'ENG_DCF'!$H$14+D51)</f>
        <v/>
      </c>
      <c r="Y51" s="30">
        <f>X51/(1+'ENG_DCF'!$I$14+D51)</f>
        <v/>
      </c>
      <c r="Z51" s="30">
        <f>Y51/(1+'ENG_DCF'!$J$14+D51)</f>
        <v/>
      </c>
      <c r="AA51" s="30">
        <f>Z51/(1+'ENG_DCF'!$K$14+D51)</f>
        <v/>
      </c>
      <c r="AB51" s="30">
        <f>AA51/(1+'ENG_DCF'!$L$14+D51)</f>
        <v/>
      </c>
      <c r="AC51" s="30">
        <f>AB51/(1+'ENG_DCF'!$M$14+D51)</f>
        <v/>
      </c>
      <c r="AD51" s="30">
        <f>AC51/(1+'ENG_DCF'!$N$14+D51)</f>
        <v/>
      </c>
      <c r="AE51" s="30">
        <f>AD51/(1+'ENG_DCF'!$O$14+D51)</f>
        <v/>
      </c>
      <c r="AF51" s="30">
        <f>AE51/(1+'ENG_DCF'!$P$14+D51)</f>
        <v/>
      </c>
      <c r="AG51" s="36">
        <f>(G51*T51+H51*U51+I51*V51+J51*W51+K51*X51+L51*Y51+M51*Z51+N51*AA51+O51*AB51+P51*AC51+Q51*AD51+R51*AE51+S51*AF51)+(IF('IN_MACRO'!$D$19=1,MAX(0,(S51+(('ENG_CAPEX'!$P$21+'ENG_CAPEX'!$P$42)*(1+'ENG_CAPEX'!$D$23*E51))))*(1+'IN_MACRO'!$D$18)/MAX(0.005,'ENG_DCF'!$P$14+D51-'IN_MACRO'!$D$18),(('ENG_OPS'!$P$81*(1+AVERAGE('ENG_OPS'!$D$84:$P$84)*E51)*(1+F51))-('ENG_COST'!$P$266*(1+'IN_COST'!$D$8*E51))-('ENG_COST'!$P$268*(1+'IN_COST'!$D$9*E51)))*'IN_MACRO'!$D$20))*AF51</f>
        <v/>
      </c>
    </row>
    <row r="52">
      <c r="A52" t="inlineStr">
        <is>
          <t>FX|4|3</t>
        </is>
      </c>
      <c r="D52" s="38">
        <f>'IN_SCEN'!$H$24</f>
        <v/>
      </c>
      <c r="E52" s="38">
        <f>'IN_SCEN'!$G$25</f>
        <v/>
      </c>
      <c r="F52" s="38">
        <f>0</f>
        <v/>
      </c>
      <c r="G52" s="36">
        <f>(('ENG_OPS'!$D$81*(1+AVERAGE('ENG_OPS'!$D$84:$P$84)*E52)*(1+F52))-('ENG_COST'!$D$266*(1+'IN_COST'!$D$8*E52))-('ENG_COST'!$D$268*(1+'IN_COST'!$D$9*E52))-('ENG_CAPEX'!$D$81*(1+'ENG_CAPEX'!$D$23*E52)))-MAX(0,(('ENG_OPS'!$D$81*(1+AVERAGE('ENG_OPS'!$D$84:$P$84)*E52)*(1+F52))-('ENG_COST'!$D$266*(1+'IN_COST'!$D$8*E52))-('ENG_COST'!$D$268*(1+'IN_COST'!$D$9*E52))-('ENG_CAPEX'!$D$81*(1+'ENG_CAPEX'!$D$23*E52))))*'IN_MACRO'!$D$14+('ENG_CAPEX'!$D$81*(1+'ENG_CAPEX'!$D$23*E52))-(('ENG_CAPEX'!$D$21+'ENG_CAPEX'!$D$42)*(1+'ENG_CAPEX'!$D$23*E52))-('ENG_WC'!$D$19*(1+AVERAGE('ENG_OPS'!$D$84:$P$84)*E52)*(1+F52))</f>
        <v/>
      </c>
      <c r="H52" s="36">
        <f>(('ENG_OPS'!$E$81*(1+AVERAGE('ENG_OPS'!$D$84:$P$84)*E52)*(1+F52))-('ENG_COST'!$E$266*(1+'IN_COST'!$D$8*E52))-('ENG_COST'!$E$268*(1+'IN_COST'!$D$9*E52))-('ENG_CAPEX'!$E$81*(1+'ENG_CAPEX'!$D$23*E52)))-MAX(0,(('ENG_OPS'!$E$81*(1+AVERAGE('ENG_OPS'!$D$84:$P$84)*E52)*(1+F52))-('ENG_COST'!$E$266*(1+'IN_COST'!$D$8*E52))-('ENG_COST'!$E$268*(1+'IN_COST'!$D$9*E52))-('ENG_CAPEX'!$E$81*(1+'ENG_CAPEX'!$D$23*E52))))*'IN_MACRO'!$D$14+('ENG_CAPEX'!$E$81*(1+'ENG_CAPEX'!$D$23*E52))-(('ENG_CAPEX'!$E$21+'ENG_CAPEX'!$E$42)*(1+'ENG_CAPEX'!$D$23*E52))-('ENG_WC'!$E$19*(1+AVERAGE('ENG_OPS'!$D$84:$P$84)*E52)*(1+F52))</f>
        <v/>
      </c>
      <c r="I52" s="36">
        <f>(('ENG_OPS'!$F$81*(1+AVERAGE('ENG_OPS'!$D$84:$P$84)*E52)*(1+F52))-('ENG_COST'!$F$266*(1+'IN_COST'!$D$8*E52))-('ENG_COST'!$F$268*(1+'IN_COST'!$D$9*E52))-('ENG_CAPEX'!$F$81*(1+'ENG_CAPEX'!$D$23*E52)))-MAX(0,(('ENG_OPS'!$F$81*(1+AVERAGE('ENG_OPS'!$D$84:$P$84)*E52)*(1+F52))-('ENG_COST'!$F$266*(1+'IN_COST'!$D$8*E52))-('ENG_COST'!$F$268*(1+'IN_COST'!$D$9*E52))-('ENG_CAPEX'!$F$81*(1+'ENG_CAPEX'!$D$23*E52))))*'IN_MACRO'!$D$14+('ENG_CAPEX'!$F$81*(1+'ENG_CAPEX'!$D$23*E52))-(('ENG_CAPEX'!$F$21+'ENG_CAPEX'!$F$42)*(1+'ENG_CAPEX'!$D$23*E52))-('ENG_WC'!$F$19*(1+AVERAGE('ENG_OPS'!$D$84:$P$84)*E52)*(1+F52))</f>
        <v/>
      </c>
      <c r="J52" s="36">
        <f>(('ENG_OPS'!$G$81*(1+AVERAGE('ENG_OPS'!$D$84:$P$84)*E52)*(1+F52))-('ENG_COST'!$G$266*(1+'IN_COST'!$D$8*E52))-('ENG_COST'!$G$268*(1+'IN_COST'!$D$9*E52))-('ENG_CAPEX'!$G$81*(1+'ENG_CAPEX'!$D$23*E52)))-MAX(0,(('ENG_OPS'!$G$81*(1+AVERAGE('ENG_OPS'!$D$84:$P$84)*E52)*(1+F52))-('ENG_COST'!$G$266*(1+'IN_COST'!$D$8*E52))-('ENG_COST'!$G$268*(1+'IN_COST'!$D$9*E52))-('ENG_CAPEX'!$G$81*(1+'ENG_CAPEX'!$D$23*E52))))*'IN_MACRO'!$D$14+('ENG_CAPEX'!$G$81*(1+'ENG_CAPEX'!$D$23*E52))-(('ENG_CAPEX'!$G$21+'ENG_CAPEX'!$G$42)*(1+'ENG_CAPEX'!$D$23*E52))-('ENG_WC'!$G$19*(1+AVERAGE('ENG_OPS'!$D$84:$P$84)*E52)*(1+F52))</f>
        <v/>
      </c>
      <c r="K52" s="36">
        <f>(('ENG_OPS'!$H$81*(1+AVERAGE('ENG_OPS'!$D$84:$P$84)*E52)*(1+F52))-('ENG_COST'!$H$266*(1+'IN_COST'!$D$8*E52))-('ENG_COST'!$H$268*(1+'IN_COST'!$D$9*E52))-('ENG_CAPEX'!$H$81*(1+'ENG_CAPEX'!$D$23*E52)))-MAX(0,(('ENG_OPS'!$H$81*(1+AVERAGE('ENG_OPS'!$D$84:$P$84)*E52)*(1+F52))-('ENG_COST'!$H$266*(1+'IN_COST'!$D$8*E52))-('ENG_COST'!$H$268*(1+'IN_COST'!$D$9*E52))-('ENG_CAPEX'!$H$81*(1+'ENG_CAPEX'!$D$23*E52))))*'IN_MACRO'!$D$14+('ENG_CAPEX'!$H$81*(1+'ENG_CAPEX'!$D$23*E52))-(('ENG_CAPEX'!$H$21+'ENG_CAPEX'!$H$42)*(1+'ENG_CAPEX'!$D$23*E52))-('ENG_WC'!$H$19*(1+AVERAGE('ENG_OPS'!$D$84:$P$84)*E52)*(1+F52))</f>
        <v/>
      </c>
      <c r="L52" s="36">
        <f>(('ENG_OPS'!$I$81*(1+AVERAGE('ENG_OPS'!$D$84:$P$84)*E52)*(1+F52))-('ENG_COST'!$I$266*(1+'IN_COST'!$D$8*E52))-('ENG_COST'!$I$268*(1+'IN_COST'!$D$9*E52))-('ENG_CAPEX'!$I$81*(1+'ENG_CAPEX'!$D$23*E52)))-MAX(0,(('ENG_OPS'!$I$81*(1+AVERAGE('ENG_OPS'!$D$84:$P$84)*E52)*(1+F52))-('ENG_COST'!$I$266*(1+'IN_COST'!$D$8*E52))-('ENG_COST'!$I$268*(1+'IN_COST'!$D$9*E52))-('ENG_CAPEX'!$I$81*(1+'ENG_CAPEX'!$D$23*E52))))*'IN_MACRO'!$D$14+('ENG_CAPEX'!$I$81*(1+'ENG_CAPEX'!$D$23*E52))-(('ENG_CAPEX'!$I$21+'ENG_CAPEX'!$I$42)*(1+'ENG_CAPEX'!$D$23*E52))-('ENG_WC'!$I$19*(1+AVERAGE('ENG_OPS'!$D$84:$P$84)*E52)*(1+F52))</f>
        <v/>
      </c>
      <c r="M52" s="36">
        <f>(('ENG_OPS'!$J$81*(1+AVERAGE('ENG_OPS'!$D$84:$P$84)*E52)*(1+F52))-('ENG_COST'!$J$266*(1+'IN_COST'!$D$8*E52))-('ENG_COST'!$J$268*(1+'IN_COST'!$D$9*E52))-('ENG_CAPEX'!$J$81*(1+'ENG_CAPEX'!$D$23*E52)))-MAX(0,(('ENG_OPS'!$J$81*(1+AVERAGE('ENG_OPS'!$D$84:$P$84)*E52)*(1+F52))-('ENG_COST'!$J$266*(1+'IN_COST'!$D$8*E52))-('ENG_COST'!$J$268*(1+'IN_COST'!$D$9*E52))-('ENG_CAPEX'!$J$81*(1+'ENG_CAPEX'!$D$23*E52))))*'IN_MACRO'!$D$14+('ENG_CAPEX'!$J$81*(1+'ENG_CAPEX'!$D$23*E52))-(('ENG_CAPEX'!$J$21+'ENG_CAPEX'!$J$42)*(1+'ENG_CAPEX'!$D$23*E52))-('ENG_WC'!$J$19*(1+AVERAGE('ENG_OPS'!$D$84:$P$84)*E52)*(1+F52))</f>
        <v/>
      </c>
      <c r="N52" s="36">
        <f>(('ENG_OPS'!$K$81*(1+AVERAGE('ENG_OPS'!$D$84:$P$84)*E52)*(1+F52))-('ENG_COST'!$K$266*(1+'IN_COST'!$D$8*E52))-('ENG_COST'!$K$268*(1+'IN_COST'!$D$9*E52))-('ENG_CAPEX'!$K$81*(1+'ENG_CAPEX'!$D$23*E52)))-MAX(0,(('ENG_OPS'!$K$81*(1+AVERAGE('ENG_OPS'!$D$84:$P$84)*E52)*(1+F52))-('ENG_COST'!$K$266*(1+'IN_COST'!$D$8*E52))-('ENG_COST'!$K$268*(1+'IN_COST'!$D$9*E52))-('ENG_CAPEX'!$K$81*(1+'ENG_CAPEX'!$D$23*E52))))*'IN_MACRO'!$D$14+('ENG_CAPEX'!$K$81*(1+'ENG_CAPEX'!$D$23*E52))-(('ENG_CAPEX'!$K$21+'ENG_CAPEX'!$K$42)*(1+'ENG_CAPEX'!$D$23*E52))-('ENG_WC'!$K$19*(1+AVERAGE('ENG_OPS'!$D$84:$P$84)*E52)*(1+F52))</f>
        <v/>
      </c>
      <c r="O52" s="36">
        <f>(('ENG_OPS'!$L$81*(1+AVERAGE('ENG_OPS'!$D$84:$P$84)*E52)*(1+F52))-('ENG_COST'!$L$266*(1+'IN_COST'!$D$8*E52))-('ENG_COST'!$L$268*(1+'IN_COST'!$D$9*E52))-('ENG_CAPEX'!$L$81*(1+'ENG_CAPEX'!$D$23*E52)))-MAX(0,(('ENG_OPS'!$L$81*(1+AVERAGE('ENG_OPS'!$D$84:$P$84)*E52)*(1+F52))-('ENG_COST'!$L$266*(1+'IN_COST'!$D$8*E52))-('ENG_COST'!$L$268*(1+'IN_COST'!$D$9*E52))-('ENG_CAPEX'!$L$81*(1+'ENG_CAPEX'!$D$23*E52))))*'IN_MACRO'!$D$14+('ENG_CAPEX'!$L$81*(1+'ENG_CAPEX'!$D$23*E52))-(('ENG_CAPEX'!$L$21+'ENG_CAPEX'!$L$42)*(1+'ENG_CAPEX'!$D$23*E52))-('ENG_WC'!$L$19*(1+AVERAGE('ENG_OPS'!$D$84:$P$84)*E52)*(1+F52))</f>
        <v/>
      </c>
      <c r="P52" s="36">
        <f>(('ENG_OPS'!$M$81*(1+AVERAGE('ENG_OPS'!$D$84:$P$84)*E52)*(1+F52))-('ENG_COST'!$M$266*(1+'IN_COST'!$D$8*E52))-('ENG_COST'!$M$268*(1+'IN_COST'!$D$9*E52))-('ENG_CAPEX'!$M$81*(1+'ENG_CAPEX'!$D$23*E52)))-MAX(0,(('ENG_OPS'!$M$81*(1+AVERAGE('ENG_OPS'!$D$84:$P$84)*E52)*(1+F52))-('ENG_COST'!$M$266*(1+'IN_COST'!$D$8*E52))-('ENG_COST'!$M$268*(1+'IN_COST'!$D$9*E52))-('ENG_CAPEX'!$M$81*(1+'ENG_CAPEX'!$D$23*E52))))*'IN_MACRO'!$D$14+('ENG_CAPEX'!$M$81*(1+'ENG_CAPEX'!$D$23*E52))-(('ENG_CAPEX'!$M$21+'ENG_CAPEX'!$M$42)*(1+'ENG_CAPEX'!$D$23*E52))-('ENG_WC'!$M$19*(1+AVERAGE('ENG_OPS'!$D$84:$P$84)*E52)*(1+F52))</f>
        <v/>
      </c>
      <c r="Q52" s="36">
        <f>(('ENG_OPS'!$N$81*(1+AVERAGE('ENG_OPS'!$D$84:$P$84)*E52)*(1+F52))-('ENG_COST'!$N$266*(1+'IN_COST'!$D$8*E52))-('ENG_COST'!$N$268*(1+'IN_COST'!$D$9*E52))-('ENG_CAPEX'!$N$81*(1+'ENG_CAPEX'!$D$23*E52)))-MAX(0,(('ENG_OPS'!$N$81*(1+AVERAGE('ENG_OPS'!$D$84:$P$84)*E52)*(1+F52))-('ENG_COST'!$N$266*(1+'IN_COST'!$D$8*E52))-('ENG_COST'!$N$268*(1+'IN_COST'!$D$9*E52))-('ENG_CAPEX'!$N$81*(1+'ENG_CAPEX'!$D$23*E52))))*'IN_MACRO'!$D$14+('ENG_CAPEX'!$N$81*(1+'ENG_CAPEX'!$D$23*E52))-(('ENG_CAPEX'!$N$21+'ENG_CAPEX'!$N$42)*(1+'ENG_CAPEX'!$D$23*E52))-('ENG_WC'!$N$19*(1+AVERAGE('ENG_OPS'!$D$84:$P$84)*E52)*(1+F52))</f>
        <v/>
      </c>
      <c r="R52" s="36">
        <f>(('ENG_OPS'!$O$81*(1+AVERAGE('ENG_OPS'!$D$84:$P$84)*E52)*(1+F52))-('ENG_COST'!$O$266*(1+'IN_COST'!$D$8*E52))-('ENG_COST'!$O$268*(1+'IN_COST'!$D$9*E52))-('ENG_CAPEX'!$O$81*(1+'ENG_CAPEX'!$D$23*E52)))-MAX(0,(('ENG_OPS'!$O$81*(1+AVERAGE('ENG_OPS'!$D$84:$P$84)*E52)*(1+F52))-('ENG_COST'!$O$266*(1+'IN_COST'!$D$8*E52))-('ENG_COST'!$O$268*(1+'IN_COST'!$D$9*E52))-('ENG_CAPEX'!$O$81*(1+'ENG_CAPEX'!$D$23*E52))))*'IN_MACRO'!$D$14+('ENG_CAPEX'!$O$81*(1+'ENG_CAPEX'!$D$23*E52))-(('ENG_CAPEX'!$O$21+'ENG_CAPEX'!$O$42)*(1+'ENG_CAPEX'!$D$23*E52))-('ENG_WC'!$O$19*(1+AVERAGE('ENG_OPS'!$D$84:$P$84)*E52)*(1+F52))</f>
        <v/>
      </c>
      <c r="S52" s="36">
        <f>(('ENG_OPS'!$P$81*(1+AVERAGE('ENG_OPS'!$D$84:$P$84)*E52)*(1+F52))-('ENG_COST'!$P$266*(1+'IN_COST'!$D$8*E52))-('ENG_COST'!$P$268*(1+'IN_COST'!$D$9*E52))-('ENG_CAPEX'!$P$81*(1+'ENG_CAPEX'!$D$23*E52)))-MAX(0,(('ENG_OPS'!$P$81*(1+AVERAGE('ENG_OPS'!$D$84:$P$84)*E52)*(1+F52))-('ENG_COST'!$P$266*(1+'IN_COST'!$D$8*E52))-('ENG_COST'!$P$268*(1+'IN_COST'!$D$9*E52))-('ENG_CAPEX'!$P$81*(1+'ENG_CAPEX'!$D$23*E52))))*'IN_MACRO'!$D$14+('ENG_CAPEX'!$P$81*(1+'ENG_CAPEX'!$D$23*E52))-(('ENG_CAPEX'!$P$21+'ENG_CAPEX'!$P$42)*(1+'ENG_CAPEX'!$D$23*E52))-('ENG_WC'!$P$19*(1+AVERAGE('ENG_OPS'!$D$84:$P$84)*E52)*(1+F52))</f>
        <v/>
      </c>
      <c r="T52" s="30">
        <f>1</f>
        <v/>
      </c>
      <c r="U52" s="30">
        <f>T52/(1+'ENG_DCF'!$E$14+D52)</f>
        <v/>
      </c>
      <c r="V52" s="30">
        <f>U52/(1+'ENG_DCF'!$F$14+D52)</f>
        <v/>
      </c>
      <c r="W52" s="30">
        <f>V52/(1+'ENG_DCF'!$G$14+D52)</f>
        <v/>
      </c>
      <c r="X52" s="30">
        <f>W52/(1+'ENG_DCF'!$H$14+D52)</f>
        <v/>
      </c>
      <c r="Y52" s="30">
        <f>X52/(1+'ENG_DCF'!$I$14+D52)</f>
        <v/>
      </c>
      <c r="Z52" s="30">
        <f>Y52/(1+'ENG_DCF'!$J$14+D52)</f>
        <v/>
      </c>
      <c r="AA52" s="30">
        <f>Z52/(1+'ENG_DCF'!$K$14+D52)</f>
        <v/>
      </c>
      <c r="AB52" s="30">
        <f>AA52/(1+'ENG_DCF'!$L$14+D52)</f>
        <v/>
      </c>
      <c r="AC52" s="30">
        <f>AB52/(1+'ENG_DCF'!$M$14+D52)</f>
        <v/>
      </c>
      <c r="AD52" s="30">
        <f>AC52/(1+'ENG_DCF'!$N$14+D52)</f>
        <v/>
      </c>
      <c r="AE52" s="30">
        <f>AD52/(1+'ENG_DCF'!$O$14+D52)</f>
        <v/>
      </c>
      <c r="AF52" s="30">
        <f>AE52/(1+'ENG_DCF'!$P$14+D52)</f>
        <v/>
      </c>
      <c r="AG52" s="36">
        <f>(G52*T52+H52*U52+I52*V52+J52*W52+K52*X52+L52*Y52+M52*Z52+N52*AA52+O52*AB52+P52*AC52+Q52*AD52+R52*AE52+S52*AF52)+(IF('IN_MACRO'!$D$19=1,MAX(0,(S52+(('ENG_CAPEX'!$P$21+'ENG_CAPEX'!$P$42)*(1+'ENG_CAPEX'!$D$23*E52))))*(1+'IN_MACRO'!$D$18)/MAX(0.005,'ENG_DCF'!$P$14+D52-'IN_MACRO'!$D$18),(('ENG_OPS'!$P$81*(1+AVERAGE('ENG_OPS'!$D$84:$P$84)*E52)*(1+F52))-('ENG_COST'!$P$266*(1+'IN_COST'!$D$8*E52))-('ENG_COST'!$P$268*(1+'IN_COST'!$D$9*E52)))*'IN_MACRO'!$D$20))*AF52</f>
        <v/>
      </c>
    </row>
    <row r="53">
      <c r="A53" t="inlineStr">
        <is>
          <t>PR|4|3</t>
        </is>
      </c>
      <c r="D53" s="38">
        <f>'IN_SCEN'!$H$24</f>
        <v/>
      </c>
      <c r="E53" s="38">
        <f>0</f>
        <v/>
      </c>
      <c r="F53" s="38">
        <f>'IN_SCEN'!$G$26</f>
        <v/>
      </c>
      <c r="G53" s="36">
        <f>(('ENG_OPS'!$D$81*(1+AVERAGE('ENG_OPS'!$D$84:$P$84)*E53)*(1+F53))-('ENG_COST'!$D$266*(1+'IN_COST'!$D$8*E53))-('ENG_COST'!$D$268*(1+'IN_COST'!$D$9*E53))-('ENG_CAPEX'!$D$81*(1+'ENG_CAPEX'!$D$23*E53)))-MAX(0,(('ENG_OPS'!$D$81*(1+AVERAGE('ENG_OPS'!$D$84:$P$84)*E53)*(1+F53))-('ENG_COST'!$D$266*(1+'IN_COST'!$D$8*E53))-('ENG_COST'!$D$268*(1+'IN_COST'!$D$9*E53))-('ENG_CAPEX'!$D$81*(1+'ENG_CAPEX'!$D$23*E53))))*'IN_MACRO'!$D$14+('ENG_CAPEX'!$D$81*(1+'ENG_CAPEX'!$D$23*E53))-(('ENG_CAPEX'!$D$21+'ENG_CAPEX'!$D$42)*(1+'ENG_CAPEX'!$D$23*E53))-('ENG_WC'!$D$19*(1+AVERAGE('ENG_OPS'!$D$84:$P$84)*E53)*(1+F53))</f>
        <v/>
      </c>
      <c r="H53" s="36">
        <f>(('ENG_OPS'!$E$81*(1+AVERAGE('ENG_OPS'!$D$84:$P$84)*E53)*(1+F53))-('ENG_COST'!$E$266*(1+'IN_COST'!$D$8*E53))-('ENG_COST'!$E$268*(1+'IN_COST'!$D$9*E53))-('ENG_CAPEX'!$E$81*(1+'ENG_CAPEX'!$D$23*E53)))-MAX(0,(('ENG_OPS'!$E$81*(1+AVERAGE('ENG_OPS'!$D$84:$P$84)*E53)*(1+F53))-('ENG_COST'!$E$266*(1+'IN_COST'!$D$8*E53))-('ENG_COST'!$E$268*(1+'IN_COST'!$D$9*E53))-('ENG_CAPEX'!$E$81*(1+'ENG_CAPEX'!$D$23*E53))))*'IN_MACRO'!$D$14+('ENG_CAPEX'!$E$81*(1+'ENG_CAPEX'!$D$23*E53))-(('ENG_CAPEX'!$E$21+'ENG_CAPEX'!$E$42)*(1+'ENG_CAPEX'!$D$23*E53))-('ENG_WC'!$E$19*(1+AVERAGE('ENG_OPS'!$D$84:$P$84)*E53)*(1+F53))</f>
        <v/>
      </c>
      <c r="I53" s="36">
        <f>(('ENG_OPS'!$F$81*(1+AVERAGE('ENG_OPS'!$D$84:$P$84)*E53)*(1+F53))-('ENG_COST'!$F$266*(1+'IN_COST'!$D$8*E53))-('ENG_COST'!$F$268*(1+'IN_COST'!$D$9*E53))-('ENG_CAPEX'!$F$81*(1+'ENG_CAPEX'!$D$23*E53)))-MAX(0,(('ENG_OPS'!$F$81*(1+AVERAGE('ENG_OPS'!$D$84:$P$84)*E53)*(1+F53))-('ENG_COST'!$F$266*(1+'IN_COST'!$D$8*E53))-('ENG_COST'!$F$268*(1+'IN_COST'!$D$9*E53))-('ENG_CAPEX'!$F$81*(1+'ENG_CAPEX'!$D$23*E53))))*'IN_MACRO'!$D$14+('ENG_CAPEX'!$F$81*(1+'ENG_CAPEX'!$D$23*E53))-(('ENG_CAPEX'!$F$21+'ENG_CAPEX'!$F$42)*(1+'ENG_CAPEX'!$D$23*E53))-('ENG_WC'!$F$19*(1+AVERAGE('ENG_OPS'!$D$84:$P$84)*E53)*(1+F53))</f>
        <v/>
      </c>
      <c r="J53" s="36">
        <f>(('ENG_OPS'!$G$81*(1+AVERAGE('ENG_OPS'!$D$84:$P$84)*E53)*(1+F53))-('ENG_COST'!$G$266*(1+'IN_COST'!$D$8*E53))-('ENG_COST'!$G$268*(1+'IN_COST'!$D$9*E53))-('ENG_CAPEX'!$G$81*(1+'ENG_CAPEX'!$D$23*E53)))-MAX(0,(('ENG_OPS'!$G$81*(1+AVERAGE('ENG_OPS'!$D$84:$P$84)*E53)*(1+F53))-('ENG_COST'!$G$266*(1+'IN_COST'!$D$8*E53))-('ENG_COST'!$G$268*(1+'IN_COST'!$D$9*E53))-('ENG_CAPEX'!$G$81*(1+'ENG_CAPEX'!$D$23*E53))))*'IN_MACRO'!$D$14+('ENG_CAPEX'!$G$81*(1+'ENG_CAPEX'!$D$23*E53))-(('ENG_CAPEX'!$G$21+'ENG_CAPEX'!$G$42)*(1+'ENG_CAPEX'!$D$23*E53))-('ENG_WC'!$G$19*(1+AVERAGE('ENG_OPS'!$D$84:$P$84)*E53)*(1+F53))</f>
        <v/>
      </c>
      <c r="K53" s="36">
        <f>(('ENG_OPS'!$H$81*(1+AVERAGE('ENG_OPS'!$D$84:$P$84)*E53)*(1+F53))-('ENG_COST'!$H$266*(1+'IN_COST'!$D$8*E53))-('ENG_COST'!$H$268*(1+'IN_COST'!$D$9*E53))-('ENG_CAPEX'!$H$81*(1+'ENG_CAPEX'!$D$23*E53)))-MAX(0,(('ENG_OPS'!$H$81*(1+AVERAGE('ENG_OPS'!$D$84:$P$84)*E53)*(1+F53))-('ENG_COST'!$H$266*(1+'IN_COST'!$D$8*E53))-('ENG_COST'!$H$268*(1+'IN_COST'!$D$9*E53))-('ENG_CAPEX'!$H$81*(1+'ENG_CAPEX'!$D$23*E53))))*'IN_MACRO'!$D$14+('ENG_CAPEX'!$H$81*(1+'ENG_CAPEX'!$D$23*E53))-(('ENG_CAPEX'!$H$21+'ENG_CAPEX'!$H$42)*(1+'ENG_CAPEX'!$D$23*E53))-('ENG_WC'!$H$19*(1+AVERAGE('ENG_OPS'!$D$84:$P$84)*E53)*(1+F53))</f>
        <v/>
      </c>
      <c r="L53" s="36">
        <f>(('ENG_OPS'!$I$81*(1+AVERAGE('ENG_OPS'!$D$84:$P$84)*E53)*(1+F53))-('ENG_COST'!$I$266*(1+'IN_COST'!$D$8*E53))-('ENG_COST'!$I$268*(1+'IN_COST'!$D$9*E53))-('ENG_CAPEX'!$I$81*(1+'ENG_CAPEX'!$D$23*E53)))-MAX(0,(('ENG_OPS'!$I$81*(1+AVERAGE('ENG_OPS'!$D$84:$P$84)*E53)*(1+F53))-('ENG_COST'!$I$266*(1+'IN_COST'!$D$8*E53))-('ENG_COST'!$I$268*(1+'IN_COST'!$D$9*E53))-('ENG_CAPEX'!$I$81*(1+'ENG_CAPEX'!$D$23*E53))))*'IN_MACRO'!$D$14+('ENG_CAPEX'!$I$81*(1+'ENG_CAPEX'!$D$23*E53))-(('ENG_CAPEX'!$I$21+'ENG_CAPEX'!$I$42)*(1+'ENG_CAPEX'!$D$23*E53))-('ENG_WC'!$I$19*(1+AVERAGE('ENG_OPS'!$D$84:$P$84)*E53)*(1+F53))</f>
        <v/>
      </c>
      <c r="M53" s="36">
        <f>(('ENG_OPS'!$J$81*(1+AVERAGE('ENG_OPS'!$D$84:$P$84)*E53)*(1+F53))-('ENG_COST'!$J$266*(1+'IN_COST'!$D$8*E53))-('ENG_COST'!$J$268*(1+'IN_COST'!$D$9*E53))-('ENG_CAPEX'!$J$81*(1+'ENG_CAPEX'!$D$23*E53)))-MAX(0,(('ENG_OPS'!$J$81*(1+AVERAGE('ENG_OPS'!$D$84:$P$84)*E53)*(1+F53))-('ENG_COST'!$J$266*(1+'IN_COST'!$D$8*E53))-('ENG_COST'!$J$268*(1+'IN_COST'!$D$9*E53))-('ENG_CAPEX'!$J$81*(1+'ENG_CAPEX'!$D$23*E53))))*'IN_MACRO'!$D$14+('ENG_CAPEX'!$J$81*(1+'ENG_CAPEX'!$D$23*E53))-(('ENG_CAPEX'!$J$21+'ENG_CAPEX'!$J$42)*(1+'ENG_CAPEX'!$D$23*E53))-('ENG_WC'!$J$19*(1+AVERAGE('ENG_OPS'!$D$84:$P$84)*E53)*(1+F53))</f>
        <v/>
      </c>
      <c r="N53" s="36">
        <f>(('ENG_OPS'!$K$81*(1+AVERAGE('ENG_OPS'!$D$84:$P$84)*E53)*(1+F53))-('ENG_COST'!$K$266*(1+'IN_COST'!$D$8*E53))-('ENG_COST'!$K$268*(1+'IN_COST'!$D$9*E53))-('ENG_CAPEX'!$K$81*(1+'ENG_CAPEX'!$D$23*E53)))-MAX(0,(('ENG_OPS'!$K$81*(1+AVERAGE('ENG_OPS'!$D$84:$P$84)*E53)*(1+F53))-('ENG_COST'!$K$266*(1+'IN_COST'!$D$8*E53))-('ENG_COST'!$K$268*(1+'IN_COST'!$D$9*E53))-('ENG_CAPEX'!$K$81*(1+'ENG_CAPEX'!$D$23*E53))))*'IN_MACRO'!$D$14+('ENG_CAPEX'!$K$81*(1+'ENG_CAPEX'!$D$23*E53))-(('ENG_CAPEX'!$K$21+'ENG_CAPEX'!$K$42)*(1+'ENG_CAPEX'!$D$23*E53))-('ENG_WC'!$K$19*(1+AVERAGE('ENG_OPS'!$D$84:$P$84)*E53)*(1+F53))</f>
        <v/>
      </c>
      <c r="O53" s="36">
        <f>(('ENG_OPS'!$L$81*(1+AVERAGE('ENG_OPS'!$D$84:$P$84)*E53)*(1+F53))-('ENG_COST'!$L$266*(1+'IN_COST'!$D$8*E53))-('ENG_COST'!$L$268*(1+'IN_COST'!$D$9*E53))-('ENG_CAPEX'!$L$81*(1+'ENG_CAPEX'!$D$23*E53)))-MAX(0,(('ENG_OPS'!$L$81*(1+AVERAGE('ENG_OPS'!$D$84:$P$84)*E53)*(1+F53))-('ENG_COST'!$L$266*(1+'IN_COST'!$D$8*E53))-('ENG_COST'!$L$268*(1+'IN_COST'!$D$9*E53))-('ENG_CAPEX'!$L$81*(1+'ENG_CAPEX'!$D$23*E53))))*'IN_MACRO'!$D$14+('ENG_CAPEX'!$L$81*(1+'ENG_CAPEX'!$D$23*E53))-(('ENG_CAPEX'!$L$21+'ENG_CAPEX'!$L$42)*(1+'ENG_CAPEX'!$D$23*E53))-('ENG_WC'!$L$19*(1+AVERAGE('ENG_OPS'!$D$84:$P$84)*E53)*(1+F53))</f>
        <v/>
      </c>
      <c r="P53" s="36">
        <f>(('ENG_OPS'!$M$81*(1+AVERAGE('ENG_OPS'!$D$84:$P$84)*E53)*(1+F53))-('ENG_COST'!$M$266*(1+'IN_COST'!$D$8*E53))-('ENG_COST'!$M$268*(1+'IN_COST'!$D$9*E53))-('ENG_CAPEX'!$M$81*(1+'ENG_CAPEX'!$D$23*E53)))-MAX(0,(('ENG_OPS'!$M$81*(1+AVERAGE('ENG_OPS'!$D$84:$P$84)*E53)*(1+F53))-('ENG_COST'!$M$266*(1+'IN_COST'!$D$8*E53))-('ENG_COST'!$M$268*(1+'IN_COST'!$D$9*E53))-('ENG_CAPEX'!$M$81*(1+'ENG_CAPEX'!$D$23*E53))))*'IN_MACRO'!$D$14+('ENG_CAPEX'!$M$81*(1+'ENG_CAPEX'!$D$23*E53))-(('ENG_CAPEX'!$M$21+'ENG_CAPEX'!$M$42)*(1+'ENG_CAPEX'!$D$23*E53))-('ENG_WC'!$M$19*(1+AVERAGE('ENG_OPS'!$D$84:$P$84)*E53)*(1+F53))</f>
        <v/>
      </c>
      <c r="Q53" s="36">
        <f>(('ENG_OPS'!$N$81*(1+AVERAGE('ENG_OPS'!$D$84:$P$84)*E53)*(1+F53))-('ENG_COST'!$N$266*(1+'IN_COST'!$D$8*E53))-('ENG_COST'!$N$268*(1+'IN_COST'!$D$9*E53))-('ENG_CAPEX'!$N$81*(1+'ENG_CAPEX'!$D$23*E53)))-MAX(0,(('ENG_OPS'!$N$81*(1+AVERAGE('ENG_OPS'!$D$84:$P$84)*E53)*(1+F53))-('ENG_COST'!$N$266*(1+'IN_COST'!$D$8*E53))-('ENG_COST'!$N$268*(1+'IN_COST'!$D$9*E53))-('ENG_CAPEX'!$N$81*(1+'ENG_CAPEX'!$D$23*E53))))*'IN_MACRO'!$D$14+('ENG_CAPEX'!$N$81*(1+'ENG_CAPEX'!$D$23*E53))-(('ENG_CAPEX'!$N$21+'ENG_CAPEX'!$N$42)*(1+'ENG_CAPEX'!$D$23*E53))-('ENG_WC'!$N$19*(1+AVERAGE('ENG_OPS'!$D$84:$P$84)*E53)*(1+F53))</f>
        <v/>
      </c>
      <c r="R53" s="36">
        <f>(('ENG_OPS'!$O$81*(1+AVERAGE('ENG_OPS'!$D$84:$P$84)*E53)*(1+F53))-('ENG_COST'!$O$266*(1+'IN_COST'!$D$8*E53))-('ENG_COST'!$O$268*(1+'IN_COST'!$D$9*E53))-('ENG_CAPEX'!$O$81*(1+'ENG_CAPEX'!$D$23*E53)))-MAX(0,(('ENG_OPS'!$O$81*(1+AVERAGE('ENG_OPS'!$D$84:$P$84)*E53)*(1+F53))-('ENG_COST'!$O$266*(1+'IN_COST'!$D$8*E53))-('ENG_COST'!$O$268*(1+'IN_COST'!$D$9*E53))-('ENG_CAPEX'!$O$81*(1+'ENG_CAPEX'!$D$23*E53))))*'IN_MACRO'!$D$14+('ENG_CAPEX'!$O$81*(1+'ENG_CAPEX'!$D$23*E53))-(('ENG_CAPEX'!$O$21+'ENG_CAPEX'!$O$42)*(1+'ENG_CAPEX'!$D$23*E53))-('ENG_WC'!$O$19*(1+AVERAGE('ENG_OPS'!$D$84:$P$84)*E53)*(1+F53))</f>
        <v/>
      </c>
      <c r="S53" s="36">
        <f>(('ENG_OPS'!$P$81*(1+AVERAGE('ENG_OPS'!$D$84:$P$84)*E53)*(1+F53))-('ENG_COST'!$P$266*(1+'IN_COST'!$D$8*E53))-('ENG_COST'!$P$268*(1+'IN_COST'!$D$9*E53))-('ENG_CAPEX'!$P$81*(1+'ENG_CAPEX'!$D$23*E53)))-MAX(0,(('ENG_OPS'!$P$81*(1+AVERAGE('ENG_OPS'!$D$84:$P$84)*E53)*(1+F53))-('ENG_COST'!$P$266*(1+'IN_COST'!$D$8*E53))-('ENG_COST'!$P$268*(1+'IN_COST'!$D$9*E53))-('ENG_CAPEX'!$P$81*(1+'ENG_CAPEX'!$D$23*E53))))*'IN_MACRO'!$D$14+('ENG_CAPEX'!$P$81*(1+'ENG_CAPEX'!$D$23*E53))-(('ENG_CAPEX'!$P$21+'ENG_CAPEX'!$P$42)*(1+'ENG_CAPEX'!$D$23*E53))-('ENG_WC'!$P$19*(1+AVERAGE('ENG_OPS'!$D$84:$P$84)*E53)*(1+F53))</f>
        <v/>
      </c>
      <c r="T53" s="30">
        <f>1</f>
        <v/>
      </c>
      <c r="U53" s="30">
        <f>T53/(1+'ENG_DCF'!$E$14+D53)</f>
        <v/>
      </c>
      <c r="V53" s="30">
        <f>U53/(1+'ENG_DCF'!$F$14+D53)</f>
        <v/>
      </c>
      <c r="W53" s="30">
        <f>V53/(1+'ENG_DCF'!$G$14+D53)</f>
        <v/>
      </c>
      <c r="X53" s="30">
        <f>W53/(1+'ENG_DCF'!$H$14+D53)</f>
        <v/>
      </c>
      <c r="Y53" s="30">
        <f>X53/(1+'ENG_DCF'!$I$14+D53)</f>
        <v/>
      </c>
      <c r="Z53" s="30">
        <f>Y53/(1+'ENG_DCF'!$J$14+D53)</f>
        <v/>
      </c>
      <c r="AA53" s="30">
        <f>Z53/(1+'ENG_DCF'!$K$14+D53)</f>
        <v/>
      </c>
      <c r="AB53" s="30">
        <f>AA53/(1+'ENG_DCF'!$L$14+D53)</f>
        <v/>
      </c>
      <c r="AC53" s="30">
        <f>AB53/(1+'ENG_DCF'!$M$14+D53)</f>
        <v/>
      </c>
      <c r="AD53" s="30">
        <f>AC53/(1+'ENG_DCF'!$N$14+D53)</f>
        <v/>
      </c>
      <c r="AE53" s="30">
        <f>AD53/(1+'ENG_DCF'!$O$14+D53)</f>
        <v/>
      </c>
      <c r="AF53" s="30">
        <f>AE53/(1+'ENG_DCF'!$P$14+D53)</f>
        <v/>
      </c>
      <c r="AG53" s="36">
        <f>(G53*T53+H53*U53+I53*V53+J53*W53+K53*X53+L53*Y53+M53*Z53+N53*AA53+O53*AB53+P53*AC53+Q53*AD53+R53*AE53+S53*AF53)+(IF('IN_MACRO'!$D$19=1,MAX(0,(S53+(('ENG_CAPEX'!$P$21+'ENG_CAPEX'!$P$42)*(1+'ENG_CAPEX'!$D$23*E53))))*(1+'IN_MACRO'!$D$18)/MAX(0.005,'ENG_DCF'!$P$14+D53-'IN_MACRO'!$D$18),(('ENG_OPS'!$P$81*(1+AVERAGE('ENG_OPS'!$D$84:$P$84)*E53)*(1+F53))-('ENG_COST'!$P$266*(1+'IN_COST'!$D$8*E53))-('ENG_COST'!$P$268*(1+'IN_COST'!$D$9*E53)))*'IN_MACRO'!$D$20))*AF53</f>
        <v/>
      </c>
    </row>
    <row r="54">
      <c r="A54" t="inlineStr">
        <is>
          <t>FX|4|4</t>
        </is>
      </c>
      <c r="D54" s="38">
        <f>'IN_SCEN'!$H$24</f>
        <v/>
      </c>
      <c r="E54" s="38">
        <f>'IN_SCEN'!$H$25</f>
        <v/>
      </c>
      <c r="F54" s="38">
        <f>0</f>
        <v/>
      </c>
      <c r="G54" s="36">
        <f>(('ENG_OPS'!$D$81*(1+AVERAGE('ENG_OPS'!$D$84:$P$84)*E54)*(1+F54))-('ENG_COST'!$D$266*(1+'IN_COST'!$D$8*E54))-('ENG_COST'!$D$268*(1+'IN_COST'!$D$9*E54))-('ENG_CAPEX'!$D$81*(1+'ENG_CAPEX'!$D$23*E54)))-MAX(0,(('ENG_OPS'!$D$81*(1+AVERAGE('ENG_OPS'!$D$84:$P$84)*E54)*(1+F54))-('ENG_COST'!$D$266*(1+'IN_COST'!$D$8*E54))-('ENG_COST'!$D$268*(1+'IN_COST'!$D$9*E54))-('ENG_CAPEX'!$D$81*(1+'ENG_CAPEX'!$D$23*E54))))*'IN_MACRO'!$D$14+('ENG_CAPEX'!$D$81*(1+'ENG_CAPEX'!$D$23*E54))-(('ENG_CAPEX'!$D$21+'ENG_CAPEX'!$D$42)*(1+'ENG_CAPEX'!$D$23*E54))-('ENG_WC'!$D$19*(1+AVERAGE('ENG_OPS'!$D$84:$P$84)*E54)*(1+F54))</f>
        <v/>
      </c>
      <c r="H54" s="36">
        <f>(('ENG_OPS'!$E$81*(1+AVERAGE('ENG_OPS'!$D$84:$P$84)*E54)*(1+F54))-('ENG_COST'!$E$266*(1+'IN_COST'!$D$8*E54))-('ENG_COST'!$E$268*(1+'IN_COST'!$D$9*E54))-('ENG_CAPEX'!$E$81*(1+'ENG_CAPEX'!$D$23*E54)))-MAX(0,(('ENG_OPS'!$E$81*(1+AVERAGE('ENG_OPS'!$D$84:$P$84)*E54)*(1+F54))-('ENG_COST'!$E$266*(1+'IN_COST'!$D$8*E54))-('ENG_COST'!$E$268*(1+'IN_COST'!$D$9*E54))-('ENG_CAPEX'!$E$81*(1+'ENG_CAPEX'!$D$23*E54))))*'IN_MACRO'!$D$14+('ENG_CAPEX'!$E$81*(1+'ENG_CAPEX'!$D$23*E54))-(('ENG_CAPEX'!$E$21+'ENG_CAPEX'!$E$42)*(1+'ENG_CAPEX'!$D$23*E54))-('ENG_WC'!$E$19*(1+AVERAGE('ENG_OPS'!$D$84:$P$84)*E54)*(1+F54))</f>
        <v/>
      </c>
      <c r="I54" s="36">
        <f>(('ENG_OPS'!$F$81*(1+AVERAGE('ENG_OPS'!$D$84:$P$84)*E54)*(1+F54))-('ENG_COST'!$F$266*(1+'IN_COST'!$D$8*E54))-('ENG_COST'!$F$268*(1+'IN_COST'!$D$9*E54))-('ENG_CAPEX'!$F$81*(1+'ENG_CAPEX'!$D$23*E54)))-MAX(0,(('ENG_OPS'!$F$81*(1+AVERAGE('ENG_OPS'!$D$84:$P$84)*E54)*(1+F54))-('ENG_COST'!$F$266*(1+'IN_COST'!$D$8*E54))-('ENG_COST'!$F$268*(1+'IN_COST'!$D$9*E54))-('ENG_CAPEX'!$F$81*(1+'ENG_CAPEX'!$D$23*E54))))*'IN_MACRO'!$D$14+('ENG_CAPEX'!$F$81*(1+'ENG_CAPEX'!$D$23*E54))-(('ENG_CAPEX'!$F$21+'ENG_CAPEX'!$F$42)*(1+'ENG_CAPEX'!$D$23*E54))-('ENG_WC'!$F$19*(1+AVERAGE('ENG_OPS'!$D$84:$P$84)*E54)*(1+F54))</f>
        <v/>
      </c>
      <c r="J54" s="36">
        <f>(('ENG_OPS'!$G$81*(1+AVERAGE('ENG_OPS'!$D$84:$P$84)*E54)*(1+F54))-('ENG_COST'!$G$266*(1+'IN_COST'!$D$8*E54))-('ENG_COST'!$G$268*(1+'IN_COST'!$D$9*E54))-('ENG_CAPEX'!$G$81*(1+'ENG_CAPEX'!$D$23*E54)))-MAX(0,(('ENG_OPS'!$G$81*(1+AVERAGE('ENG_OPS'!$D$84:$P$84)*E54)*(1+F54))-('ENG_COST'!$G$266*(1+'IN_COST'!$D$8*E54))-('ENG_COST'!$G$268*(1+'IN_COST'!$D$9*E54))-('ENG_CAPEX'!$G$81*(1+'ENG_CAPEX'!$D$23*E54))))*'IN_MACRO'!$D$14+('ENG_CAPEX'!$G$81*(1+'ENG_CAPEX'!$D$23*E54))-(('ENG_CAPEX'!$G$21+'ENG_CAPEX'!$G$42)*(1+'ENG_CAPEX'!$D$23*E54))-('ENG_WC'!$G$19*(1+AVERAGE('ENG_OPS'!$D$84:$P$84)*E54)*(1+F54))</f>
        <v/>
      </c>
      <c r="K54" s="36">
        <f>(('ENG_OPS'!$H$81*(1+AVERAGE('ENG_OPS'!$D$84:$P$84)*E54)*(1+F54))-('ENG_COST'!$H$266*(1+'IN_COST'!$D$8*E54))-('ENG_COST'!$H$268*(1+'IN_COST'!$D$9*E54))-('ENG_CAPEX'!$H$81*(1+'ENG_CAPEX'!$D$23*E54)))-MAX(0,(('ENG_OPS'!$H$81*(1+AVERAGE('ENG_OPS'!$D$84:$P$84)*E54)*(1+F54))-('ENG_COST'!$H$266*(1+'IN_COST'!$D$8*E54))-('ENG_COST'!$H$268*(1+'IN_COST'!$D$9*E54))-('ENG_CAPEX'!$H$81*(1+'ENG_CAPEX'!$D$23*E54))))*'IN_MACRO'!$D$14+('ENG_CAPEX'!$H$81*(1+'ENG_CAPEX'!$D$23*E54))-(('ENG_CAPEX'!$H$21+'ENG_CAPEX'!$H$42)*(1+'ENG_CAPEX'!$D$23*E54))-('ENG_WC'!$H$19*(1+AVERAGE('ENG_OPS'!$D$84:$P$84)*E54)*(1+F54))</f>
        <v/>
      </c>
      <c r="L54" s="36">
        <f>(('ENG_OPS'!$I$81*(1+AVERAGE('ENG_OPS'!$D$84:$P$84)*E54)*(1+F54))-('ENG_COST'!$I$266*(1+'IN_COST'!$D$8*E54))-('ENG_COST'!$I$268*(1+'IN_COST'!$D$9*E54))-('ENG_CAPEX'!$I$81*(1+'ENG_CAPEX'!$D$23*E54)))-MAX(0,(('ENG_OPS'!$I$81*(1+AVERAGE('ENG_OPS'!$D$84:$P$84)*E54)*(1+F54))-('ENG_COST'!$I$266*(1+'IN_COST'!$D$8*E54))-('ENG_COST'!$I$268*(1+'IN_COST'!$D$9*E54))-('ENG_CAPEX'!$I$81*(1+'ENG_CAPEX'!$D$23*E54))))*'IN_MACRO'!$D$14+('ENG_CAPEX'!$I$81*(1+'ENG_CAPEX'!$D$23*E54))-(('ENG_CAPEX'!$I$21+'ENG_CAPEX'!$I$42)*(1+'ENG_CAPEX'!$D$23*E54))-('ENG_WC'!$I$19*(1+AVERAGE('ENG_OPS'!$D$84:$P$84)*E54)*(1+F54))</f>
        <v/>
      </c>
      <c r="M54" s="36">
        <f>(('ENG_OPS'!$J$81*(1+AVERAGE('ENG_OPS'!$D$84:$P$84)*E54)*(1+F54))-('ENG_COST'!$J$266*(1+'IN_COST'!$D$8*E54))-('ENG_COST'!$J$268*(1+'IN_COST'!$D$9*E54))-('ENG_CAPEX'!$J$81*(1+'ENG_CAPEX'!$D$23*E54)))-MAX(0,(('ENG_OPS'!$J$81*(1+AVERAGE('ENG_OPS'!$D$84:$P$84)*E54)*(1+F54))-('ENG_COST'!$J$266*(1+'IN_COST'!$D$8*E54))-('ENG_COST'!$J$268*(1+'IN_COST'!$D$9*E54))-('ENG_CAPEX'!$J$81*(1+'ENG_CAPEX'!$D$23*E54))))*'IN_MACRO'!$D$14+('ENG_CAPEX'!$J$81*(1+'ENG_CAPEX'!$D$23*E54))-(('ENG_CAPEX'!$J$21+'ENG_CAPEX'!$J$42)*(1+'ENG_CAPEX'!$D$23*E54))-('ENG_WC'!$J$19*(1+AVERAGE('ENG_OPS'!$D$84:$P$84)*E54)*(1+F54))</f>
        <v/>
      </c>
      <c r="N54" s="36">
        <f>(('ENG_OPS'!$K$81*(1+AVERAGE('ENG_OPS'!$D$84:$P$84)*E54)*(1+F54))-('ENG_COST'!$K$266*(1+'IN_COST'!$D$8*E54))-('ENG_COST'!$K$268*(1+'IN_COST'!$D$9*E54))-('ENG_CAPEX'!$K$81*(1+'ENG_CAPEX'!$D$23*E54)))-MAX(0,(('ENG_OPS'!$K$81*(1+AVERAGE('ENG_OPS'!$D$84:$P$84)*E54)*(1+F54))-('ENG_COST'!$K$266*(1+'IN_COST'!$D$8*E54))-('ENG_COST'!$K$268*(1+'IN_COST'!$D$9*E54))-('ENG_CAPEX'!$K$81*(1+'ENG_CAPEX'!$D$23*E54))))*'IN_MACRO'!$D$14+('ENG_CAPEX'!$K$81*(1+'ENG_CAPEX'!$D$23*E54))-(('ENG_CAPEX'!$K$21+'ENG_CAPEX'!$K$42)*(1+'ENG_CAPEX'!$D$23*E54))-('ENG_WC'!$K$19*(1+AVERAGE('ENG_OPS'!$D$84:$P$84)*E54)*(1+F54))</f>
        <v/>
      </c>
      <c r="O54" s="36">
        <f>(('ENG_OPS'!$L$81*(1+AVERAGE('ENG_OPS'!$D$84:$P$84)*E54)*(1+F54))-('ENG_COST'!$L$266*(1+'IN_COST'!$D$8*E54))-('ENG_COST'!$L$268*(1+'IN_COST'!$D$9*E54))-('ENG_CAPEX'!$L$81*(1+'ENG_CAPEX'!$D$23*E54)))-MAX(0,(('ENG_OPS'!$L$81*(1+AVERAGE('ENG_OPS'!$D$84:$P$84)*E54)*(1+F54))-('ENG_COST'!$L$266*(1+'IN_COST'!$D$8*E54))-('ENG_COST'!$L$268*(1+'IN_COST'!$D$9*E54))-('ENG_CAPEX'!$L$81*(1+'ENG_CAPEX'!$D$23*E54))))*'IN_MACRO'!$D$14+('ENG_CAPEX'!$L$81*(1+'ENG_CAPEX'!$D$23*E54))-(('ENG_CAPEX'!$L$21+'ENG_CAPEX'!$L$42)*(1+'ENG_CAPEX'!$D$23*E54))-('ENG_WC'!$L$19*(1+AVERAGE('ENG_OPS'!$D$84:$P$84)*E54)*(1+F54))</f>
        <v/>
      </c>
      <c r="P54" s="36">
        <f>(('ENG_OPS'!$M$81*(1+AVERAGE('ENG_OPS'!$D$84:$P$84)*E54)*(1+F54))-('ENG_COST'!$M$266*(1+'IN_COST'!$D$8*E54))-('ENG_COST'!$M$268*(1+'IN_COST'!$D$9*E54))-('ENG_CAPEX'!$M$81*(1+'ENG_CAPEX'!$D$23*E54)))-MAX(0,(('ENG_OPS'!$M$81*(1+AVERAGE('ENG_OPS'!$D$84:$P$84)*E54)*(1+F54))-('ENG_COST'!$M$266*(1+'IN_COST'!$D$8*E54))-('ENG_COST'!$M$268*(1+'IN_COST'!$D$9*E54))-('ENG_CAPEX'!$M$81*(1+'ENG_CAPEX'!$D$23*E54))))*'IN_MACRO'!$D$14+('ENG_CAPEX'!$M$81*(1+'ENG_CAPEX'!$D$23*E54))-(('ENG_CAPEX'!$M$21+'ENG_CAPEX'!$M$42)*(1+'ENG_CAPEX'!$D$23*E54))-('ENG_WC'!$M$19*(1+AVERAGE('ENG_OPS'!$D$84:$P$84)*E54)*(1+F54))</f>
        <v/>
      </c>
      <c r="Q54" s="36">
        <f>(('ENG_OPS'!$N$81*(1+AVERAGE('ENG_OPS'!$D$84:$P$84)*E54)*(1+F54))-('ENG_COST'!$N$266*(1+'IN_COST'!$D$8*E54))-('ENG_COST'!$N$268*(1+'IN_COST'!$D$9*E54))-('ENG_CAPEX'!$N$81*(1+'ENG_CAPEX'!$D$23*E54)))-MAX(0,(('ENG_OPS'!$N$81*(1+AVERAGE('ENG_OPS'!$D$84:$P$84)*E54)*(1+F54))-('ENG_COST'!$N$266*(1+'IN_COST'!$D$8*E54))-('ENG_COST'!$N$268*(1+'IN_COST'!$D$9*E54))-('ENG_CAPEX'!$N$81*(1+'ENG_CAPEX'!$D$23*E54))))*'IN_MACRO'!$D$14+('ENG_CAPEX'!$N$81*(1+'ENG_CAPEX'!$D$23*E54))-(('ENG_CAPEX'!$N$21+'ENG_CAPEX'!$N$42)*(1+'ENG_CAPEX'!$D$23*E54))-('ENG_WC'!$N$19*(1+AVERAGE('ENG_OPS'!$D$84:$P$84)*E54)*(1+F54))</f>
        <v/>
      </c>
      <c r="R54" s="36">
        <f>(('ENG_OPS'!$O$81*(1+AVERAGE('ENG_OPS'!$D$84:$P$84)*E54)*(1+F54))-('ENG_COST'!$O$266*(1+'IN_COST'!$D$8*E54))-('ENG_COST'!$O$268*(1+'IN_COST'!$D$9*E54))-('ENG_CAPEX'!$O$81*(1+'ENG_CAPEX'!$D$23*E54)))-MAX(0,(('ENG_OPS'!$O$81*(1+AVERAGE('ENG_OPS'!$D$84:$P$84)*E54)*(1+F54))-('ENG_COST'!$O$266*(1+'IN_COST'!$D$8*E54))-('ENG_COST'!$O$268*(1+'IN_COST'!$D$9*E54))-('ENG_CAPEX'!$O$81*(1+'ENG_CAPEX'!$D$23*E54))))*'IN_MACRO'!$D$14+('ENG_CAPEX'!$O$81*(1+'ENG_CAPEX'!$D$23*E54))-(('ENG_CAPEX'!$O$21+'ENG_CAPEX'!$O$42)*(1+'ENG_CAPEX'!$D$23*E54))-('ENG_WC'!$O$19*(1+AVERAGE('ENG_OPS'!$D$84:$P$84)*E54)*(1+F54))</f>
        <v/>
      </c>
      <c r="S54" s="36">
        <f>(('ENG_OPS'!$P$81*(1+AVERAGE('ENG_OPS'!$D$84:$P$84)*E54)*(1+F54))-('ENG_COST'!$P$266*(1+'IN_COST'!$D$8*E54))-('ENG_COST'!$P$268*(1+'IN_COST'!$D$9*E54))-('ENG_CAPEX'!$P$81*(1+'ENG_CAPEX'!$D$23*E54)))-MAX(0,(('ENG_OPS'!$P$81*(1+AVERAGE('ENG_OPS'!$D$84:$P$84)*E54)*(1+F54))-('ENG_COST'!$P$266*(1+'IN_COST'!$D$8*E54))-('ENG_COST'!$P$268*(1+'IN_COST'!$D$9*E54))-('ENG_CAPEX'!$P$81*(1+'ENG_CAPEX'!$D$23*E54))))*'IN_MACRO'!$D$14+('ENG_CAPEX'!$P$81*(1+'ENG_CAPEX'!$D$23*E54))-(('ENG_CAPEX'!$P$21+'ENG_CAPEX'!$P$42)*(1+'ENG_CAPEX'!$D$23*E54))-('ENG_WC'!$P$19*(1+AVERAGE('ENG_OPS'!$D$84:$P$84)*E54)*(1+F54))</f>
        <v/>
      </c>
      <c r="T54" s="30">
        <f>1</f>
        <v/>
      </c>
      <c r="U54" s="30">
        <f>T54/(1+'ENG_DCF'!$E$14+D54)</f>
        <v/>
      </c>
      <c r="V54" s="30">
        <f>U54/(1+'ENG_DCF'!$F$14+D54)</f>
        <v/>
      </c>
      <c r="W54" s="30">
        <f>V54/(1+'ENG_DCF'!$G$14+D54)</f>
        <v/>
      </c>
      <c r="X54" s="30">
        <f>W54/(1+'ENG_DCF'!$H$14+D54)</f>
        <v/>
      </c>
      <c r="Y54" s="30">
        <f>X54/(1+'ENG_DCF'!$I$14+D54)</f>
        <v/>
      </c>
      <c r="Z54" s="30">
        <f>Y54/(1+'ENG_DCF'!$J$14+D54)</f>
        <v/>
      </c>
      <c r="AA54" s="30">
        <f>Z54/(1+'ENG_DCF'!$K$14+D54)</f>
        <v/>
      </c>
      <c r="AB54" s="30">
        <f>AA54/(1+'ENG_DCF'!$L$14+D54)</f>
        <v/>
      </c>
      <c r="AC54" s="30">
        <f>AB54/(1+'ENG_DCF'!$M$14+D54)</f>
        <v/>
      </c>
      <c r="AD54" s="30">
        <f>AC54/(1+'ENG_DCF'!$N$14+D54)</f>
        <v/>
      </c>
      <c r="AE54" s="30">
        <f>AD54/(1+'ENG_DCF'!$O$14+D54)</f>
        <v/>
      </c>
      <c r="AF54" s="30">
        <f>AE54/(1+'ENG_DCF'!$P$14+D54)</f>
        <v/>
      </c>
      <c r="AG54" s="36">
        <f>(G54*T54+H54*U54+I54*V54+J54*W54+K54*X54+L54*Y54+M54*Z54+N54*AA54+O54*AB54+P54*AC54+Q54*AD54+R54*AE54+S54*AF54)+(IF('IN_MACRO'!$D$19=1,MAX(0,(S54+(('ENG_CAPEX'!$P$21+'ENG_CAPEX'!$P$42)*(1+'ENG_CAPEX'!$D$23*E54))))*(1+'IN_MACRO'!$D$18)/MAX(0.005,'ENG_DCF'!$P$14+D54-'IN_MACRO'!$D$18),(('ENG_OPS'!$P$81*(1+AVERAGE('ENG_OPS'!$D$84:$P$84)*E54)*(1+F54))-('ENG_COST'!$P$266*(1+'IN_COST'!$D$8*E54))-('ENG_COST'!$P$268*(1+'IN_COST'!$D$9*E54)))*'IN_MACRO'!$D$20))*AF54</f>
        <v/>
      </c>
    </row>
    <row r="55">
      <c r="A55" t="inlineStr">
        <is>
          <t>PR|4|4</t>
        </is>
      </c>
      <c r="D55" s="38">
        <f>'IN_SCEN'!$H$24</f>
        <v/>
      </c>
      <c r="E55" s="38">
        <f>0</f>
        <v/>
      </c>
      <c r="F55" s="38">
        <f>'IN_SCEN'!$H$26</f>
        <v/>
      </c>
      <c r="G55" s="36">
        <f>(('ENG_OPS'!$D$81*(1+AVERAGE('ENG_OPS'!$D$84:$P$84)*E55)*(1+F55))-('ENG_COST'!$D$266*(1+'IN_COST'!$D$8*E55))-('ENG_COST'!$D$268*(1+'IN_COST'!$D$9*E55))-('ENG_CAPEX'!$D$81*(1+'ENG_CAPEX'!$D$23*E55)))-MAX(0,(('ENG_OPS'!$D$81*(1+AVERAGE('ENG_OPS'!$D$84:$P$84)*E55)*(1+F55))-('ENG_COST'!$D$266*(1+'IN_COST'!$D$8*E55))-('ENG_COST'!$D$268*(1+'IN_COST'!$D$9*E55))-('ENG_CAPEX'!$D$81*(1+'ENG_CAPEX'!$D$23*E55))))*'IN_MACRO'!$D$14+('ENG_CAPEX'!$D$81*(1+'ENG_CAPEX'!$D$23*E55))-(('ENG_CAPEX'!$D$21+'ENG_CAPEX'!$D$42)*(1+'ENG_CAPEX'!$D$23*E55))-('ENG_WC'!$D$19*(1+AVERAGE('ENG_OPS'!$D$84:$P$84)*E55)*(1+F55))</f>
        <v/>
      </c>
      <c r="H55" s="36">
        <f>(('ENG_OPS'!$E$81*(1+AVERAGE('ENG_OPS'!$D$84:$P$84)*E55)*(1+F55))-('ENG_COST'!$E$266*(1+'IN_COST'!$D$8*E55))-('ENG_COST'!$E$268*(1+'IN_COST'!$D$9*E55))-('ENG_CAPEX'!$E$81*(1+'ENG_CAPEX'!$D$23*E55)))-MAX(0,(('ENG_OPS'!$E$81*(1+AVERAGE('ENG_OPS'!$D$84:$P$84)*E55)*(1+F55))-('ENG_COST'!$E$266*(1+'IN_COST'!$D$8*E55))-('ENG_COST'!$E$268*(1+'IN_COST'!$D$9*E55))-('ENG_CAPEX'!$E$81*(1+'ENG_CAPEX'!$D$23*E55))))*'IN_MACRO'!$D$14+('ENG_CAPEX'!$E$81*(1+'ENG_CAPEX'!$D$23*E55))-(('ENG_CAPEX'!$E$21+'ENG_CAPEX'!$E$42)*(1+'ENG_CAPEX'!$D$23*E55))-('ENG_WC'!$E$19*(1+AVERAGE('ENG_OPS'!$D$84:$P$84)*E55)*(1+F55))</f>
        <v/>
      </c>
      <c r="I55" s="36">
        <f>(('ENG_OPS'!$F$81*(1+AVERAGE('ENG_OPS'!$D$84:$P$84)*E55)*(1+F55))-('ENG_COST'!$F$266*(1+'IN_COST'!$D$8*E55))-('ENG_COST'!$F$268*(1+'IN_COST'!$D$9*E55))-('ENG_CAPEX'!$F$81*(1+'ENG_CAPEX'!$D$23*E55)))-MAX(0,(('ENG_OPS'!$F$81*(1+AVERAGE('ENG_OPS'!$D$84:$P$84)*E55)*(1+F55))-('ENG_COST'!$F$266*(1+'IN_COST'!$D$8*E55))-('ENG_COST'!$F$268*(1+'IN_COST'!$D$9*E55))-('ENG_CAPEX'!$F$81*(1+'ENG_CAPEX'!$D$23*E55))))*'IN_MACRO'!$D$14+('ENG_CAPEX'!$F$81*(1+'ENG_CAPEX'!$D$23*E55))-(('ENG_CAPEX'!$F$21+'ENG_CAPEX'!$F$42)*(1+'ENG_CAPEX'!$D$23*E55))-('ENG_WC'!$F$19*(1+AVERAGE('ENG_OPS'!$D$84:$P$84)*E55)*(1+F55))</f>
        <v/>
      </c>
      <c r="J55" s="36">
        <f>(('ENG_OPS'!$G$81*(1+AVERAGE('ENG_OPS'!$D$84:$P$84)*E55)*(1+F55))-('ENG_COST'!$G$266*(1+'IN_COST'!$D$8*E55))-('ENG_COST'!$G$268*(1+'IN_COST'!$D$9*E55))-('ENG_CAPEX'!$G$81*(1+'ENG_CAPEX'!$D$23*E55)))-MAX(0,(('ENG_OPS'!$G$81*(1+AVERAGE('ENG_OPS'!$D$84:$P$84)*E55)*(1+F55))-('ENG_COST'!$G$266*(1+'IN_COST'!$D$8*E55))-('ENG_COST'!$G$268*(1+'IN_COST'!$D$9*E55))-('ENG_CAPEX'!$G$81*(1+'ENG_CAPEX'!$D$23*E55))))*'IN_MACRO'!$D$14+('ENG_CAPEX'!$G$81*(1+'ENG_CAPEX'!$D$23*E55))-(('ENG_CAPEX'!$G$21+'ENG_CAPEX'!$G$42)*(1+'ENG_CAPEX'!$D$23*E55))-('ENG_WC'!$G$19*(1+AVERAGE('ENG_OPS'!$D$84:$P$84)*E55)*(1+F55))</f>
        <v/>
      </c>
      <c r="K55" s="36">
        <f>(('ENG_OPS'!$H$81*(1+AVERAGE('ENG_OPS'!$D$84:$P$84)*E55)*(1+F55))-('ENG_COST'!$H$266*(1+'IN_COST'!$D$8*E55))-('ENG_COST'!$H$268*(1+'IN_COST'!$D$9*E55))-('ENG_CAPEX'!$H$81*(1+'ENG_CAPEX'!$D$23*E55)))-MAX(0,(('ENG_OPS'!$H$81*(1+AVERAGE('ENG_OPS'!$D$84:$P$84)*E55)*(1+F55))-('ENG_COST'!$H$266*(1+'IN_COST'!$D$8*E55))-('ENG_COST'!$H$268*(1+'IN_COST'!$D$9*E55))-('ENG_CAPEX'!$H$81*(1+'ENG_CAPEX'!$D$23*E55))))*'IN_MACRO'!$D$14+('ENG_CAPEX'!$H$81*(1+'ENG_CAPEX'!$D$23*E55))-(('ENG_CAPEX'!$H$21+'ENG_CAPEX'!$H$42)*(1+'ENG_CAPEX'!$D$23*E55))-('ENG_WC'!$H$19*(1+AVERAGE('ENG_OPS'!$D$84:$P$84)*E55)*(1+F55))</f>
        <v/>
      </c>
      <c r="L55" s="36">
        <f>(('ENG_OPS'!$I$81*(1+AVERAGE('ENG_OPS'!$D$84:$P$84)*E55)*(1+F55))-('ENG_COST'!$I$266*(1+'IN_COST'!$D$8*E55))-('ENG_COST'!$I$268*(1+'IN_COST'!$D$9*E55))-('ENG_CAPEX'!$I$81*(1+'ENG_CAPEX'!$D$23*E55)))-MAX(0,(('ENG_OPS'!$I$81*(1+AVERAGE('ENG_OPS'!$D$84:$P$84)*E55)*(1+F55))-('ENG_COST'!$I$266*(1+'IN_COST'!$D$8*E55))-('ENG_COST'!$I$268*(1+'IN_COST'!$D$9*E55))-('ENG_CAPEX'!$I$81*(1+'ENG_CAPEX'!$D$23*E55))))*'IN_MACRO'!$D$14+('ENG_CAPEX'!$I$81*(1+'ENG_CAPEX'!$D$23*E55))-(('ENG_CAPEX'!$I$21+'ENG_CAPEX'!$I$42)*(1+'ENG_CAPEX'!$D$23*E55))-('ENG_WC'!$I$19*(1+AVERAGE('ENG_OPS'!$D$84:$P$84)*E55)*(1+F55))</f>
        <v/>
      </c>
      <c r="M55" s="36">
        <f>(('ENG_OPS'!$J$81*(1+AVERAGE('ENG_OPS'!$D$84:$P$84)*E55)*(1+F55))-('ENG_COST'!$J$266*(1+'IN_COST'!$D$8*E55))-('ENG_COST'!$J$268*(1+'IN_COST'!$D$9*E55))-('ENG_CAPEX'!$J$81*(1+'ENG_CAPEX'!$D$23*E55)))-MAX(0,(('ENG_OPS'!$J$81*(1+AVERAGE('ENG_OPS'!$D$84:$P$84)*E55)*(1+F55))-('ENG_COST'!$J$266*(1+'IN_COST'!$D$8*E55))-('ENG_COST'!$J$268*(1+'IN_COST'!$D$9*E55))-('ENG_CAPEX'!$J$81*(1+'ENG_CAPEX'!$D$23*E55))))*'IN_MACRO'!$D$14+('ENG_CAPEX'!$J$81*(1+'ENG_CAPEX'!$D$23*E55))-(('ENG_CAPEX'!$J$21+'ENG_CAPEX'!$J$42)*(1+'ENG_CAPEX'!$D$23*E55))-('ENG_WC'!$J$19*(1+AVERAGE('ENG_OPS'!$D$84:$P$84)*E55)*(1+F55))</f>
        <v/>
      </c>
      <c r="N55" s="36">
        <f>(('ENG_OPS'!$K$81*(1+AVERAGE('ENG_OPS'!$D$84:$P$84)*E55)*(1+F55))-('ENG_COST'!$K$266*(1+'IN_COST'!$D$8*E55))-('ENG_COST'!$K$268*(1+'IN_COST'!$D$9*E55))-('ENG_CAPEX'!$K$81*(1+'ENG_CAPEX'!$D$23*E55)))-MAX(0,(('ENG_OPS'!$K$81*(1+AVERAGE('ENG_OPS'!$D$84:$P$84)*E55)*(1+F55))-('ENG_COST'!$K$266*(1+'IN_COST'!$D$8*E55))-('ENG_COST'!$K$268*(1+'IN_COST'!$D$9*E55))-('ENG_CAPEX'!$K$81*(1+'ENG_CAPEX'!$D$23*E55))))*'IN_MACRO'!$D$14+('ENG_CAPEX'!$K$81*(1+'ENG_CAPEX'!$D$23*E55))-(('ENG_CAPEX'!$K$21+'ENG_CAPEX'!$K$42)*(1+'ENG_CAPEX'!$D$23*E55))-('ENG_WC'!$K$19*(1+AVERAGE('ENG_OPS'!$D$84:$P$84)*E55)*(1+F55))</f>
        <v/>
      </c>
      <c r="O55" s="36">
        <f>(('ENG_OPS'!$L$81*(1+AVERAGE('ENG_OPS'!$D$84:$P$84)*E55)*(1+F55))-('ENG_COST'!$L$266*(1+'IN_COST'!$D$8*E55))-('ENG_COST'!$L$268*(1+'IN_COST'!$D$9*E55))-('ENG_CAPEX'!$L$81*(1+'ENG_CAPEX'!$D$23*E55)))-MAX(0,(('ENG_OPS'!$L$81*(1+AVERAGE('ENG_OPS'!$D$84:$P$84)*E55)*(1+F55))-('ENG_COST'!$L$266*(1+'IN_COST'!$D$8*E55))-('ENG_COST'!$L$268*(1+'IN_COST'!$D$9*E55))-('ENG_CAPEX'!$L$81*(1+'ENG_CAPEX'!$D$23*E55))))*'IN_MACRO'!$D$14+('ENG_CAPEX'!$L$81*(1+'ENG_CAPEX'!$D$23*E55))-(('ENG_CAPEX'!$L$21+'ENG_CAPEX'!$L$42)*(1+'ENG_CAPEX'!$D$23*E55))-('ENG_WC'!$L$19*(1+AVERAGE('ENG_OPS'!$D$84:$P$84)*E55)*(1+F55))</f>
        <v/>
      </c>
      <c r="P55" s="36">
        <f>(('ENG_OPS'!$M$81*(1+AVERAGE('ENG_OPS'!$D$84:$P$84)*E55)*(1+F55))-('ENG_COST'!$M$266*(1+'IN_COST'!$D$8*E55))-('ENG_COST'!$M$268*(1+'IN_COST'!$D$9*E55))-('ENG_CAPEX'!$M$81*(1+'ENG_CAPEX'!$D$23*E55)))-MAX(0,(('ENG_OPS'!$M$81*(1+AVERAGE('ENG_OPS'!$D$84:$P$84)*E55)*(1+F55))-('ENG_COST'!$M$266*(1+'IN_COST'!$D$8*E55))-('ENG_COST'!$M$268*(1+'IN_COST'!$D$9*E55))-('ENG_CAPEX'!$M$81*(1+'ENG_CAPEX'!$D$23*E55))))*'IN_MACRO'!$D$14+('ENG_CAPEX'!$M$81*(1+'ENG_CAPEX'!$D$23*E55))-(('ENG_CAPEX'!$M$21+'ENG_CAPEX'!$M$42)*(1+'ENG_CAPEX'!$D$23*E55))-('ENG_WC'!$M$19*(1+AVERAGE('ENG_OPS'!$D$84:$P$84)*E55)*(1+F55))</f>
        <v/>
      </c>
      <c r="Q55" s="36">
        <f>(('ENG_OPS'!$N$81*(1+AVERAGE('ENG_OPS'!$D$84:$P$84)*E55)*(1+F55))-('ENG_COST'!$N$266*(1+'IN_COST'!$D$8*E55))-('ENG_COST'!$N$268*(1+'IN_COST'!$D$9*E55))-('ENG_CAPEX'!$N$81*(1+'ENG_CAPEX'!$D$23*E55)))-MAX(0,(('ENG_OPS'!$N$81*(1+AVERAGE('ENG_OPS'!$D$84:$P$84)*E55)*(1+F55))-('ENG_COST'!$N$266*(1+'IN_COST'!$D$8*E55))-('ENG_COST'!$N$268*(1+'IN_COST'!$D$9*E55))-('ENG_CAPEX'!$N$81*(1+'ENG_CAPEX'!$D$23*E55))))*'IN_MACRO'!$D$14+('ENG_CAPEX'!$N$81*(1+'ENG_CAPEX'!$D$23*E55))-(('ENG_CAPEX'!$N$21+'ENG_CAPEX'!$N$42)*(1+'ENG_CAPEX'!$D$23*E55))-('ENG_WC'!$N$19*(1+AVERAGE('ENG_OPS'!$D$84:$P$84)*E55)*(1+F55))</f>
        <v/>
      </c>
      <c r="R55" s="36">
        <f>(('ENG_OPS'!$O$81*(1+AVERAGE('ENG_OPS'!$D$84:$P$84)*E55)*(1+F55))-('ENG_COST'!$O$266*(1+'IN_COST'!$D$8*E55))-('ENG_COST'!$O$268*(1+'IN_COST'!$D$9*E55))-('ENG_CAPEX'!$O$81*(1+'ENG_CAPEX'!$D$23*E55)))-MAX(0,(('ENG_OPS'!$O$81*(1+AVERAGE('ENG_OPS'!$D$84:$P$84)*E55)*(1+F55))-('ENG_COST'!$O$266*(1+'IN_COST'!$D$8*E55))-('ENG_COST'!$O$268*(1+'IN_COST'!$D$9*E55))-('ENG_CAPEX'!$O$81*(1+'ENG_CAPEX'!$D$23*E55))))*'IN_MACRO'!$D$14+('ENG_CAPEX'!$O$81*(1+'ENG_CAPEX'!$D$23*E55))-(('ENG_CAPEX'!$O$21+'ENG_CAPEX'!$O$42)*(1+'ENG_CAPEX'!$D$23*E55))-('ENG_WC'!$O$19*(1+AVERAGE('ENG_OPS'!$D$84:$P$84)*E55)*(1+F55))</f>
        <v/>
      </c>
      <c r="S55" s="36">
        <f>(('ENG_OPS'!$P$81*(1+AVERAGE('ENG_OPS'!$D$84:$P$84)*E55)*(1+F55))-('ENG_COST'!$P$266*(1+'IN_COST'!$D$8*E55))-('ENG_COST'!$P$268*(1+'IN_COST'!$D$9*E55))-('ENG_CAPEX'!$P$81*(1+'ENG_CAPEX'!$D$23*E55)))-MAX(0,(('ENG_OPS'!$P$81*(1+AVERAGE('ENG_OPS'!$D$84:$P$84)*E55)*(1+F55))-('ENG_COST'!$P$266*(1+'IN_COST'!$D$8*E55))-('ENG_COST'!$P$268*(1+'IN_COST'!$D$9*E55))-('ENG_CAPEX'!$P$81*(1+'ENG_CAPEX'!$D$23*E55))))*'IN_MACRO'!$D$14+('ENG_CAPEX'!$P$81*(1+'ENG_CAPEX'!$D$23*E55))-(('ENG_CAPEX'!$P$21+'ENG_CAPEX'!$P$42)*(1+'ENG_CAPEX'!$D$23*E55))-('ENG_WC'!$P$19*(1+AVERAGE('ENG_OPS'!$D$84:$P$84)*E55)*(1+F55))</f>
        <v/>
      </c>
      <c r="T55" s="30">
        <f>1</f>
        <v/>
      </c>
      <c r="U55" s="30">
        <f>T55/(1+'ENG_DCF'!$E$14+D55)</f>
        <v/>
      </c>
      <c r="V55" s="30">
        <f>U55/(1+'ENG_DCF'!$F$14+D55)</f>
        <v/>
      </c>
      <c r="W55" s="30">
        <f>V55/(1+'ENG_DCF'!$G$14+D55)</f>
        <v/>
      </c>
      <c r="X55" s="30">
        <f>W55/(1+'ENG_DCF'!$H$14+D55)</f>
        <v/>
      </c>
      <c r="Y55" s="30">
        <f>X55/(1+'ENG_DCF'!$I$14+D55)</f>
        <v/>
      </c>
      <c r="Z55" s="30">
        <f>Y55/(1+'ENG_DCF'!$J$14+D55)</f>
        <v/>
      </c>
      <c r="AA55" s="30">
        <f>Z55/(1+'ENG_DCF'!$K$14+D55)</f>
        <v/>
      </c>
      <c r="AB55" s="30">
        <f>AA55/(1+'ENG_DCF'!$L$14+D55)</f>
        <v/>
      </c>
      <c r="AC55" s="30">
        <f>AB55/(1+'ENG_DCF'!$M$14+D55)</f>
        <v/>
      </c>
      <c r="AD55" s="30">
        <f>AC55/(1+'ENG_DCF'!$N$14+D55)</f>
        <v/>
      </c>
      <c r="AE55" s="30">
        <f>AD55/(1+'ENG_DCF'!$O$14+D55)</f>
        <v/>
      </c>
      <c r="AF55" s="30">
        <f>AE55/(1+'ENG_DCF'!$P$14+D55)</f>
        <v/>
      </c>
      <c r="AG55" s="36">
        <f>(G55*T55+H55*U55+I55*V55+J55*W55+K55*X55+L55*Y55+M55*Z55+N55*AA55+O55*AB55+P55*AC55+Q55*AD55+R55*AE55+S55*AF55)+(IF('IN_MACRO'!$D$19=1,MAX(0,(S55+(('ENG_CAPEX'!$P$21+'ENG_CAPEX'!$P$42)*(1+'ENG_CAPEX'!$D$23*E55))))*(1+'IN_MACRO'!$D$18)/MAX(0.005,'ENG_DCF'!$P$14+D55-'IN_MACRO'!$D$18),(('ENG_OPS'!$P$81*(1+AVERAGE('ENG_OPS'!$D$84:$P$84)*E55)*(1+F55))-('ENG_COST'!$P$266*(1+'IN_COST'!$D$8*E55))-('ENG_COST'!$P$268*(1+'IN_COST'!$D$9*E55)))*'IN_MACRO'!$D$20))*AF55</f>
        <v/>
      </c>
    </row>
  </sheetData>
  <pageMargins left="0.75" right="0.75" top="1" bottom="1" header="0.5" footer="0.5"/>
</worksheet>
</file>

<file path=xl/worksheets/sheet19.xml><?xml version="1.0" encoding="utf-8"?>
<worksheet xmlns="http://schemas.openxmlformats.org/spreadsheetml/2006/main">
  <sheetPr>
    <tabColor rgb="00548235"/>
    <outlinePr summaryBelow="1" summaryRight="1"/>
    <pageSetUpPr/>
  </sheetPr>
  <dimension ref="A1:Q49"/>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داشبورد مدیریتی (Format A)</t>
        </is>
      </c>
      <c r="B1" s="2" t="inlineStr">
        <is>
          <t>لایه خروجی</t>
        </is>
      </c>
    </row>
    <row r="2">
      <c r="A2" s="3" t="inlineStr">
        <is>
          <t>خلاصهٔ شاخص‌های کلیدی و نمودارهای ظرفیت، سودآوری و نقدینگی برای مدیران ارشد.</t>
        </is>
      </c>
    </row>
    <row r="3"/>
    <row r="4"/>
    <row r="5"/>
    <row r="6"/>
    <row r="7">
      <c r="A7" s="11" t="inlineStr">
        <is>
          <t>دوره (t)</t>
        </is>
      </c>
      <c r="D7" s="12" t="n">
        <v>0</v>
      </c>
      <c r="E7" s="12" t="n">
        <v>1</v>
      </c>
      <c r="F7" s="12" t="n">
        <v>2</v>
      </c>
      <c r="G7" s="12" t="n">
        <v>3</v>
      </c>
      <c r="H7" s="12" t="n">
        <v>4</v>
      </c>
      <c r="I7" s="12" t="n">
        <v>5</v>
      </c>
      <c r="J7" s="12" t="n">
        <v>6</v>
      </c>
      <c r="K7" s="12" t="n">
        <v>7</v>
      </c>
      <c r="L7" s="12" t="n">
        <v>8</v>
      </c>
      <c r="M7" s="12" t="n">
        <v>9</v>
      </c>
      <c r="N7" s="12" t="n">
        <v>10</v>
      </c>
      <c r="O7" s="12" t="n">
        <v>11</v>
      </c>
      <c r="P7" s="12" t="n">
        <v>12</v>
      </c>
    </row>
    <row r="8">
      <c r="A8" s="13" t="inlineStr">
        <is>
          <t>سال تقویمی</t>
        </is>
      </c>
      <c r="D8" s="14" t="n">
        <v>2026</v>
      </c>
      <c r="E8" s="14" t="n">
        <v>2027</v>
      </c>
      <c r="F8" s="14" t="n">
        <v>2028</v>
      </c>
      <c r="G8" s="14" t="n">
        <v>2029</v>
      </c>
      <c r="H8" s="14" t="n">
        <v>2030</v>
      </c>
      <c r="I8" s="14" t="n">
        <v>2031</v>
      </c>
      <c r="J8" s="14" t="n">
        <v>2032</v>
      </c>
      <c r="K8" s="14" t="n">
        <v>2033</v>
      </c>
      <c r="L8" s="14" t="n">
        <v>2034</v>
      </c>
      <c r="M8" s="14" t="n">
        <v>2035</v>
      </c>
      <c r="N8" s="14" t="n">
        <v>2036</v>
      </c>
      <c r="O8" s="14" t="n">
        <v>2037</v>
      </c>
      <c r="P8" s="14" t="n">
        <v>2038</v>
      </c>
    </row>
    <row r="9">
      <c r="A9" s="4" t="inlineStr">
        <is>
          <t>الف) شاخص‌های کلیدی</t>
        </is>
      </c>
      <c r="B9" s="5" t="n"/>
      <c r="C9" s="5" t="n"/>
      <c r="D9" s="5" t="n"/>
      <c r="E9" s="5" t="n"/>
      <c r="F9" s="5" t="n"/>
      <c r="G9" s="5" t="n"/>
      <c r="H9" s="5" t="n"/>
      <c r="I9" s="5" t="n"/>
      <c r="J9" s="5" t="n"/>
      <c r="K9" s="5" t="n"/>
      <c r="L9" s="5" t="n"/>
      <c r="M9" s="5" t="n"/>
      <c r="N9" s="5" t="n"/>
      <c r="O9" s="5" t="n"/>
      <c r="P9" s="5" t="n"/>
      <c r="Q9" s="5" t="n"/>
    </row>
    <row r="10">
      <c r="A10" s="8" t="inlineStr">
        <is>
          <t>سناریوی فعال</t>
        </is>
      </c>
      <c r="C10" s="17" t="inlineStr">
        <is>
          <t>─</t>
        </is>
      </c>
      <c r="D10" s="39">
        <f>CHOOSE('ENG_SCEN'!$D$10,"پایه","خوش‌بینانه","بدبینانه")</f>
        <v/>
      </c>
    </row>
    <row r="11">
      <c r="A11" s="8" t="inlineStr">
        <is>
          <t>ارزش فعلی خالص (NPV)</t>
        </is>
      </c>
      <c r="C11" s="17" t="inlineStr">
        <is>
          <t>میلیون ریال</t>
        </is>
      </c>
      <c r="D11" s="40">
        <f>'ENG_DCF'!$D$26</f>
        <v/>
      </c>
    </row>
    <row r="12">
      <c r="A12" s="8" t="inlineStr">
        <is>
          <t>نرخ بازده داخلی پروژه (IRR)</t>
        </is>
      </c>
      <c r="C12" s="17" t="inlineStr">
        <is>
          <t>درصد</t>
        </is>
      </c>
      <c r="D12" s="41">
        <f>'ENG_DCF'!$D$27</f>
        <v/>
      </c>
    </row>
    <row r="13">
      <c r="A13" s="8" t="inlineStr">
        <is>
          <t>نرخ بازده داخلی تعدیل‌شده (MIRR)</t>
        </is>
      </c>
      <c r="C13" s="17" t="inlineStr">
        <is>
          <t>درصد</t>
        </is>
      </c>
      <c r="D13" s="41">
        <f>'ENG_DCF'!$D$28</f>
        <v/>
      </c>
    </row>
    <row r="14">
      <c r="A14" s="8" t="inlineStr">
        <is>
          <t>دوره بازپرداشت سرمایه (تنزیلی)</t>
        </is>
      </c>
      <c r="C14" s="17" t="inlineStr">
        <is>
          <t>سال</t>
        </is>
      </c>
      <c r="D14" s="42">
        <f>IFERROR('ENG_DCF'!$D$31,"─")</f>
        <v/>
      </c>
    </row>
    <row r="15">
      <c r="A15" s="8" t="inlineStr">
        <is>
          <t>دوره بازپرداشت سرمایه (ساده)</t>
        </is>
      </c>
      <c r="C15" s="17" t="inlineStr">
        <is>
          <t>سال</t>
        </is>
      </c>
      <c r="D15" s="42">
        <f>'ENG_DCF'!$D$30</f>
        <v/>
      </c>
    </row>
    <row r="16">
      <c r="A16" s="8" t="inlineStr">
        <is>
          <t>شاخص سودآوری (PI)</t>
        </is>
      </c>
      <c r="C16" s="17" t="inlineStr">
        <is>
          <t>ضریب</t>
        </is>
      </c>
      <c r="D16" s="43">
        <f>'ENG_DCF'!$D$32</f>
        <v/>
      </c>
    </row>
    <row r="17">
      <c r="A17" s="8" t="inlineStr">
        <is>
          <t>ارزش بنگاه (EV)</t>
        </is>
      </c>
      <c r="C17" s="17" t="inlineStr">
        <is>
          <t>میلیون ریال</t>
        </is>
      </c>
      <c r="D17" s="40">
        <f>'ENG_DCF'!$D$33</f>
        <v/>
      </c>
    </row>
    <row r="18">
      <c r="A18" s="8" t="inlineStr">
        <is>
          <t>نرخ بازده داخلی سهامداران</t>
        </is>
      </c>
      <c r="C18" s="17" t="inlineStr">
        <is>
          <t>درصد</t>
        </is>
      </c>
      <c r="D18" s="41">
        <f>'ENG_DCF'!$D$29</f>
        <v/>
      </c>
    </row>
    <row r="19">
      <c r="A19" s="8" t="inlineStr">
        <is>
          <t>حداقل نسبت پوشش خدمت دین (DSCR)</t>
        </is>
      </c>
      <c r="C19" s="17" t="inlineStr">
        <is>
          <t>ضریب</t>
        </is>
      </c>
      <c r="D19" s="43">
        <f>IFERROR(IF(COUNT('ENG_FCF'!$D$44:$P$44)=0,"─",MIN('ENG_FCF'!$D$44:$P$44)),"─")</f>
        <v/>
      </c>
    </row>
    <row r="20">
      <c r="A20" s="8" t="inlineStr">
        <is>
          <t>میانگین DSCR</t>
        </is>
      </c>
      <c r="C20" s="17" t="inlineStr">
        <is>
          <t>ضریب</t>
        </is>
      </c>
      <c r="D20" s="43">
        <f>IFERROR(AVERAGEIF('ENG_FCF'!$D$43:$P$43,"&gt;0",'ENG_FCF'!$D$44:$P$44),"─")</f>
        <v/>
      </c>
    </row>
    <row r="21">
      <c r="A21" s="8" t="inlineStr">
        <is>
          <t>حاشیه EBITDA در سال پنجم بهره‌برداری</t>
        </is>
      </c>
      <c r="C21" s="17" t="inlineStr">
        <is>
          <t>درصد</t>
        </is>
      </c>
      <c r="D21" s="41">
        <f>IFERROR('ENG_FCF'!$I$15/'ENG_FCF'!$I$10,0)</f>
        <v/>
      </c>
    </row>
    <row r="22">
      <c r="A22" s="8" t="inlineStr">
        <is>
          <t>نقطه سر‌به‌سر (تن باتری ورودی در سال پنجم)</t>
        </is>
      </c>
      <c r="C22" s="17" t="inlineStr">
        <is>
          <t>تن</t>
        </is>
      </c>
      <c r="D22" s="40">
        <f>'ENG_LEV'!$I$17</f>
        <v/>
      </c>
    </row>
    <row r="23">
      <c r="A23" s="8" t="inlineStr">
        <is>
          <t>درجه اهرم ترکیبی در سال پنجم</t>
        </is>
      </c>
      <c r="C23" s="17" t="inlineStr">
        <is>
          <t>ضریب</t>
        </is>
      </c>
      <c r="D23" s="43">
        <f>'ENG_LEV'!$I$23</f>
        <v/>
      </c>
    </row>
    <row r="24">
      <c r="A24" s="8" t="inlineStr">
        <is>
          <t>چرخه تبدیل نقد در سال پنجم</t>
        </is>
      </c>
      <c r="C24" s="17" t="inlineStr">
        <is>
          <t>روز</t>
        </is>
      </c>
      <c r="D24" s="42">
        <f>'ENG_WC'!$I$27</f>
        <v/>
      </c>
    </row>
    <row r="25"/>
    <row r="26">
      <c r="A26" s="4" t="inlineStr">
        <is>
          <t>ب) سری‌های زمانی (مبنای نمودارها)</t>
        </is>
      </c>
      <c r="B26" s="5" t="n"/>
      <c r="C26" s="5" t="n"/>
      <c r="D26" s="5" t="n"/>
      <c r="E26" s="5" t="n"/>
      <c r="F26" s="5" t="n"/>
      <c r="G26" s="5" t="n"/>
      <c r="H26" s="5" t="n"/>
      <c r="I26" s="5" t="n"/>
      <c r="J26" s="5" t="n"/>
      <c r="K26" s="5" t="n"/>
      <c r="L26" s="5" t="n"/>
      <c r="M26" s="5" t="n"/>
      <c r="N26" s="5" t="n"/>
      <c r="O26" s="5" t="n"/>
      <c r="P26" s="5" t="n"/>
      <c r="Q26" s="5" t="n"/>
    </row>
    <row r="27">
      <c r="A27" s="15" t="inlineStr">
        <is>
          <t>مقدار فروش محصولات (تن)</t>
        </is>
      </c>
      <c r="B27" s="16" t="inlineStr">
        <is>
          <t>OUTD.prod</t>
        </is>
      </c>
      <c r="C27" s="17" t="inlineStr">
        <is>
          <t>تن</t>
        </is>
      </c>
      <c r="D27" s="44">
        <f>'ENG_OPS'!$D$82</f>
        <v/>
      </c>
      <c r="E27" s="44">
        <f>'ENG_OPS'!$E$82</f>
        <v/>
      </c>
      <c r="F27" s="44">
        <f>'ENG_OPS'!$F$82</f>
        <v/>
      </c>
      <c r="G27" s="44">
        <f>'ENG_OPS'!$G$82</f>
        <v/>
      </c>
      <c r="H27" s="44">
        <f>'ENG_OPS'!$H$82</f>
        <v/>
      </c>
      <c r="I27" s="44">
        <f>'ENG_OPS'!$I$82</f>
        <v/>
      </c>
      <c r="J27" s="44">
        <f>'ENG_OPS'!$J$82</f>
        <v/>
      </c>
      <c r="K27" s="44">
        <f>'ENG_OPS'!$K$82</f>
        <v/>
      </c>
      <c r="L27" s="44">
        <f>'ENG_OPS'!$L$82</f>
        <v/>
      </c>
      <c r="M27" s="44">
        <f>'ENG_OPS'!$M$82</f>
        <v/>
      </c>
      <c r="N27" s="44">
        <f>'ENG_OPS'!$N$82</f>
        <v/>
      </c>
      <c r="O27" s="44">
        <f>'ENG_OPS'!$O$82</f>
        <v/>
      </c>
      <c r="P27" s="44">
        <f>'ENG_OPS'!$P$82</f>
        <v/>
      </c>
    </row>
    <row r="28">
      <c r="A28" s="15" t="inlineStr">
        <is>
          <t>نرخ استفاده از ظرفیت اسمی</t>
        </is>
      </c>
      <c r="B28" s="16" t="inlineStr">
        <is>
          <t>OUTD.caputil</t>
        </is>
      </c>
      <c r="C28" s="17" t="inlineStr">
        <is>
          <t>درصد</t>
        </is>
      </c>
      <c r="D28" s="45">
        <f>'ENG_OPS'!$D$23</f>
        <v/>
      </c>
      <c r="E28" s="45">
        <f>'ENG_OPS'!$E$23</f>
        <v/>
      </c>
      <c r="F28" s="45">
        <f>'ENG_OPS'!$F$23</f>
        <v/>
      </c>
      <c r="G28" s="45">
        <f>'ENG_OPS'!$G$23</f>
        <v/>
      </c>
      <c r="H28" s="45">
        <f>'ENG_OPS'!$H$23</f>
        <v/>
      </c>
      <c r="I28" s="45">
        <f>'ENG_OPS'!$I$23</f>
        <v/>
      </c>
      <c r="J28" s="45">
        <f>'ENG_OPS'!$J$23</f>
        <v/>
      </c>
      <c r="K28" s="45">
        <f>'ENG_OPS'!$K$23</f>
        <v/>
      </c>
      <c r="L28" s="45">
        <f>'ENG_OPS'!$L$23</f>
        <v/>
      </c>
      <c r="M28" s="45">
        <f>'ENG_OPS'!$M$23</f>
        <v/>
      </c>
      <c r="N28" s="45">
        <f>'ENG_OPS'!$N$23</f>
        <v/>
      </c>
      <c r="O28" s="45">
        <f>'ENG_OPS'!$O$23</f>
        <v/>
      </c>
      <c r="P28" s="45">
        <f>'ENG_OPS'!$P$23</f>
        <v/>
      </c>
    </row>
    <row r="29">
      <c r="A29" s="15" t="inlineStr">
        <is>
          <t>بارگذاری ایستگاه گلوگاه</t>
        </is>
      </c>
      <c r="B29" s="16" t="inlineStr">
        <is>
          <t>OUTD.bott</t>
        </is>
      </c>
      <c r="C29" s="17" t="inlineStr">
        <is>
          <t>درصد</t>
        </is>
      </c>
      <c r="D29" s="45">
        <f>'ENG_OPS'!$D$59</f>
        <v/>
      </c>
      <c r="E29" s="45">
        <f>'ENG_OPS'!$E$59</f>
        <v/>
      </c>
      <c r="F29" s="45">
        <f>'ENG_OPS'!$F$59</f>
        <v/>
      </c>
      <c r="G29" s="45">
        <f>'ENG_OPS'!$G$59</f>
        <v/>
      </c>
      <c r="H29" s="45">
        <f>'ENG_OPS'!$H$59</f>
        <v/>
      </c>
      <c r="I29" s="45">
        <f>'ENG_OPS'!$I$59</f>
        <v/>
      </c>
      <c r="J29" s="45">
        <f>'ENG_OPS'!$J$59</f>
        <v/>
      </c>
      <c r="K29" s="45">
        <f>'ENG_OPS'!$K$59</f>
        <v/>
      </c>
      <c r="L29" s="45">
        <f>'ENG_OPS'!$L$59</f>
        <v/>
      </c>
      <c r="M29" s="45">
        <f>'ENG_OPS'!$M$59</f>
        <v/>
      </c>
      <c r="N29" s="45">
        <f>'ENG_OPS'!$N$59</f>
        <v/>
      </c>
      <c r="O29" s="45">
        <f>'ENG_OPS'!$O$59</f>
        <v/>
      </c>
      <c r="P29" s="45">
        <f>'ENG_OPS'!$P$59</f>
        <v/>
      </c>
    </row>
    <row r="30">
      <c r="A30" s="15" t="inlineStr">
        <is>
          <t>درآمد خالص</t>
        </is>
      </c>
      <c r="B30" s="16" t="inlineStr">
        <is>
          <t>OUTD.rev</t>
        </is>
      </c>
      <c r="C30" s="17" t="inlineStr">
        <is>
          <t>میلیون ریال</t>
        </is>
      </c>
      <c r="D30" s="44">
        <f>'ENG_FCF'!$D$10</f>
        <v/>
      </c>
      <c r="E30" s="44">
        <f>'ENG_FCF'!$E$10</f>
        <v/>
      </c>
      <c r="F30" s="44">
        <f>'ENG_FCF'!$F$10</f>
        <v/>
      </c>
      <c r="G30" s="44">
        <f>'ENG_FCF'!$G$10</f>
        <v/>
      </c>
      <c r="H30" s="44">
        <f>'ENG_FCF'!$H$10</f>
        <v/>
      </c>
      <c r="I30" s="44">
        <f>'ENG_FCF'!$I$10</f>
        <v/>
      </c>
      <c r="J30" s="44">
        <f>'ENG_FCF'!$J$10</f>
        <v/>
      </c>
      <c r="K30" s="44">
        <f>'ENG_FCF'!$K$10</f>
        <v/>
      </c>
      <c r="L30" s="44">
        <f>'ENG_FCF'!$L$10</f>
        <v/>
      </c>
      <c r="M30" s="44">
        <f>'ENG_FCF'!$M$10</f>
        <v/>
      </c>
      <c r="N30" s="44">
        <f>'ENG_FCF'!$N$10</f>
        <v/>
      </c>
      <c r="O30" s="44">
        <f>'ENG_FCF'!$O$10</f>
        <v/>
      </c>
      <c r="P30" s="44">
        <f>'ENG_FCF'!$P$10</f>
        <v/>
      </c>
    </row>
    <row r="31">
      <c r="A31" s="15" t="inlineStr">
        <is>
          <t>EBITDA</t>
        </is>
      </c>
      <c r="B31" s="16" t="inlineStr">
        <is>
          <t>OUTD.ebitda</t>
        </is>
      </c>
      <c r="C31" s="17" t="inlineStr">
        <is>
          <t>میلیون ریال</t>
        </is>
      </c>
      <c r="D31" s="44">
        <f>'ENG_FCF'!$D$15</f>
        <v/>
      </c>
      <c r="E31" s="44">
        <f>'ENG_FCF'!$E$15</f>
        <v/>
      </c>
      <c r="F31" s="44">
        <f>'ENG_FCF'!$F$15</f>
        <v/>
      </c>
      <c r="G31" s="44">
        <f>'ENG_FCF'!$G$15</f>
        <v/>
      </c>
      <c r="H31" s="44">
        <f>'ENG_FCF'!$H$15</f>
        <v/>
      </c>
      <c r="I31" s="44">
        <f>'ENG_FCF'!$I$15</f>
        <v/>
      </c>
      <c r="J31" s="44">
        <f>'ENG_FCF'!$J$15</f>
        <v/>
      </c>
      <c r="K31" s="44">
        <f>'ENG_FCF'!$K$15</f>
        <v/>
      </c>
      <c r="L31" s="44">
        <f>'ENG_FCF'!$L$15</f>
        <v/>
      </c>
      <c r="M31" s="44">
        <f>'ENG_FCF'!$M$15</f>
        <v/>
      </c>
      <c r="N31" s="44">
        <f>'ENG_FCF'!$N$15</f>
        <v/>
      </c>
      <c r="O31" s="44">
        <f>'ENG_FCF'!$O$15</f>
        <v/>
      </c>
      <c r="P31" s="44">
        <f>'ENG_FCF'!$P$15</f>
        <v/>
      </c>
    </row>
    <row r="32">
      <c r="A32" s="15" t="inlineStr">
        <is>
          <t>حاشیه EBITDA</t>
        </is>
      </c>
      <c r="B32" s="16" t="inlineStr">
        <is>
          <t>OUTD.margin</t>
        </is>
      </c>
      <c r="C32" s="17" t="inlineStr">
        <is>
          <t>درصد</t>
        </is>
      </c>
      <c r="D32" s="45">
        <f>IFERROR('ENG_FCF'!$D$15/'ENG_FCF'!$D$10,0)</f>
        <v/>
      </c>
      <c r="E32" s="45">
        <f>IFERROR('ENG_FCF'!$E$15/'ENG_FCF'!$E$10,0)</f>
        <v/>
      </c>
      <c r="F32" s="45">
        <f>IFERROR('ENG_FCF'!$F$15/'ENG_FCF'!$F$10,0)</f>
        <v/>
      </c>
      <c r="G32" s="45">
        <f>IFERROR('ENG_FCF'!$G$15/'ENG_FCF'!$G$10,0)</f>
        <v/>
      </c>
      <c r="H32" s="45">
        <f>IFERROR('ENG_FCF'!$H$15/'ENG_FCF'!$H$10,0)</f>
        <v/>
      </c>
      <c r="I32" s="45">
        <f>IFERROR('ENG_FCF'!$I$15/'ENG_FCF'!$I$10,0)</f>
        <v/>
      </c>
      <c r="J32" s="45">
        <f>IFERROR('ENG_FCF'!$J$15/'ENG_FCF'!$J$10,0)</f>
        <v/>
      </c>
      <c r="K32" s="45">
        <f>IFERROR('ENG_FCF'!$K$15/'ENG_FCF'!$K$10,0)</f>
        <v/>
      </c>
      <c r="L32" s="45">
        <f>IFERROR('ENG_FCF'!$L$15/'ENG_FCF'!$L$10,0)</f>
        <v/>
      </c>
      <c r="M32" s="45">
        <f>IFERROR('ENG_FCF'!$M$15/'ENG_FCF'!$M$10,0)</f>
        <v/>
      </c>
      <c r="N32" s="45">
        <f>IFERROR('ENG_FCF'!$N$15/'ENG_FCF'!$N$10,0)</f>
        <v/>
      </c>
      <c r="O32" s="45">
        <f>IFERROR('ENG_FCF'!$O$15/'ENG_FCF'!$O$10,0)</f>
        <v/>
      </c>
      <c r="P32" s="45">
        <f>IFERROR('ENG_FCF'!$P$15/'ENG_FCF'!$P$10,0)</f>
        <v/>
      </c>
    </row>
    <row r="33">
      <c r="A33" s="15" t="inlineStr">
        <is>
          <t>سود خالص</t>
        </is>
      </c>
      <c r="B33" s="16" t="inlineStr">
        <is>
          <t>OUTD.ni</t>
        </is>
      </c>
      <c r="C33" s="17" t="inlineStr">
        <is>
          <t>میلیون ریال</t>
        </is>
      </c>
      <c r="D33" s="44">
        <f>'ENG_FCF'!$D$32</f>
        <v/>
      </c>
      <c r="E33" s="44">
        <f>'ENG_FCF'!$E$32</f>
        <v/>
      </c>
      <c r="F33" s="44">
        <f>'ENG_FCF'!$F$32</f>
        <v/>
      </c>
      <c r="G33" s="44">
        <f>'ENG_FCF'!$G$32</f>
        <v/>
      </c>
      <c r="H33" s="44">
        <f>'ENG_FCF'!$H$32</f>
        <v/>
      </c>
      <c r="I33" s="44">
        <f>'ENG_FCF'!$I$32</f>
        <v/>
      </c>
      <c r="J33" s="44">
        <f>'ENG_FCF'!$J$32</f>
        <v/>
      </c>
      <c r="K33" s="44">
        <f>'ENG_FCF'!$K$32</f>
        <v/>
      </c>
      <c r="L33" s="44">
        <f>'ENG_FCF'!$L$32</f>
        <v/>
      </c>
      <c r="M33" s="44">
        <f>'ENG_FCF'!$M$32</f>
        <v/>
      </c>
      <c r="N33" s="44">
        <f>'ENG_FCF'!$N$32</f>
        <v/>
      </c>
      <c r="O33" s="44">
        <f>'ENG_FCF'!$O$32</f>
        <v/>
      </c>
      <c r="P33" s="44">
        <f>'ENG_FCF'!$P$32</f>
        <v/>
      </c>
    </row>
    <row r="34">
      <c r="A34" s="15" t="inlineStr">
        <is>
          <t>جریان نقد آزاد پروژه (FCFF)</t>
        </is>
      </c>
      <c r="B34" s="16" t="inlineStr">
        <is>
          <t>OUTD.fcff</t>
        </is>
      </c>
      <c r="C34" s="17" t="inlineStr">
        <is>
          <t>میلیون ریال</t>
        </is>
      </c>
      <c r="D34" s="44">
        <f>'ENG_FCF'!$D$39</f>
        <v/>
      </c>
      <c r="E34" s="44">
        <f>'ENG_FCF'!$E$39</f>
        <v/>
      </c>
      <c r="F34" s="44">
        <f>'ENG_FCF'!$F$39</f>
        <v/>
      </c>
      <c r="G34" s="44">
        <f>'ENG_FCF'!$G$39</f>
        <v/>
      </c>
      <c r="H34" s="44">
        <f>'ENG_FCF'!$H$39</f>
        <v/>
      </c>
      <c r="I34" s="44">
        <f>'ENG_FCF'!$I$39</f>
        <v/>
      </c>
      <c r="J34" s="44">
        <f>'ENG_FCF'!$J$39</f>
        <v/>
      </c>
      <c r="K34" s="44">
        <f>'ENG_FCF'!$K$39</f>
        <v/>
      </c>
      <c r="L34" s="44">
        <f>'ENG_FCF'!$L$39</f>
        <v/>
      </c>
      <c r="M34" s="44">
        <f>'ENG_FCF'!$M$39</f>
        <v/>
      </c>
      <c r="N34" s="44">
        <f>'ENG_FCF'!$N$39</f>
        <v/>
      </c>
      <c r="O34" s="44">
        <f>'ENG_FCF'!$O$39</f>
        <v/>
      </c>
      <c r="P34" s="44">
        <f>'ENG_FCF'!$P$39</f>
        <v/>
      </c>
    </row>
    <row r="35">
      <c r="A35" s="15" t="inlineStr">
        <is>
          <t>FCFF تجمعی</t>
        </is>
      </c>
      <c r="B35" s="16" t="inlineStr">
        <is>
          <t>OUTD.cum</t>
        </is>
      </c>
      <c r="C35" s="17" t="inlineStr">
        <is>
          <t>میلیون ریال</t>
        </is>
      </c>
      <c r="D35" s="44">
        <f>'ENG_FCF'!$D$40</f>
        <v/>
      </c>
      <c r="E35" s="44">
        <f>'ENG_FCF'!$E$40</f>
        <v/>
      </c>
      <c r="F35" s="44">
        <f>'ENG_FCF'!$F$40</f>
        <v/>
      </c>
      <c r="G35" s="44">
        <f>'ENG_FCF'!$G$40</f>
        <v/>
      </c>
      <c r="H35" s="44">
        <f>'ENG_FCF'!$H$40</f>
        <v/>
      </c>
      <c r="I35" s="44">
        <f>'ENG_FCF'!$I$40</f>
        <v/>
      </c>
      <c r="J35" s="44">
        <f>'ENG_FCF'!$J$40</f>
        <v/>
      </c>
      <c r="K35" s="44">
        <f>'ENG_FCF'!$K$40</f>
        <v/>
      </c>
      <c r="L35" s="44">
        <f>'ENG_FCF'!$L$40</f>
        <v/>
      </c>
      <c r="M35" s="44">
        <f>'ENG_FCF'!$M$40</f>
        <v/>
      </c>
      <c r="N35" s="44">
        <f>'ENG_FCF'!$N$40</f>
        <v/>
      </c>
      <c r="O35" s="44">
        <f>'ENG_FCF'!$O$40</f>
        <v/>
      </c>
      <c r="P35" s="44">
        <f>'ENG_FCF'!$P$40</f>
        <v/>
      </c>
    </row>
    <row r="36">
      <c r="A36" s="15" t="inlineStr">
        <is>
          <t>جریان نقد آزاد سهامداران (FCFE)</t>
        </is>
      </c>
      <c r="B36" s="16" t="inlineStr">
        <is>
          <t>OUTD.fcfe</t>
        </is>
      </c>
      <c r="C36" s="17" t="inlineStr">
        <is>
          <t>میلیون ریال</t>
        </is>
      </c>
      <c r="D36" s="44">
        <f>'ENG_FCF'!$D$60</f>
        <v/>
      </c>
      <c r="E36" s="44">
        <f>'ENG_FCF'!$E$60</f>
        <v/>
      </c>
      <c r="F36" s="44">
        <f>'ENG_FCF'!$F$60</f>
        <v/>
      </c>
      <c r="G36" s="44">
        <f>'ENG_FCF'!$G$60</f>
        <v/>
      </c>
      <c r="H36" s="44">
        <f>'ENG_FCF'!$H$60</f>
        <v/>
      </c>
      <c r="I36" s="44">
        <f>'ENG_FCF'!$I$60</f>
        <v/>
      </c>
      <c r="J36" s="44">
        <f>'ENG_FCF'!$J$60</f>
        <v/>
      </c>
      <c r="K36" s="44">
        <f>'ENG_FCF'!$K$60</f>
        <v/>
      </c>
      <c r="L36" s="44">
        <f>'ENG_FCF'!$L$60</f>
        <v/>
      </c>
      <c r="M36" s="44">
        <f>'ENG_FCF'!$M$60</f>
        <v/>
      </c>
      <c r="N36" s="44">
        <f>'ENG_FCF'!$N$60</f>
        <v/>
      </c>
      <c r="O36" s="44">
        <f>'ENG_FCF'!$O$60</f>
        <v/>
      </c>
      <c r="P36" s="44">
        <f>'ENG_FCF'!$P$60</f>
        <v/>
      </c>
    </row>
    <row r="37">
      <c r="A37" s="15" t="inlineStr">
        <is>
          <t>بهای تمام‌شده هر تن محصول</t>
        </is>
      </c>
      <c r="B37" s="16" t="inlineStr">
        <is>
          <t>OUTD.cost</t>
        </is>
      </c>
      <c r="C37" s="17" t="inlineStr">
        <is>
          <t>میلیون ریال/تن</t>
        </is>
      </c>
      <c r="D37" s="46">
        <f>'ENG_COST'!$D$269</f>
        <v/>
      </c>
      <c r="E37" s="46">
        <f>'ENG_COST'!$E$269</f>
        <v/>
      </c>
      <c r="F37" s="46">
        <f>'ENG_COST'!$F$269</f>
        <v/>
      </c>
      <c r="G37" s="46">
        <f>'ENG_COST'!$G$269</f>
        <v/>
      </c>
      <c r="H37" s="46">
        <f>'ENG_COST'!$H$269</f>
        <v/>
      </c>
      <c r="I37" s="46">
        <f>'ENG_COST'!$I$269</f>
        <v/>
      </c>
      <c r="J37" s="46">
        <f>'ENG_COST'!$J$269</f>
        <v/>
      </c>
      <c r="K37" s="46">
        <f>'ENG_COST'!$K$269</f>
        <v/>
      </c>
      <c r="L37" s="46">
        <f>'ENG_COST'!$L$269</f>
        <v/>
      </c>
      <c r="M37" s="46">
        <f>'ENG_COST'!$M$269</f>
        <v/>
      </c>
      <c r="N37" s="46">
        <f>'ENG_COST'!$N$269</f>
        <v/>
      </c>
      <c r="O37" s="46">
        <f>'ENG_COST'!$O$269</f>
        <v/>
      </c>
      <c r="P37" s="46">
        <f>'ENG_COST'!$P$269</f>
        <v/>
      </c>
    </row>
    <row r="38">
      <c r="A38" s="15" t="inlineStr">
        <is>
          <t>سرمایه‌گذاری ثابت و جایگزینی</t>
        </is>
      </c>
      <c r="B38" s="16" t="inlineStr">
        <is>
          <t>OUTD.capex</t>
        </is>
      </c>
      <c r="C38" s="17" t="inlineStr">
        <is>
          <t>میلیون ریال</t>
        </is>
      </c>
      <c r="D38" s="44">
        <f>'ENG_FCF'!$D$38</f>
        <v/>
      </c>
      <c r="E38" s="44">
        <f>'ENG_FCF'!$E$38</f>
        <v/>
      </c>
      <c r="F38" s="44">
        <f>'ENG_FCF'!$F$38</f>
        <v/>
      </c>
      <c r="G38" s="44">
        <f>'ENG_FCF'!$G$38</f>
        <v/>
      </c>
      <c r="H38" s="44">
        <f>'ENG_FCF'!$H$38</f>
        <v/>
      </c>
      <c r="I38" s="44">
        <f>'ENG_FCF'!$I$38</f>
        <v/>
      </c>
      <c r="J38" s="44">
        <f>'ENG_FCF'!$J$38</f>
        <v/>
      </c>
      <c r="K38" s="44">
        <f>'ENG_FCF'!$K$38</f>
        <v/>
      </c>
      <c r="L38" s="44">
        <f>'ENG_FCF'!$L$38</f>
        <v/>
      </c>
      <c r="M38" s="44">
        <f>'ENG_FCF'!$M$38</f>
        <v/>
      </c>
      <c r="N38" s="44">
        <f>'ENG_FCF'!$N$38</f>
        <v/>
      </c>
      <c r="O38" s="44">
        <f>'ENG_FCF'!$O$38</f>
        <v/>
      </c>
      <c r="P38" s="44">
        <f>'ENG_FCF'!$P$38</f>
        <v/>
      </c>
    </row>
    <row r="39"/>
    <row r="40">
      <c r="A40" s="4" t="inlineStr">
        <is>
          <t>ج) بلوک‌های کمکی نمودارها</t>
        </is>
      </c>
      <c r="B40" s="5" t="n"/>
      <c r="C40" s="5" t="n"/>
      <c r="D40" s="5" t="n"/>
      <c r="E40" s="5" t="n"/>
      <c r="F40" s="5" t="n"/>
      <c r="G40" s="5" t="n"/>
      <c r="H40" s="5" t="n"/>
      <c r="I40" s="5" t="n"/>
      <c r="J40" s="5" t="n"/>
      <c r="K40" s="5" t="n"/>
      <c r="L40" s="5" t="n"/>
      <c r="M40" s="5" t="n"/>
      <c r="N40" s="5" t="n"/>
      <c r="O40" s="5" t="n"/>
      <c r="P40" s="5" t="n"/>
      <c r="Q40" s="5" t="n"/>
    </row>
    <row r="41">
      <c r="A41" s="15" t="inlineStr">
        <is>
          <t>ساختار هزینه در آخرین سال - DPC</t>
        </is>
      </c>
      <c r="B41" s="16" t="inlineStr">
        <is>
          <t>OUTD.pie1</t>
        </is>
      </c>
      <c r="C41" s="17" t="inlineStr">
        <is>
          <t>میلیون ریال</t>
        </is>
      </c>
      <c r="D41" s="33">
        <f>'ENG_COST'!$P$260</f>
        <v/>
      </c>
    </row>
    <row r="42">
      <c r="A42" s="15" t="inlineStr">
        <is>
          <t>ساختار هزینه در آخرین سال - OPC</t>
        </is>
      </c>
      <c r="B42" s="16" t="inlineStr">
        <is>
          <t>OUTD.pie2</t>
        </is>
      </c>
      <c r="C42" s="17" t="inlineStr">
        <is>
          <t>میلیون ریال</t>
        </is>
      </c>
      <c r="D42" s="33">
        <f>'ENG_COST'!$P$261</f>
        <v/>
      </c>
    </row>
    <row r="43">
      <c r="A43" s="15" t="inlineStr">
        <is>
          <t>ساختار هزینه در آخرین سال - FPC</t>
        </is>
      </c>
      <c r="B43" s="16" t="inlineStr">
        <is>
          <t>OUTD.pie3</t>
        </is>
      </c>
      <c r="C43" s="17" t="inlineStr">
        <is>
          <t>میلیون ریال</t>
        </is>
      </c>
      <c r="D43" s="33">
        <f>'ENG_COST'!$P$262</f>
        <v/>
      </c>
    </row>
    <row r="44">
      <c r="A44" s="15" t="inlineStr">
        <is>
          <t>بارگذاری ایستگاه 1 در آخرین سال</t>
        </is>
      </c>
      <c r="B44" s="16" t="inlineStr">
        <is>
          <t>OUTD.st0</t>
        </is>
      </c>
      <c r="C44" s="17" t="inlineStr">
        <is>
          <t>درصد</t>
        </is>
      </c>
      <c r="D44" s="32">
        <f>'ENG_OPS'!$P$53</f>
        <v/>
      </c>
    </row>
    <row r="45">
      <c r="A45" s="15" t="inlineStr">
        <is>
          <t>بارگذاری ایستگاه 2 در آخرین سال</t>
        </is>
      </c>
      <c r="B45" s="16" t="inlineStr">
        <is>
          <t>OUTD.st1</t>
        </is>
      </c>
      <c r="C45" s="17" t="inlineStr">
        <is>
          <t>درصد</t>
        </is>
      </c>
      <c r="D45" s="32">
        <f>'ENG_OPS'!$P$54</f>
        <v/>
      </c>
    </row>
    <row r="46">
      <c r="A46" s="15" t="inlineStr">
        <is>
          <t>بارگذاری ایستگاه 3 در آخرین سال</t>
        </is>
      </c>
      <c r="B46" s="16" t="inlineStr">
        <is>
          <t>OUTD.st2</t>
        </is>
      </c>
      <c r="C46" s="17" t="inlineStr">
        <is>
          <t>درصد</t>
        </is>
      </c>
      <c r="D46" s="32">
        <f>'ENG_OPS'!$P$55</f>
        <v/>
      </c>
    </row>
    <row r="47">
      <c r="A47" s="15" t="inlineStr">
        <is>
          <t>بارگذاری ایستگاه 4 در آخرین سال</t>
        </is>
      </c>
      <c r="B47" s="16" t="inlineStr">
        <is>
          <t>OUTD.st3</t>
        </is>
      </c>
      <c r="C47" s="17" t="inlineStr">
        <is>
          <t>درصد</t>
        </is>
      </c>
      <c r="D47" s="32">
        <f>'ENG_OPS'!$P$56</f>
        <v/>
      </c>
    </row>
    <row r="48">
      <c r="A48" s="15" t="inlineStr">
        <is>
          <t>بارگذاری ایستگاه 5 در آخرین سال</t>
        </is>
      </c>
      <c r="B48" s="16" t="inlineStr">
        <is>
          <t>OUTD.st4</t>
        </is>
      </c>
      <c r="C48" s="17" t="inlineStr">
        <is>
          <t>درصد</t>
        </is>
      </c>
      <c r="D48" s="32">
        <f>'ENG_OPS'!$P$57</f>
        <v/>
      </c>
    </row>
    <row r="49">
      <c r="A49" s="15" t="inlineStr">
        <is>
          <t>بارگذاری ایستگاه 6 در آخرین سال</t>
        </is>
      </c>
      <c r="B49" s="16" t="inlineStr">
        <is>
          <t>OUTD.st5</t>
        </is>
      </c>
      <c r="C49" s="17" t="inlineStr">
        <is>
          <t>درصد</t>
        </is>
      </c>
      <c r="D49" s="32">
        <f>'ENG_OPS'!$P$58</f>
        <v/>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tabColor rgb="00BF8F00"/>
    <outlinePr summaryBelow="1" summaryRight="1"/>
    <pageSetUpPr/>
  </sheetPr>
  <dimension ref="A1:Q58"/>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گزارش بانکی – صورت‌های مالی (Format B)</t>
        </is>
      </c>
      <c r="B1" s="2" t="inlineStr">
        <is>
          <t>لایه خروجی</t>
        </is>
      </c>
    </row>
    <row r="2">
      <c r="A2" s="3" t="inlineStr">
        <is>
          <t>جریان وجوه نقد پروژه، صورت سود و زیان، ترازنامه و شاخص‌های پوشش به فرمت مورد انتظار بانک.</t>
        </is>
      </c>
    </row>
    <row r="3"/>
    <row r="4"/>
    <row r="5"/>
    <row r="6"/>
    <row r="7">
      <c r="A7" s="11" t="inlineStr">
        <is>
          <t>دوره (t)</t>
        </is>
      </c>
      <c r="D7" s="12" t="n">
        <v>0</v>
      </c>
      <c r="E7" s="12" t="n">
        <v>1</v>
      </c>
      <c r="F7" s="12" t="n">
        <v>2</v>
      </c>
      <c r="G7" s="12" t="n">
        <v>3</v>
      </c>
      <c r="H7" s="12" t="n">
        <v>4</v>
      </c>
      <c r="I7" s="12" t="n">
        <v>5</v>
      </c>
      <c r="J7" s="12" t="n">
        <v>6</v>
      </c>
      <c r="K7" s="12" t="n">
        <v>7</v>
      </c>
      <c r="L7" s="12" t="n">
        <v>8</v>
      </c>
      <c r="M7" s="12" t="n">
        <v>9</v>
      </c>
      <c r="N7" s="12" t="n">
        <v>10</v>
      </c>
      <c r="O7" s="12" t="n">
        <v>11</v>
      </c>
      <c r="P7" s="12" t="n">
        <v>12</v>
      </c>
    </row>
    <row r="8">
      <c r="A8" s="13" t="inlineStr">
        <is>
          <t>سال تقویمی</t>
        </is>
      </c>
      <c r="D8" s="14" t="n">
        <v>2026</v>
      </c>
      <c r="E8" s="14" t="n">
        <v>2027</v>
      </c>
      <c r="F8" s="14" t="n">
        <v>2028</v>
      </c>
      <c r="G8" s="14" t="n">
        <v>2029</v>
      </c>
      <c r="H8" s="14" t="n">
        <v>2030</v>
      </c>
      <c r="I8" s="14" t="n">
        <v>2031</v>
      </c>
      <c r="J8" s="14" t="n">
        <v>2032</v>
      </c>
      <c r="K8" s="14" t="n">
        <v>2033</v>
      </c>
      <c r="L8" s="14" t="n">
        <v>2034</v>
      </c>
      <c r="M8" s="14" t="n">
        <v>2035</v>
      </c>
      <c r="N8" s="14" t="n">
        <v>2036</v>
      </c>
      <c r="O8" s="14" t="n">
        <v>2037</v>
      </c>
      <c r="P8" s="14" t="n">
        <v>2038</v>
      </c>
    </row>
    <row r="9">
      <c r="A9" s="4" t="inlineStr">
        <is>
          <t>الف) جریان وجوه نقد پروژه</t>
        </is>
      </c>
      <c r="B9" s="5" t="n"/>
      <c r="C9" s="5" t="n"/>
      <c r="D9" s="5" t="n"/>
      <c r="E9" s="5" t="n"/>
      <c r="F9" s="5" t="n"/>
      <c r="G9" s="5" t="n"/>
      <c r="H9" s="5" t="n"/>
      <c r="I9" s="5" t="n"/>
      <c r="J9" s="5" t="n"/>
      <c r="K9" s="5" t="n"/>
      <c r="L9" s="5" t="n"/>
      <c r="M9" s="5" t="n"/>
      <c r="N9" s="5" t="n"/>
      <c r="O9" s="5" t="n"/>
      <c r="P9" s="5" t="n"/>
      <c r="Q9" s="5" t="n"/>
    </row>
    <row r="10">
      <c r="A10" s="15" t="inlineStr">
        <is>
          <t>جریان نقد عملیاتی</t>
        </is>
      </c>
      <c r="B10" s="16" t="inlineStr">
        <is>
          <t>OUTB.cfo</t>
        </is>
      </c>
      <c r="C10" s="17" t="inlineStr">
        <is>
          <t>میلیون ریال</t>
        </is>
      </c>
      <c r="D10" s="44">
        <f>'ENG_FCF'!$D$49</f>
        <v/>
      </c>
      <c r="E10" s="44">
        <f>'ENG_FCF'!$E$49</f>
        <v/>
      </c>
      <c r="F10" s="44">
        <f>'ENG_FCF'!$F$49</f>
        <v/>
      </c>
      <c r="G10" s="44">
        <f>'ENG_FCF'!$G$49</f>
        <v/>
      </c>
      <c r="H10" s="44">
        <f>'ENG_FCF'!$H$49</f>
        <v/>
      </c>
      <c r="I10" s="44">
        <f>'ENG_FCF'!$I$49</f>
        <v/>
      </c>
      <c r="J10" s="44">
        <f>'ENG_FCF'!$J$49</f>
        <v/>
      </c>
      <c r="K10" s="44">
        <f>'ENG_FCF'!$K$49</f>
        <v/>
      </c>
      <c r="L10" s="44">
        <f>'ENG_FCF'!$L$49</f>
        <v/>
      </c>
      <c r="M10" s="44">
        <f>'ENG_FCF'!$M$49</f>
        <v/>
      </c>
      <c r="N10" s="44">
        <f>'ENG_FCF'!$N$49</f>
        <v/>
      </c>
      <c r="O10" s="44">
        <f>'ENG_FCF'!$O$49</f>
        <v/>
      </c>
      <c r="P10" s="44">
        <f>'ENG_FCF'!$P$49</f>
        <v/>
      </c>
    </row>
    <row r="11">
      <c r="A11" s="15" t="inlineStr">
        <is>
          <t>جریان نقد سرمایه‌گذاری</t>
        </is>
      </c>
      <c r="B11" s="16" t="inlineStr">
        <is>
          <t>OUTB.cfi</t>
        </is>
      </c>
      <c r="C11" s="17" t="inlineStr">
        <is>
          <t>میلیون ریال</t>
        </is>
      </c>
      <c r="D11" s="44">
        <f>'ENG_FCF'!$D$50</f>
        <v/>
      </c>
      <c r="E11" s="44">
        <f>'ENG_FCF'!$E$50</f>
        <v/>
      </c>
      <c r="F11" s="44">
        <f>'ENG_FCF'!$F$50</f>
        <v/>
      </c>
      <c r="G11" s="44">
        <f>'ENG_FCF'!$G$50</f>
        <v/>
      </c>
      <c r="H11" s="44">
        <f>'ENG_FCF'!$H$50</f>
        <v/>
      </c>
      <c r="I11" s="44">
        <f>'ENG_FCF'!$I$50</f>
        <v/>
      </c>
      <c r="J11" s="44">
        <f>'ENG_FCF'!$J$50</f>
        <v/>
      </c>
      <c r="K11" s="44">
        <f>'ENG_FCF'!$K$50</f>
        <v/>
      </c>
      <c r="L11" s="44">
        <f>'ENG_FCF'!$L$50</f>
        <v/>
      </c>
      <c r="M11" s="44">
        <f>'ENG_FCF'!$M$50</f>
        <v/>
      </c>
      <c r="N11" s="44">
        <f>'ENG_FCF'!$N$50</f>
        <v/>
      </c>
      <c r="O11" s="44">
        <f>'ENG_FCF'!$O$50</f>
        <v/>
      </c>
      <c r="P11" s="44">
        <f>'ENG_FCF'!$P$50</f>
        <v/>
      </c>
    </row>
    <row r="12">
      <c r="A12" s="15" t="inlineStr">
        <is>
          <t>جریان نقد تأمین مالی</t>
        </is>
      </c>
      <c r="B12" s="16" t="inlineStr">
        <is>
          <t>OUTB.cff</t>
        </is>
      </c>
      <c r="C12" s="17" t="inlineStr">
        <is>
          <t>میلیون ریال</t>
        </is>
      </c>
      <c r="D12" s="44">
        <f>'ENG_FCF'!$D$54</f>
        <v/>
      </c>
      <c r="E12" s="44">
        <f>'ENG_FCF'!$E$54</f>
        <v/>
      </c>
      <c r="F12" s="44">
        <f>'ENG_FCF'!$F$54</f>
        <v/>
      </c>
      <c r="G12" s="44">
        <f>'ENG_FCF'!$G$54</f>
        <v/>
      </c>
      <c r="H12" s="44">
        <f>'ENG_FCF'!$H$54</f>
        <v/>
      </c>
      <c r="I12" s="44">
        <f>'ENG_FCF'!$I$54</f>
        <v/>
      </c>
      <c r="J12" s="44">
        <f>'ENG_FCF'!$J$54</f>
        <v/>
      </c>
      <c r="K12" s="44">
        <f>'ENG_FCF'!$K$54</f>
        <v/>
      </c>
      <c r="L12" s="44">
        <f>'ENG_FCF'!$L$54</f>
        <v/>
      </c>
      <c r="M12" s="44">
        <f>'ENG_FCF'!$M$54</f>
        <v/>
      </c>
      <c r="N12" s="44">
        <f>'ENG_FCF'!$N$54</f>
        <v/>
      </c>
      <c r="O12" s="44">
        <f>'ENG_FCF'!$O$54</f>
        <v/>
      </c>
      <c r="P12" s="44">
        <f>'ENG_FCF'!$P$54</f>
        <v/>
      </c>
    </row>
    <row r="13">
      <c r="A13" s="15" t="inlineStr">
        <is>
          <t>تغییرات نقد</t>
        </is>
      </c>
      <c r="B13" s="16" t="inlineStr">
        <is>
          <t>OUTB.dcash</t>
        </is>
      </c>
      <c r="C13" s="17" t="inlineStr">
        <is>
          <t>میلیون ریال</t>
        </is>
      </c>
      <c r="D13" s="44">
        <f>'ENG_FCF'!$D$55</f>
        <v/>
      </c>
      <c r="E13" s="44">
        <f>'ENG_FCF'!$E$55</f>
        <v/>
      </c>
      <c r="F13" s="44">
        <f>'ENG_FCF'!$F$55</f>
        <v/>
      </c>
      <c r="G13" s="44">
        <f>'ENG_FCF'!$G$55</f>
        <v/>
      </c>
      <c r="H13" s="44">
        <f>'ENG_FCF'!$H$55</f>
        <v/>
      </c>
      <c r="I13" s="44">
        <f>'ENG_FCF'!$I$55</f>
        <v/>
      </c>
      <c r="J13" s="44">
        <f>'ENG_FCF'!$J$55</f>
        <v/>
      </c>
      <c r="K13" s="44">
        <f>'ENG_FCF'!$K$55</f>
        <v/>
      </c>
      <c r="L13" s="44">
        <f>'ENG_FCF'!$L$55</f>
        <v/>
      </c>
      <c r="M13" s="44">
        <f>'ENG_FCF'!$M$55</f>
        <v/>
      </c>
      <c r="N13" s="44">
        <f>'ENG_FCF'!$N$55</f>
        <v/>
      </c>
      <c r="O13" s="44">
        <f>'ENG_FCF'!$O$55</f>
        <v/>
      </c>
      <c r="P13" s="44">
        <f>'ENG_FCF'!$P$55</f>
        <v/>
      </c>
    </row>
    <row r="14">
      <c r="A14" s="15" t="inlineStr">
        <is>
          <t>نقد افتتاحیه</t>
        </is>
      </c>
      <c r="B14" s="16" t="inlineStr">
        <is>
          <t>OUTB.open</t>
        </is>
      </c>
      <c r="C14" s="17" t="inlineStr">
        <is>
          <t>میلیون ریال</t>
        </is>
      </c>
      <c r="D14" s="44">
        <f>'ENG_FCF'!$D$48</f>
        <v/>
      </c>
      <c r="E14" s="44">
        <f>'ENG_FCF'!$E$48</f>
        <v/>
      </c>
      <c r="F14" s="44">
        <f>'ENG_FCF'!$F$48</f>
        <v/>
      </c>
      <c r="G14" s="44">
        <f>'ENG_FCF'!$G$48</f>
        <v/>
      </c>
      <c r="H14" s="44">
        <f>'ENG_FCF'!$H$48</f>
        <v/>
      </c>
      <c r="I14" s="44">
        <f>'ENG_FCF'!$I$48</f>
        <v/>
      </c>
      <c r="J14" s="44">
        <f>'ENG_FCF'!$J$48</f>
        <v/>
      </c>
      <c r="K14" s="44">
        <f>'ENG_FCF'!$K$48</f>
        <v/>
      </c>
      <c r="L14" s="44">
        <f>'ENG_FCF'!$L$48</f>
        <v/>
      </c>
      <c r="M14" s="44">
        <f>'ENG_FCF'!$M$48</f>
        <v/>
      </c>
      <c r="N14" s="44">
        <f>'ENG_FCF'!$N$48</f>
        <v/>
      </c>
      <c r="O14" s="44">
        <f>'ENG_FCF'!$O$48</f>
        <v/>
      </c>
      <c r="P14" s="44">
        <f>'ENG_FCF'!$P$48</f>
        <v/>
      </c>
    </row>
    <row r="15">
      <c r="A15" s="15" t="inlineStr">
        <is>
          <t>نقد اختتامیه</t>
        </is>
      </c>
      <c r="B15" s="16" t="inlineStr">
        <is>
          <t>OUTB.close</t>
        </is>
      </c>
      <c r="C15" s="17" t="inlineStr">
        <is>
          <t>میلیون ریال</t>
        </is>
      </c>
      <c r="D15" s="44">
        <f>'ENG_FCF'!$D$56</f>
        <v/>
      </c>
      <c r="E15" s="44">
        <f>'ENG_FCF'!$E$56</f>
        <v/>
      </c>
      <c r="F15" s="44">
        <f>'ENG_FCF'!$F$56</f>
        <v/>
      </c>
      <c r="G15" s="44">
        <f>'ENG_FCF'!$G$56</f>
        <v/>
      </c>
      <c r="H15" s="44">
        <f>'ENG_FCF'!$H$56</f>
        <v/>
      </c>
      <c r="I15" s="44">
        <f>'ENG_FCF'!$I$56</f>
        <v/>
      </c>
      <c r="J15" s="44">
        <f>'ENG_FCF'!$J$56</f>
        <v/>
      </c>
      <c r="K15" s="44">
        <f>'ENG_FCF'!$K$56</f>
        <v/>
      </c>
      <c r="L15" s="44">
        <f>'ENG_FCF'!$L$56</f>
        <v/>
      </c>
      <c r="M15" s="44">
        <f>'ENG_FCF'!$M$56</f>
        <v/>
      </c>
      <c r="N15" s="44">
        <f>'ENG_FCF'!$N$56</f>
        <v/>
      </c>
      <c r="O15" s="44">
        <f>'ENG_FCF'!$O$56</f>
        <v/>
      </c>
      <c r="P15" s="44">
        <f>'ENG_FCF'!$P$56</f>
        <v/>
      </c>
    </row>
    <row r="16">
      <c r="A16" s="15" t="inlineStr">
        <is>
          <t>جریان نقد در دسترس خدمت دین (CFADS)</t>
        </is>
      </c>
      <c r="B16" s="16" t="inlineStr">
        <is>
          <t>OUTB.cfads</t>
        </is>
      </c>
      <c r="C16" s="17" t="inlineStr">
        <is>
          <t>میلیون ریال</t>
        </is>
      </c>
      <c r="D16" s="44">
        <f>'ENG_FCF'!$D$42</f>
        <v/>
      </c>
      <c r="E16" s="44">
        <f>'ENG_FCF'!$E$42</f>
        <v/>
      </c>
      <c r="F16" s="44">
        <f>'ENG_FCF'!$F$42</f>
        <v/>
      </c>
      <c r="G16" s="44">
        <f>'ENG_FCF'!$G$42</f>
        <v/>
      </c>
      <c r="H16" s="44">
        <f>'ENG_FCF'!$H$42</f>
        <v/>
      </c>
      <c r="I16" s="44">
        <f>'ENG_FCF'!$I$42</f>
        <v/>
      </c>
      <c r="J16" s="44">
        <f>'ENG_FCF'!$J$42</f>
        <v/>
      </c>
      <c r="K16" s="44">
        <f>'ENG_FCF'!$K$42</f>
        <v/>
      </c>
      <c r="L16" s="44">
        <f>'ENG_FCF'!$L$42</f>
        <v/>
      </c>
      <c r="M16" s="44">
        <f>'ENG_FCF'!$M$42</f>
        <v/>
      </c>
      <c r="N16" s="44">
        <f>'ENG_FCF'!$N$42</f>
        <v/>
      </c>
      <c r="O16" s="44">
        <f>'ENG_FCF'!$O$42</f>
        <v/>
      </c>
      <c r="P16" s="44">
        <f>'ENG_FCF'!$P$42</f>
        <v/>
      </c>
    </row>
    <row r="17">
      <c r="A17" s="15" t="inlineStr">
        <is>
          <t>جریان نقد آزاد پروژه (FCFF)</t>
        </is>
      </c>
      <c r="B17" s="16" t="inlineStr">
        <is>
          <t>OUTB.fcff</t>
        </is>
      </c>
      <c r="C17" s="17" t="inlineStr">
        <is>
          <t>میلیون ریال</t>
        </is>
      </c>
      <c r="D17" s="44">
        <f>'ENG_FCF'!$D$39</f>
        <v/>
      </c>
      <c r="E17" s="44">
        <f>'ENG_FCF'!$E$39</f>
        <v/>
      </c>
      <c r="F17" s="44">
        <f>'ENG_FCF'!$F$39</f>
        <v/>
      </c>
      <c r="G17" s="44">
        <f>'ENG_FCF'!$G$39</f>
        <v/>
      </c>
      <c r="H17" s="44">
        <f>'ENG_FCF'!$H$39</f>
        <v/>
      </c>
      <c r="I17" s="44">
        <f>'ENG_FCF'!$I$39</f>
        <v/>
      </c>
      <c r="J17" s="44">
        <f>'ENG_FCF'!$J$39</f>
        <v/>
      </c>
      <c r="K17" s="44">
        <f>'ENG_FCF'!$K$39</f>
        <v/>
      </c>
      <c r="L17" s="44">
        <f>'ENG_FCF'!$L$39</f>
        <v/>
      </c>
      <c r="M17" s="44">
        <f>'ENG_FCF'!$M$39</f>
        <v/>
      </c>
      <c r="N17" s="44">
        <f>'ENG_FCF'!$N$39</f>
        <v/>
      </c>
      <c r="O17" s="44">
        <f>'ENG_FCF'!$O$39</f>
        <v/>
      </c>
      <c r="P17" s="44">
        <f>'ENG_FCF'!$P$39</f>
        <v/>
      </c>
    </row>
    <row r="18">
      <c r="A18" s="15" t="inlineStr">
        <is>
          <t>جریان نقد آزاد سهامداران (FCFE)</t>
        </is>
      </c>
      <c r="B18" s="16" t="inlineStr">
        <is>
          <t>OUTB.fcfe</t>
        </is>
      </c>
      <c r="C18" s="17" t="inlineStr">
        <is>
          <t>میلیون ریال</t>
        </is>
      </c>
      <c r="D18" s="44">
        <f>'ENG_FCF'!$D$60</f>
        <v/>
      </c>
      <c r="E18" s="44">
        <f>'ENG_FCF'!$E$60</f>
        <v/>
      </c>
      <c r="F18" s="44">
        <f>'ENG_FCF'!$F$60</f>
        <v/>
      </c>
      <c r="G18" s="44">
        <f>'ENG_FCF'!$G$60</f>
        <v/>
      </c>
      <c r="H18" s="44">
        <f>'ENG_FCF'!$H$60</f>
        <v/>
      </c>
      <c r="I18" s="44">
        <f>'ENG_FCF'!$I$60</f>
        <v/>
      </c>
      <c r="J18" s="44">
        <f>'ENG_FCF'!$J$60</f>
        <v/>
      </c>
      <c r="K18" s="44">
        <f>'ENG_FCF'!$K$60</f>
        <v/>
      </c>
      <c r="L18" s="44">
        <f>'ENG_FCF'!$L$60</f>
        <v/>
      </c>
      <c r="M18" s="44">
        <f>'ENG_FCF'!$M$60</f>
        <v/>
      </c>
      <c r="N18" s="44">
        <f>'ENG_FCF'!$N$60</f>
        <v/>
      </c>
      <c r="O18" s="44">
        <f>'ENG_FCF'!$O$60</f>
        <v/>
      </c>
      <c r="P18" s="44">
        <f>'ENG_FCF'!$P$60</f>
        <v/>
      </c>
    </row>
    <row r="19"/>
    <row r="20">
      <c r="A20" s="4" t="inlineStr">
        <is>
          <t>ب) صورت سود و زیان</t>
        </is>
      </c>
      <c r="B20" s="5" t="n"/>
      <c r="C20" s="5" t="n"/>
      <c r="D20" s="5" t="n"/>
      <c r="E20" s="5" t="n"/>
      <c r="F20" s="5" t="n"/>
      <c r="G20" s="5" t="n"/>
      <c r="H20" s="5" t="n"/>
      <c r="I20" s="5" t="n"/>
      <c r="J20" s="5" t="n"/>
      <c r="K20" s="5" t="n"/>
      <c r="L20" s="5" t="n"/>
      <c r="M20" s="5" t="n"/>
      <c r="N20" s="5" t="n"/>
      <c r="O20" s="5" t="n"/>
      <c r="P20" s="5" t="n"/>
      <c r="Q20" s="5" t="n"/>
    </row>
    <row r="21">
      <c r="A21" s="15" t="inlineStr">
        <is>
          <t>درآمد خالص</t>
        </is>
      </c>
      <c r="B21" s="16" t="inlineStr">
        <is>
          <t>OUTB.rev</t>
        </is>
      </c>
      <c r="C21" s="17" t="inlineStr">
        <is>
          <t>میلیون ریال</t>
        </is>
      </c>
      <c r="D21" s="44">
        <f>'ENG_FCF'!$D$10</f>
        <v/>
      </c>
      <c r="E21" s="44">
        <f>'ENG_FCF'!$E$10</f>
        <v/>
      </c>
      <c r="F21" s="44">
        <f>'ENG_FCF'!$F$10</f>
        <v/>
      </c>
      <c r="G21" s="44">
        <f>'ENG_FCF'!$G$10</f>
        <v/>
      </c>
      <c r="H21" s="44">
        <f>'ENG_FCF'!$H$10</f>
        <v/>
      </c>
      <c r="I21" s="44">
        <f>'ENG_FCF'!$I$10</f>
        <v/>
      </c>
      <c r="J21" s="44">
        <f>'ENG_FCF'!$J$10</f>
        <v/>
      </c>
      <c r="K21" s="44">
        <f>'ENG_FCF'!$K$10</f>
        <v/>
      </c>
      <c r="L21" s="44">
        <f>'ENG_FCF'!$L$10</f>
        <v/>
      </c>
      <c r="M21" s="44">
        <f>'ENG_FCF'!$M$10</f>
        <v/>
      </c>
      <c r="N21" s="44">
        <f>'ENG_FCF'!$N$10</f>
        <v/>
      </c>
      <c r="O21" s="44">
        <f>'ENG_FCF'!$O$10</f>
        <v/>
      </c>
      <c r="P21" s="44">
        <f>'ENG_FCF'!$P$10</f>
        <v/>
      </c>
    </row>
    <row r="22">
      <c r="A22" s="15" t="inlineStr">
        <is>
          <t>هزینه‌های مستقیم تولید (DPC)</t>
        </is>
      </c>
      <c r="B22" s="16" t="inlineStr">
        <is>
          <t>OUTB.dpc</t>
        </is>
      </c>
      <c r="C22" s="17" t="inlineStr">
        <is>
          <t>میلیون ریال</t>
        </is>
      </c>
      <c r="D22" s="44">
        <f>'ENG_COST'!$D$260</f>
        <v/>
      </c>
      <c r="E22" s="44">
        <f>'ENG_COST'!$E$260</f>
        <v/>
      </c>
      <c r="F22" s="44">
        <f>'ENG_COST'!$F$260</f>
        <v/>
      </c>
      <c r="G22" s="44">
        <f>'ENG_COST'!$G$260</f>
        <v/>
      </c>
      <c r="H22" s="44">
        <f>'ENG_COST'!$H$260</f>
        <v/>
      </c>
      <c r="I22" s="44">
        <f>'ENG_COST'!$I$260</f>
        <v/>
      </c>
      <c r="J22" s="44">
        <f>'ENG_COST'!$J$260</f>
        <v/>
      </c>
      <c r="K22" s="44">
        <f>'ENG_COST'!$K$260</f>
        <v/>
      </c>
      <c r="L22" s="44">
        <f>'ENG_COST'!$L$260</f>
        <v/>
      </c>
      <c r="M22" s="44">
        <f>'ENG_COST'!$M$260</f>
        <v/>
      </c>
      <c r="N22" s="44">
        <f>'ENG_COST'!$N$260</f>
        <v/>
      </c>
      <c r="O22" s="44">
        <f>'ENG_COST'!$O$260</f>
        <v/>
      </c>
      <c r="P22" s="44">
        <f>'ENG_COST'!$P$260</f>
        <v/>
      </c>
    </row>
    <row r="23">
      <c r="A23" s="15" t="inlineStr">
        <is>
          <t>هزینه‌های عملیاتی تولید (OPC)</t>
        </is>
      </c>
      <c r="B23" s="16" t="inlineStr">
        <is>
          <t>OUTB.opc</t>
        </is>
      </c>
      <c r="C23" s="17" t="inlineStr">
        <is>
          <t>میلیون ریال</t>
        </is>
      </c>
      <c r="D23" s="44">
        <f>'ENG_COST'!$D$261</f>
        <v/>
      </c>
      <c r="E23" s="44">
        <f>'ENG_COST'!$E$261</f>
        <v/>
      </c>
      <c r="F23" s="44">
        <f>'ENG_COST'!$F$261</f>
        <v/>
      </c>
      <c r="G23" s="44">
        <f>'ENG_COST'!$G$261</f>
        <v/>
      </c>
      <c r="H23" s="44">
        <f>'ENG_COST'!$H$261</f>
        <v/>
      </c>
      <c r="I23" s="44">
        <f>'ENG_COST'!$I$261</f>
        <v/>
      </c>
      <c r="J23" s="44">
        <f>'ENG_COST'!$J$261</f>
        <v/>
      </c>
      <c r="K23" s="44">
        <f>'ENG_COST'!$K$261</f>
        <v/>
      </c>
      <c r="L23" s="44">
        <f>'ENG_COST'!$L$261</f>
        <v/>
      </c>
      <c r="M23" s="44">
        <f>'ENG_COST'!$M$261</f>
        <v/>
      </c>
      <c r="N23" s="44">
        <f>'ENG_COST'!$N$261</f>
        <v/>
      </c>
      <c r="O23" s="44">
        <f>'ENG_COST'!$O$261</f>
        <v/>
      </c>
      <c r="P23" s="44">
        <f>'ENG_COST'!$P$261</f>
        <v/>
      </c>
    </row>
    <row r="24">
      <c r="A24" s="15" t="inlineStr">
        <is>
          <t>هزینه‌های ثابت تولید (FPC)</t>
        </is>
      </c>
      <c r="B24" s="16" t="inlineStr">
        <is>
          <t>OUTB.fpc</t>
        </is>
      </c>
      <c r="C24" s="17" t="inlineStr">
        <is>
          <t>میلیون ریال</t>
        </is>
      </c>
      <c r="D24" s="44">
        <f>'ENG_COST'!$D$262</f>
        <v/>
      </c>
      <c r="E24" s="44">
        <f>'ENG_COST'!$E$262</f>
        <v/>
      </c>
      <c r="F24" s="44">
        <f>'ENG_COST'!$F$262</f>
        <v/>
      </c>
      <c r="G24" s="44">
        <f>'ENG_COST'!$G$262</f>
        <v/>
      </c>
      <c r="H24" s="44">
        <f>'ENG_COST'!$H$262</f>
        <v/>
      </c>
      <c r="I24" s="44">
        <f>'ENG_COST'!$I$262</f>
        <v/>
      </c>
      <c r="J24" s="44">
        <f>'ENG_COST'!$J$262</f>
        <v/>
      </c>
      <c r="K24" s="44">
        <f>'ENG_COST'!$K$262</f>
        <v/>
      </c>
      <c r="L24" s="44">
        <f>'ENG_COST'!$L$262</f>
        <v/>
      </c>
      <c r="M24" s="44">
        <f>'ENG_COST'!$M$262</f>
        <v/>
      </c>
      <c r="N24" s="44">
        <f>'ENG_COST'!$N$262</f>
        <v/>
      </c>
      <c r="O24" s="44">
        <f>'ENG_COST'!$O$262</f>
        <v/>
      </c>
      <c r="P24" s="44">
        <f>'ENG_COST'!$P$262</f>
        <v/>
      </c>
    </row>
    <row r="25">
      <c r="A25" s="8" t="inlineStr">
        <is>
          <t>سود قبل بهره، مالیات و استهلاک (EBITDA)</t>
        </is>
      </c>
      <c r="B25" s="16" t="inlineStr">
        <is>
          <t>OUTB.ebitda</t>
        </is>
      </c>
      <c r="C25" s="17" t="inlineStr">
        <is>
          <t>میلیون ریال</t>
        </is>
      </c>
      <c r="D25" s="44">
        <f>'ENG_FCF'!$D$15</f>
        <v/>
      </c>
      <c r="E25" s="44">
        <f>'ENG_FCF'!$E$15</f>
        <v/>
      </c>
      <c r="F25" s="44">
        <f>'ENG_FCF'!$F$15</f>
        <v/>
      </c>
      <c r="G25" s="44">
        <f>'ENG_FCF'!$G$15</f>
        <v/>
      </c>
      <c r="H25" s="44">
        <f>'ENG_FCF'!$H$15</f>
        <v/>
      </c>
      <c r="I25" s="44">
        <f>'ENG_FCF'!$I$15</f>
        <v/>
      </c>
      <c r="J25" s="44">
        <f>'ENG_FCF'!$J$15</f>
        <v/>
      </c>
      <c r="K25" s="44">
        <f>'ENG_FCF'!$K$15</f>
        <v/>
      </c>
      <c r="L25" s="44">
        <f>'ENG_FCF'!$L$15</f>
        <v/>
      </c>
      <c r="M25" s="44">
        <f>'ENG_FCF'!$M$15</f>
        <v/>
      </c>
      <c r="N25" s="44">
        <f>'ENG_FCF'!$N$15</f>
        <v/>
      </c>
      <c r="O25" s="44">
        <f>'ENG_FCF'!$O$15</f>
        <v/>
      </c>
      <c r="P25" s="44">
        <f>'ENG_FCF'!$P$15</f>
        <v/>
      </c>
    </row>
    <row r="26">
      <c r="A26" s="15" t="inlineStr">
        <is>
          <t>استهلاک</t>
        </is>
      </c>
      <c r="B26" s="16" t="inlineStr">
        <is>
          <t>OUTB.dep</t>
        </is>
      </c>
      <c r="C26" s="17" t="inlineStr">
        <is>
          <t>میلیون ریال</t>
        </is>
      </c>
      <c r="D26" s="44">
        <f>'ENG_FCF'!$D$16</f>
        <v/>
      </c>
      <c r="E26" s="44">
        <f>'ENG_FCF'!$E$16</f>
        <v/>
      </c>
      <c r="F26" s="44">
        <f>'ENG_FCF'!$F$16</f>
        <v/>
      </c>
      <c r="G26" s="44">
        <f>'ENG_FCF'!$G$16</f>
        <v/>
      </c>
      <c r="H26" s="44">
        <f>'ENG_FCF'!$H$16</f>
        <v/>
      </c>
      <c r="I26" s="44">
        <f>'ENG_FCF'!$I$16</f>
        <v/>
      </c>
      <c r="J26" s="44">
        <f>'ENG_FCF'!$J$16</f>
        <v/>
      </c>
      <c r="K26" s="44">
        <f>'ENG_FCF'!$K$16</f>
        <v/>
      </c>
      <c r="L26" s="44">
        <f>'ENG_FCF'!$L$16</f>
        <v/>
      </c>
      <c r="M26" s="44">
        <f>'ENG_FCF'!$M$16</f>
        <v/>
      </c>
      <c r="N26" s="44">
        <f>'ENG_FCF'!$N$16</f>
        <v/>
      </c>
      <c r="O26" s="44">
        <f>'ENG_FCF'!$O$16</f>
        <v/>
      </c>
      <c r="P26" s="44">
        <f>'ENG_FCF'!$P$16</f>
        <v/>
      </c>
    </row>
    <row r="27">
      <c r="A27" s="8" t="inlineStr">
        <is>
          <t>سود عملیاتی (EBIT)</t>
        </is>
      </c>
      <c r="B27" s="16" t="inlineStr">
        <is>
          <t>OUTB.ebit</t>
        </is>
      </c>
      <c r="C27" s="17" t="inlineStr">
        <is>
          <t>میلیون ریال</t>
        </is>
      </c>
      <c r="D27" s="44">
        <f>'ENG_FCF'!$D$17</f>
        <v/>
      </c>
      <c r="E27" s="44">
        <f>'ENG_FCF'!$E$17</f>
        <v/>
      </c>
      <c r="F27" s="44">
        <f>'ENG_FCF'!$F$17</f>
        <v/>
      </c>
      <c r="G27" s="44">
        <f>'ENG_FCF'!$G$17</f>
        <v/>
      </c>
      <c r="H27" s="44">
        <f>'ENG_FCF'!$H$17</f>
        <v/>
      </c>
      <c r="I27" s="44">
        <f>'ENG_FCF'!$I$17</f>
        <v/>
      </c>
      <c r="J27" s="44">
        <f>'ENG_FCF'!$J$17</f>
        <v/>
      </c>
      <c r="K27" s="44">
        <f>'ENG_FCF'!$K$17</f>
        <v/>
      </c>
      <c r="L27" s="44">
        <f>'ENG_FCF'!$L$17</f>
        <v/>
      </c>
      <c r="M27" s="44">
        <f>'ENG_FCF'!$M$17</f>
        <v/>
      </c>
      <c r="N27" s="44">
        <f>'ENG_FCF'!$N$17</f>
        <v/>
      </c>
      <c r="O27" s="44">
        <f>'ENG_FCF'!$O$17</f>
        <v/>
      </c>
      <c r="P27" s="44">
        <f>'ENG_FCF'!$P$17</f>
        <v/>
      </c>
    </row>
    <row r="28">
      <c r="A28" s="15" t="inlineStr">
        <is>
          <t>هزینه‌های مالی و کارمزد</t>
        </is>
      </c>
      <c r="B28" s="16" t="inlineStr">
        <is>
          <t>OUTB.int</t>
        </is>
      </c>
      <c r="C28" s="17" t="inlineStr">
        <is>
          <t>میلیون ریال</t>
        </is>
      </c>
      <c r="D28" s="44">
        <f>'ENG_FCF'!$D$26+'ENG_FCF'!$D$27+'ENG_FCF'!$D$28-'ENG_FCF'!$D$29</f>
        <v/>
      </c>
      <c r="E28" s="44">
        <f>'ENG_FCF'!$E$26+'ENG_FCF'!$E$27+'ENG_FCF'!$E$28-'ENG_FCF'!$E$29</f>
        <v/>
      </c>
      <c r="F28" s="44">
        <f>'ENG_FCF'!$F$26+'ENG_FCF'!$F$27+'ENG_FCF'!$F$28-'ENG_FCF'!$F$29</f>
        <v/>
      </c>
      <c r="G28" s="44">
        <f>'ENG_FCF'!$G$26+'ENG_FCF'!$G$27+'ENG_FCF'!$G$28-'ENG_FCF'!$G$29</f>
        <v/>
      </c>
      <c r="H28" s="44">
        <f>'ENG_FCF'!$H$26+'ENG_FCF'!$H$27+'ENG_FCF'!$H$28-'ENG_FCF'!$H$29</f>
        <v/>
      </c>
      <c r="I28" s="44">
        <f>'ENG_FCF'!$I$26+'ENG_FCF'!$I$27+'ENG_FCF'!$I$28-'ENG_FCF'!$I$29</f>
        <v/>
      </c>
      <c r="J28" s="44">
        <f>'ENG_FCF'!$J$26+'ENG_FCF'!$J$27+'ENG_FCF'!$J$28-'ENG_FCF'!$J$29</f>
        <v/>
      </c>
      <c r="K28" s="44">
        <f>'ENG_FCF'!$K$26+'ENG_FCF'!$K$27+'ENG_FCF'!$K$28-'ENG_FCF'!$K$29</f>
        <v/>
      </c>
      <c r="L28" s="44">
        <f>'ENG_FCF'!$L$26+'ENG_FCF'!$L$27+'ENG_FCF'!$L$28-'ENG_FCF'!$L$29</f>
        <v/>
      </c>
      <c r="M28" s="44">
        <f>'ENG_FCF'!$M$26+'ENG_FCF'!$M$27+'ENG_FCF'!$M$28-'ENG_FCF'!$M$29</f>
        <v/>
      </c>
      <c r="N28" s="44">
        <f>'ENG_FCF'!$N$26+'ENG_FCF'!$N$27+'ENG_FCF'!$N$28-'ENG_FCF'!$N$29</f>
        <v/>
      </c>
      <c r="O28" s="44">
        <f>'ENG_FCF'!$O$26+'ENG_FCF'!$O$27+'ENG_FCF'!$O$28-'ENG_FCF'!$O$29</f>
        <v/>
      </c>
      <c r="P28" s="44">
        <f>'ENG_FCF'!$P$26+'ENG_FCF'!$P$27+'ENG_FCF'!$P$28-'ENG_FCF'!$P$29</f>
        <v/>
      </c>
    </row>
    <row r="29">
      <c r="A29" s="15" t="inlineStr">
        <is>
          <t>سود قبل از مالیات</t>
        </is>
      </c>
      <c r="B29" s="16" t="inlineStr">
        <is>
          <t>OUTB.ebt</t>
        </is>
      </c>
      <c r="C29" s="17" t="inlineStr">
        <is>
          <t>میلیون ریال</t>
        </is>
      </c>
      <c r="D29" s="44">
        <f>'ENG_FCF'!$D$30</f>
        <v/>
      </c>
      <c r="E29" s="44">
        <f>'ENG_FCF'!$E$30</f>
        <v/>
      </c>
      <c r="F29" s="44">
        <f>'ENG_FCF'!$F$30</f>
        <v/>
      </c>
      <c r="G29" s="44">
        <f>'ENG_FCF'!$G$30</f>
        <v/>
      </c>
      <c r="H29" s="44">
        <f>'ENG_FCF'!$H$30</f>
        <v/>
      </c>
      <c r="I29" s="44">
        <f>'ENG_FCF'!$I$30</f>
        <v/>
      </c>
      <c r="J29" s="44">
        <f>'ENG_FCF'!$J$30</f>
        <v/>
      </c>
      <c r="K29" s="44">
        <f>'ENG_FCF'!$K$30</f>
        <v/>
      </c>
      <c r="L29" s="44">
        <f>'ENG_FCF'!$L$30</f>
        <v/>
      </c>
      <c r="M29" s="44">
        <f>'ENG_FCF'!$M$30</f>
        <v/>
      </c>
      <c r="N29" s="44">
        <f>'ENG_FCF'!$N$30</f>
        <v/>
      </c>
      <c r="O29" s="44">
        <f>'ENG_FCF'!$O$30</f>
        <v/>
      </c>
      <c r="P29" s="44">
        <f>'ENG_FCF'!$P$30</f>
        <v/>
      </c>
    </row>
    <row r="30">
      <c r="A30" s="15" t="inlineStr">
        <is>
          <t>مالیات</t>
        </is>
      </c>
      <c r="B30" s="16" t="inlineStr">
        <is>
          <t>OUTB.tax</t>
        </is>
      </c>
      <c r="C30" s="17" t="inlineStr">
        <is>
          <t>میلیون ریال</t>
        </is>
      </c>
      <c r="D30" s="44">
        <f>'ENG_FCF'!$D$31</f>
        <v/>
      </c>
      <c r="E30" s="44">
        <f>'ENG_FCF'!$E$31</f>
        <v/>
      </c>
      <c r="F30" s="44">
        <f>'ENG_FCF'!$F$31</f>
        <v/>
      </c>
      <c r="G30" s="44">
        <f>'ENG_FCF'!$G$31</f>
        <v/>
      </c>
      <c r="H30" s="44">
        <f>'ENG_FCF'!$H$31</f>
        <v/>
      </c>
      <c r="I30" s="44">
        <f>'ENG_FCF'!$I$31</f>
        <v/>
      </c>
      <c r="J30" s="44">
        <f>'ENG_FCF'!$J$31</f>
        <v/>
      </c>
      <c r="K30" s="44">
        <f>'ENG_FCF'!$K$31</f>
        <v/>
      </c>
      <c r="L30" s="44">
        <f>'ENG_FCF'!$L$31</f>
        <v/>
      </c>
      <c r="M30" s="44">
        <f>'ENG_FCF'!$M$31</f>
        <v/>
      </c>
      <c r="N30" s="44">
        <f>'ENG_FCF'!$N$31</f>
        <v/>
      </c>
      <c r="O30" s="44">
        <f>'ENG_FCF'!$O$31</f>
        <v/>
      </c>
      <c r="P30" s="44">
        <f>'ENG_FCF'!$P$31</f>
        <v/>
      </c>
    </row>
    <row r="31">
      <c r="A31" s="8" t="inlineStr">
        <is>
          <t>سود خالص</t>
        </is>
      </c>
      <c r="B31" s="16" t="inlineStr">
        <is>
          <t>OUTB.ni</t>
        </is>
      </c>
      <c r="C31" s="17" t="inlineStr">
        <is>
          <t>میلیون ریال</t>
        </is>
      </c>
      <c r="D31" s="44">
        <f>'ENG_FCF'!$D$32</f>
        <v/>
      </c>
      <c r="E31" s="44">
        <f>'ENG_FCF'!$E$32</f>
        <v/>
      </c>
      <c r="F31" s="44">
        <f>'ENG_FCF'!$F$32</f>
        <v/>
      </c>
      <c r="G31" s="44">
        <f>'ENG_FCF'!$G$32</f>
        <v/>
      </c>
      <c r="H31" s="44">
        <f>'ENG_FCF'!$H$32</f>
        <v/>
      </c>
      <c r="I31" s="44">
        <f>'ENG_FCF'!$I$32</f>
        <v/>
      </c>
      <c r="J31" s="44">
        <f>'ENG_FCF'!$J$32</f>
        <v/>
      </c>
      <c r="K31" s="44">
        <f>'ENG_FCF'!$K$32</f>
        <v/>
      </c>
      <c r="L31" s="44">
        <f>'ENG_FCF'!$L$32</f>
        <v/>
      </c>
      <c r="M31" s="44">
        <f>'ENG_FCF'!$M$32</f>
        <v/>
      </c>
      <c r="N31" s="44">
        <f>'ENG_FCF'!$N$32</f>
        <v/>
      </c>
      <c r="O31" s="44">
        <f>'ENG_FCF'!$O$32</f>
        <v/>
      </c>
      <c r="P31" s="44">
        <f>'ENG_FCF'!$P$32</f>
        <v/>
      </c>
    </row>
    <row r="32">
      <c r="A32" s="15" t="inlineStr">
        <is>
          <t>حاشیه EBITDA</t>
        </is>
      </c>
      <c r="B32" s="16" t="inlineStr">
        <is>
          <t>OUTB.m1</t>
        </is>
      </c>
      <c r="C32" s="17" t="inlineStr">
        <is>
          <t>میلیون ریال</t>
        </is>
      </c>
      <c r="D32" s="45">
        <f>IFERROR('ENG_FCF'!$D$15/'ENG_FCF'!$D$10,0)</f>
        <v/>
      </c>
      <c r="E32" s="45">
        <f>IFERROR('ENG_FCF'!$E$15/'ENG_FCF'!$E$10,0)</f>
        <v/>
      </c>
      <c r="F32" s="45">
        <f>IFERROR('ENG_FCF'!$F$15/'ENG_FCF'!$F$10,0)</f>
        <v/>
      </c>
      <c r="G32" s="45">
        <f>IFERROR('ENG_FCF'!$G$15/'ENG_FCF'!$G$10,0)</f>
        <v/>
      </c>
      <c r="H32" s="45">
        <f>IFERROR('ENG_FCF'!$H$15/'ENG_FCF'!$H$10,0)</f>
        <v/>
      </c>
      <c r="I32" s="45">
        <f>IFERROR('ENG_FCF'!$I$15/'ENG_FCF'!$I$10,0)</f>
        <v/>
      </c>
      <c r="J32" s="45">
        <f>IFERROR('ENG_FCF'!$J$15/'ENG_FCF'!$J$10,0)</f>
        <v/>
      </c>
      <c r="K32" s="45">
        <f>IFERROR('ENG_FCF'!$K$15/'ENG_FCF'!$K$10,0)</f>
        <v/>
      </c>
      <c r="L32" s="45">
        <f>IFERROR('ENG_FCF'!$L$15/'ENG_FCF'!$L$10,0)</f>
        <v/>
      </c>
      <c r="M32" s="45">
        <f>IFERROR('ENG_FCF'!$M$15/'ENG_FCF'!$M$10,0)</f>
        <v/>
      </c>
      <c r="N32" s="45">
        <f>IFERROR('ENG_FCF'!$N$15/'ENG_FCF'!$N$10,0)</f>
        <v/>
      </c>
      <c r="O32" s="45">
        <f>IFERROR('ENG_FCF'!$O$15/'ENG_FCF'!$O$10,0)</f>
        <v/>
      </c>
      <c r="P32" s="45">
        <f>IFERROR('ENG_FCF'!$P$15/'ENG_FCF'!$P$10,0)</f>
        <v/>
      </c>
    </row>
    <row r="33">
      <c r="A33" s="15" t="inlineStr">
        <is>
          <t>حاشیه سود خالص</t>
        </is>
      </c>
      <c r="B33" s="16" t="inlineStr">
        <is>
          <t>OUTB.m2</t>
        </is>
      </c>
      <c r="C33" s="17" t="inlineStr">
        <is>
          <t>میلیون ریال</t>
        </is>
      </c>
      <c r="D33" s="45">
        <f>IFERROR('ENG_FCF'!$D$32/'ENG_FCF'!$D$10,0)</f>
        <v/>
      </c>
      <c r="E33" s="45">
        <f>IFERROR('ENG_FCF'!$E$32/'ENG_FCF'!$E$10,0)</f>
        <v/>
      </c>
      <c r="F33" s="45">
        <f>IFERROR('ENG_FCF'!$F$32/'ENG_FCF'!$F$10,0)</f>
        <v/>
      </c>
      <c r="G33" s="45">
        <f>IFERROR('ENG_FCF'!$G$32/'ENG_FCF'!$G$10,0)</f>
        <v/>
      </c>
      <c r="H33" s="45">
        <f>IFERROR('ENG_FCF'!$H$32/'ENG_FCF'!$H$10,0)</f>
        <v/>
      </c>
      <c r="I33" s="45">
        <f>IFERROR('ENG_FCF'!$I$32/'ENG_FCF'!$I$10,0)</f>
        <v/>
      </c>
      <c r="J33" s="45">
        <f>IFERROR('ENG_FCF'!$J$32/'ENG_FCF'!$J$10,0)</f>
        <v/>
      </c>
      <c r="K33" s="45">
        <f>IFERROR('ENG_FCF'!$K$32/'ENG_FCF'!$K$10,0)</f>
        <v/>
      </c>
      <c r="L33" s="45">
        <f>IFERROR('ENG_FCF'!$L$32/'ENG_FCF'!$L$10,0)</f>
        <v/>
      </c>
      <c r="M33" s="45">
        <f>IFERROR('ENG_FCF'!$M$32/'ENG_FCF'!$M$10,0)</f>
        <v/>
      </c>
      <c r="N33" s="45">
        <f>IFERROR('ENG_FCF'!$N$32/'ENG_FCF'!$N$10,0)</f>
        <v/>
      </c>
      <c r="O33" s="45">
        <f>IFERROR('ENG_FCF'!$O$32/'ENG_FCF'!$O$10,0)</f>
        <v/>
      </c>
      <c r="P33" s="45">
        <f>IFERROR('ENG_FCF'!$P$32/'ENG_FCF'!$P$10,0)</f>
        <v/>
      </c>
    </row>
    <row r="34"/>
    <row r="35">
      <c r="A35" s="4" t="inlineStr">
        <is>
          <t>ج) ترازنامه</t>
        </is>
      </c>
      <c r="B35" s="5" t="n"/>
      <c r="C35" s="5" t="n"/>
      <c r="D35" s="5" t="n"/>
      <c r="E35" s="5" t="n"/>
      <c r="F35" s="5" t="n"/>
      <c r="G35" s="5" t="n"/>
      <c r="H35" s="5" t="n"/>
      <c r="I35" s="5" t="n"/>
      <c r="J35" s="5" t="n"/>
      <c r="K35" s="5" t="n"/>
      <c r="L35" s="5" t="n"/>
      <c r="M35" s="5" t="n"/>
      <c r="N35" s="5" t="n"/>
      <c r="O35" s="5" t="n"/>
      <c r="P35" s="5" t="n"/>
      <c r="Q35" s="5" t="n"/>
    </row>
    <row r="36">
      <c r="A36" s="15" t="inlineStr">
        <is>
          <t>نقد و معادل نقد</t>
        </is>
      </c>
      <c r="B36" s="16" t="inlineStr">
        <is>
          <t>OUTB.bs_cash</t>
        </is>
      </c>
      <c r="C36" s="17" t="inlineStr">
        <is>
          <t>میلیون ریال</t>
        </is>
      </c>
      <c r="D36" s="44">
        <f>'ENG_FCF'!$D$56</f>
        <v/>
      </c>
      <c r="E36" s="44">
        <f>'ENG_FCF'!$E$56</f>
        <v/>
      </c>
      <c r="F36" s="44">
        <f>'ENG_FCF'!$F$56</f>
        <v/>
      </c>
      <c r="G36" s="44">
        <f>'ENG_FCF'!$G$56</f>
        <v/>
      </c>
      <c r="H36" s="44">
        <f>'ENG_FCF'!$H$56</f>
        <v/>
      </c>
      <c r="I36" s="44">
        <f>'ENG_FCF'!$I$56</f>
        <v/>
      </c>
      <c r="J36" s="44">
        <f>'ENG_FCF'!$J$56</f>
        <v/>
      </c>
      <c r="K36" s="44">
        <f>'ENG_FCF'!$K$56</f>
        <v/>
      </c>
      <c r="L36" s="44">
        <f>'ENG_FCF'!$L$56</f>
        <v/>
      </c>
      <c r="M36" s="44">
        <f>'ENG_FCF'!$M$56</f>
        <v/>
      </c>
      <c r="N36" s="44">
        <f>'ENG_FCF'!$N$56</f>
        <v/>
      </c>
      <c r="O36" s="44">
        <f>'ENG_FCF'!$O$56</f>
        <v/>
      </c>
      <c r="P36" s="44">
        <f>'ENG_FCF'!$P$56</f>
        <v/>
      </c>
    </row>
    <row r="37">
      <c r="A37" s="15" t="inlineStr">
        <is>
          <t>موجودی‌ها</t>
        </is>
      </c>
      <c r="B37" s="16" t="inlineStr">
        <is>
          <t>OUTB.bs_inv</t>
        </is>
      </c>
      <c r="C37" s="17" t="inlineStr">
        <is>
          <t>میلیون ریال</t>
        </is>
      </c>
      <c r="D37" s="44">
        <f>'ENG_WC'!$D$14</f>
        <v/>
      </c>
      <c r="E37" s="44">
        <f>'ENG_WC'!$E$14</f>
        <v/>
      </c>
      <c r="F37" s="44">
        <f>'ENG_WC'!$F$14</f>
        <v/>
      </c>
      <c r="G37" s="44">
        <f>'ENG_WC'!$G$14</f>
        <v/>
      </c>
      <c r="H37" s="44">
        <f>'ENG_WC'!$H$14</f>
        <v/>
      </c>
      <c r="I37" s="44">
        <f>'ENG_WC'!$I$14</f>
        <v/>
      </c>
      <c r="J37" s="44">
        <f>'ENG_WC'!$J$14</f>
        <v/>
      </c>
      <c r="K37" s="44">
        <f>'ENG_WC'!$K$14</f>
        <v/>
      </c>
      <c r="L37" s="44">
        <f>'ENG_WC'!$L$14</f>
        <v/>
      </c>
      <c r="M37" s="44">
        <f>'ENG_WC'!$M$14</f>
        <v/>
      </c>
      <c r="N37" s="44">
        <f>'ENG_WC'!$N$14</f>
        <v/>
      </c>
      <c r="O37" s="44">
        <f>'ENG_WC'!$O$14</f>
        <v/>
      </c>
      <c r="P37" s="44">
        <f>'ENG_WC'!$P$14</f>
        <v/>
      </c>
    </row>
    <row r="38">
      <c r="A38" s="15" t="inlineStr">
        <is>
          <t>حساب‌های دریافتنی</t>
        </is>
      </c>
      <c r="B38" s="16" t="inlineStr">
        <is>
          <t>OUTB.bs_ar</t>
        </is>
      </c>
      <c r="C38" s="17" t="inlineStr">
        <is>
          <t>میلیون ریال</t>
        </is>
      </c>
      <c r="D38" s="44">
        <f>'ENG_WC'!$D$15</f>
        <v/>
      </c>
      <c r="E38" s="44">
        <f>'ENG_WC'!$E$15</f>
        <v/>
      </c>
      <c r="F38" s="44">
        <f>'ENG_WC'!$F$15</f>
        <v/>
      </c>
      <c r="G38" s="44">
        <f>'ENG_WC'!$G$15</f>
        <v/>
      </c>
      <c r="H38" s="44">
        <f>'ENG_WC'!$H$15</f>
        <v/>
      </c>
      <c r="I38" s="44">
        <f>'ENG_WC'!$I$15</f>
        <v/>
      </c>
      <c r="J38" s="44">
        <f>'ENG_WC'!$J$15</f>
        <v/>
      </c>
      <c r="K38" s="44">
        <f>'ENG_WC'!$K$15</f>
        <v/>
      </c>
      <c r="L38" s="44">
        <f>'ENG_WC'!$L$15</f>
        <v/>
      </c>
      <c r="M38" s="44">
        <f>'ENG_WC'!$M$15</f>
        <v/>
      </c>
      <c r="N38" s="44">
        <f>'ENG_WC'!$N$15</f>
        <v/>
      </c>
      <c r="O38" s="44">
        <f>'ENG_WC'!$O$15</f>
        <v/>
      </c>
      <c r="P38" s="44">
        <f>'ENG_WC'!$P$15</f>
        <v/>
      </c>
    </row>
    <row r="39">
      <c r="A39" s="15" t="inlineStr">
        <is>
          <t>جمع دارایی‌های جاری</t>
        </is>
      </c>
      <c r="B39" s="16" t="inlineStr">
        <is>
          <t>OUTB.bs_ca</t>
        </is>
      </c>
      <c r="C39" s="17" t="inlineStr">
        <is>
          <t>میلیون ریال</t>
        </is>
      </c>
      <c r="D39" s="44">
        <f>'ENG_FCF'!$D$63</f>
        <v/>
      </c>
      <c r="E39" s="44">
        <f>'ENG_FCF'!$E$63</f>
        <v/>
      </c>
      <c r="F39" s="44">
        <f>'ENG_FCF'!$F$63</f>
        <v/>
      </c>
      <c r="G39" s="44">
        <f>'ENG_FCF'!$G$63</f>
        <v/>
      </c>
      <c r="H39" s="44">
        <f>'ENG_FCF'!$H$63</f>
        <v/>
      </c>
      <c r="I39" s="44">
        <f>'ENG_FCF'!$I$63</f>
        <v/>
      </c>
      <c r="J39" s="44">
        <f>'ENG_FCF'!$J$63</f>
        <v/>
      </c>
      <c r="K39" s="44">
        <f>'ENG_FCF'!$K$63</f>
        <v/>
      </c>
      <c r="L39" s="44">
        <f>'ENG_FCF'!$L$63</f>
        <v/>
      </c>
      <c r="M39" s="44">
        <f>'ENG_FCF'!$M$63</f>
        <v/>
      </c>
      <c r="N39" s="44">
        <f>'ENG_FCF'!$N$63</f>
        <v/>
      </c>
      <c r="O39" s="44">
        <f>'ENG_FCF'!$O$63</f>
        <v/>
      </c>
      <c r="P39" s="44">
        <f>'ENG_FCF'!$P$63</f>
        <v/>
      </c>
    </row>
    <row r="40">
      <c r="A40" s="15" t="inlineStr">
        <is>
          <t>دارایی‌های ثابت خالص</t>
        </is>
      </c>
      <c r="B40" s="16" t="inlineStr">
        <is>
          <t>OUTB.bs_nfa</t>
        </is>
      </c>
      <c r="C40" s="17" t="inlineStr">
        <is>
          <t>میلیون ریال</t>
        </is>
      </c>
      <c r="D40" s="44">
        <f>'ENG_CAPEX'!$D$84</f>
        <v/>
      </c>
      <c r="E40" s="44">
        <f>'ENG_CAPEX'!$E$84</f>
        <v/>
      </c>
      <c r="F40" s="44">
        <f>'ENG_CAPEX'!$F$84</f>
        <v/>
      </c>
      <c r="G40" s="44">
        <f>'ENG_CAPEX'!$G$84</f>
        <v/>
      </c>
      <c r="H40" s="44">
        <f>'ENG_CAPEX'!$H$84</f>
        <v/>
      </c>
      <c r="I40" s="44">
        <f>'ENG_CAPEX'!$I$84</f>
        <v/>
      </c>
      <c r="J40" s="44">
        <f>'ENG_CAPEX'!$J$84</f>
        <v/>
      </c>
      <c r="K40" s="44">
        <f>'ENG_CAPEX'!$K$84</f>
        <v/>
      </c>
      <c r="L40" s="44">
        <f>'ENG_CAPEX'!$L$84</f>
        <v/>
      </c>
      <c r="M40" s="44">
        <f>'ENG_CAPEX'!$M$84</f>
        <v/>
      </c>
      <c r="N40" s="44">
        <f>'ENG_CAPEX'!$N$84</f>
        <v/>
      </c>
      <c r="O40" s="44">
        <f>'ENG_CAPEX'!$O$84</f>
        <v/>
      </c>
      <c r="P40" s="44">
        <f>'ENG_CAPEX'!$P$84</f>
        <v/>
      </c>
    </row>
    <row r="41">
      <c r="A41" s="8" t="inlineStr">
        <is>
          <t>جمع دارایی‌ها</t>
        </is>
      </c>
      <c r="B41" s="16" t="inlineStr">
        <is>
          <t>OUTB.bs_assets</t>
        </is>
      </c>
      <c r="C41" s="17" t="inlineStr">
        <is>
          <t>میلیون ریال</t>
        </is>
      </c>
      <c r="D41" s="44">
        <f>'ENG_FCF'!$D$65</f>
        <v/>
      </c>
      <c r="E41" s="44">
        <f>'ENG_FCF'!$E$65</f>
        <v/>
      </c>
      <c r="F41" s="44">
        <f>'ENG_FCF'!$F$65</f>
        <v/>
      </c>
      <c r="G41" s="44">
        <f>'ENG_FCF'!$G$65</f>
        <v/>
      </c>
      <c r="H41" s="44">
        <f>'ENG_FCF'!$H$65</f>
        <v/>
      </c>
      <c r="I41" s="44">
        <f>'ENG_FCF'!$I$65</f>
        <v/>
      </c>
      <c r="J41" s="44">
        <f>'ENG_FCF'!$J$65</f>
        <v/>
      </c>
      <c r="K41" s="44">
        <f>'ENG_FCF'!$K$65</f>
        <v/>
      </c>
      <c r="L41" s="44">
        <f>'ENG_FCF'!$L$65</f>
        <v/>
      </c>
      <c r="M41" s="44">
        <f>'ENG_FCF'!$M$65</f>
        <v/>
      </c>
      <c r="N41" s="44">
        <f>'ENG_FCF'!$N$65</f>
        <v/>
      </c>
      <c r="O41" s="44">
        <f>'ENG_FCF'!$O$65</f>
        <v/>
      </c>
      <c r="P41" s="44">
        <f>'ENG_FCF'!$P$65</f>
        <v/>
      </c>
    </row>
    <row r="42">
      <c r="A42" s="15" t="inlineStr">
        <is>
          <t>حساب‌های پرداختنی</t>
        </is>
      </c>
      <c r="B42" s="16" t="inlineStr">
        <is>
          <t>OUTB.bs_ap</t>
        </is>
      </c>
      <c r="C42" s="17" t="inlineStr">
        <is>
          <t>میلیون ریال</t>
        </is>
      </c>
      <c r="D42" s="44">
        <f>'ENG_WC'!$D$16</f>
        <v/>
      </c>
      <c r="E42" s="44">
        <f>'ENG_WC'!$E$16</f>
        <v/>
      </c>
      <c r="F42" s="44">
        <f>'ENG_WC'!$F$16</f>
        <v/>
      </c>
      <c r="G42" s="44">
        <f>'ENG_WC'!$G$16</f>
        <v/>
      </c>
      <c r="H42" s="44">
        <f>'ENG_WC'!$H$16</f>
        <v/>
      </c>
      <c r="I42" s="44">
        <f>'ENG_WC'!$I$16</f>
        <v/>
      </c>
      <c r="J42" s="44">
        <f>'ENG_WC'!$J$16</f>
        <v/>
      </c>
      <c r="K42" s="44">
        <f>'ENG_WC'!$K$16</f>
        <v/>
      </c>
      <c r="L42" s="44">
        <f>'ENG_WC'!$L$16</f>
        <v/>
      </c>
      <c r="M42" s="44">
        <f>'ENG_WC'!$M$16</f>
        <v/>
      </c>
      <c r="N42" s="44">
        <f>'ENG_WC'!$N$16</f>
        <v/>
      </c>
      <c r="O42" s="44">
        <f>'ENG_WC'!$O$16</f>
        <v/>
      </c>
      <c r="P42" s="44">
        <f>'ENG_WC'!$P$16</f>
        <v/>
      </c>
    </row>
    <row r="43">
      <c r="A43" s="15" t="inlineStr">
        <is>
          <t>مالیات قابل پرداخت</t>
        </is>
      </c>
      <c r="B43" s="16" t="inlineStr">
        <is>
          <t>OUTB.bs_taxp</t>
        </is>
      </c>
      <c r="C43" s="17" t="inlineStr">
        <is>
          <t>میلیون ریال</t>
        </is>
      </c>
      <c r="D43" s="44">
        <f>'ENG_WC'!$D$17</f>
        <v/>
      </c>
      <c r="E43" s="44">
        <f>'ENG_WC'!$E$17</f>
        <v/>
      </c>
      <c r="F43" s="44">
        <f>'ENG_WC'!$F$17</f>
        <v/>
      </c>
      <c r="G43" s="44">
        <f>'ENG_WC'!$G$17</f>
        <v/>
      </c>
      <c r="H43" s="44">
        <f>'ENG_WC'!$H$17</f>
        <v/>
      </c>
      <c r="I43" s="44">
        <f>'ENG_WC'!$I$17</f>
        <v/>
      </c>
      <c r="J43" s="44">
        <f>'ENG_WC'!$J$17</f>
        <v/>
      </c>
      <c r="K43" s="44">
        <f>'ENG_WC'!$K$17</f>
        <v/>
      </c>
      <c r="L43" s="44">
        <f>'ENG_WC'!$L$17</f>
        <v/>
      </c>
      <c r="M43" s="44">
        <f>'ENG_WC'!$M$17</f>
        <v/>
      </c>
      <c r="N43" s="44">
        <f>'ENG_WC'!$N$17</f>
        <v/>
      </c>
      <c r="O43" s="44">
        <f>'ENG_WC'!$O$17</f>
        <v/>
      </c>
      <c r="P43" s="44">
        <f>'ENG_WC'!$P$17</f>
        <v/>
      </c>
    </row>
    <row r="44">
      <c r="A44" s="15" t="inlineStr">
        <is>
          <t>تسهیلات کوتاه‌مدت</t>
        </is>
      </c>
      <c r="B44" s="16" t="inlineStr">
        <is>
          <t>OUTB.bs_st</t>
        </is>
      </c>
      <c r="C44" s="17" t="inlineStr">
        <is>
          <t>میلیون ریال</t>
        </is>
      </c>
      <c r="D44" s="44">
        <f>'ENG_WC'!$D$20</f>
        <v/>
      </c>
      <c r="E44" s="44">
        <f>'ENG_WC'!$E$20</f>
        <v/>
      </c>
      <c r="F44" s="44">
        <f>'ENG_WC'!$F$20</f>
        <v/>
      </c>
      <c r="G44" s="44">
        <f>'ENG_WC'!$G$20</f>
        <v/>
      </c>
      <c r="H44" s="44">
        <f>'ENG_WC'!$H$20</f>
        <v/>
      </c>
      <c r="I44" s="44">
        <f>'ENG_WC'!$I$20</f>
        <v/>
      </c>
      <c r="J44" s="44">
        <f>'ENG_WC'!$J$20</f>
        <v/>
      </c>
      <c r="K44" s="44">
        <f>'ENG_WC'!$K$20</f>
        <v/>
      </c>
      <c r="L44" s="44">
        <f>'ENG_WC'!$L$20</f>
        <v/>
      </c>
      <c r="M44" s="44">
        <f>'ENG_WC'!$M$20</f>
        <v/>
      </c>
      <c r="N44" s="44">
        <f>'ENG_WC'!$N$20</f>
        <v/>
      </c>
      <c r="O44" s="44">
        <f>'ENG_WC'!$O$20</f>
        <v/>
      </c>
      <c r="P44" s="44">
        <f>'ENG_WC'!$P$20</f>
        <v/>
      </c>
    </row>
    <row r="45">
      <c r="A45" s="15" t="inlineStr">
        <is>
          <t>جمع بدهی‌های جاری</t>
        </is>
      </c>
      <c r="B45" s="16" t="inlineStr">
        <is>
          <t>OUTB.bs_cl</t>
        </is>
      </c>
      <c r="C45" s="17" t="inlineStr">
        <is>
          <t>میلیون ریال</t>
        </is>
      </c>
      <c r="D45" s="44">
        <f>'ENG_FCF'!$D$66</f>
        <v/>
      </c>
      <c r="E45" s="44">
        <f>'ENG_FCF'!$E$66</f>
        <v/>
      </c>
      <c r="F45" s="44">
        <f>'ENG_FCF'!$F$66</f>
        <v/>
      </c>
      <c r="G45" s="44">
        <f>'ENG_FCF'!$G$66</f>
        <v/>
      </c>
      <c r="H45" s="44">
        <f>'ENG_FCF'!$H$66</f>
        <v/>
      </c>
      <c r="I45" s="44">
        <f>'ENG_FCF'!$I$66</f>
        <v/>
      </c>
      <c r="J45" s="44">
        <f>'ENG_FCF'!$J$66</f>
        <v/>
      </c>
      <c r="K45" s="44">
        <f>'ENG_FCF'!$K$66</f>
        <v/>
      </c>
      <c r="L45" s="44">
        <f>'ENG_FCF'!$L$66</f>
        <v/>
      </c>
      <c r="M45" s="44">
        <f>'ENG_FCF'!$M$66</f>
        <v/>
      </c>
      <c r="N45" s="44">
        <f>'ENG_FCF'!$N$66</f>
        <v/>
      </c>
      <c r="O45" s="44">
        <f>'ENG_FCF'!$O$66</f>
        <v/>
      </c>
      <c r="P45" s="44">
        <f>'ENG_FCF'!$P$66</f>
        <v/>
      </c>
    </row>
    <row r="46">
      <c r="A46" s="15" t="inlineStr">
        <is>
          <t>تسهیلات بلندمدت</t>
        </is>
      </c>
      <c r="B46" s="16" t="inlineStr">
        <is>
          <t>OUTB.bs_ltd</t>
        </is>
      </c>
      <c r="C46" s="17" t="inlineStr">
        <is>
          <t>میلیون ریال</t>
        </is>
      </c>
      <c r="D46" s="44">
        <f>'ENG_FCF'!$D$67</f>
        <v/>
      </c>
      <c r="E46" s="44">
        <f>'ENG_FCF'!$E$67</f>
        <v/>
      </c>
      <c r="F46" s="44">
        <f>'ENG_FCF'!$F$67</f>
        <v/>
      </c>
      <c r="G46" s="44">
        <f>'ENG_FCF'!$G$67</f>
        <v/>
      </c>
      <c r="H46" s="44">
        <f>'ENG_FCF'!$H$67</f>
        <v/>
      </c>
      <c r="I46" s="44">
        <f>'ENG_FCF'!$I$67</f>
        <v/>
      </c>
      <c r="J46" s="44">
        <f>'ENG_FCF'!$J$67</f>
        <v/>
      </c>
      <c r="K46" s="44">
        <f>'ENG_FCF'!$K$67</f>
        <v/>
      </c>
      <c r="L46" s="44">
        <f>'ENG_FCF'!$L$67</f>
        <v/>
      </c>
      <c r="M46" s="44">
        <f>'ENG_FCF'!$M$67</f>
        <v/>
      </c>
      <c r="N46" s="44">
        <f>'ENG_FCF'!$N$67</f>
        <v/>
      </c>
      <c r="O46" s="44">
        <f>'ENG_FCF'!$O$67</f>
        <v/>
      </c>
      <c r="P46" s="44">
        <f>'ENG_FCF'!$P$67</f>
        <v/>
      </c>
    </row>
    <row r="47">
      <c r="A47" s="8" t="inlineStr">
        <is>
          <t>جمع بدهی‌ها</t>
        </is>
      </c>
      <c r="B47" s="16" t="inlineStr">
        <is>
          <t>OUTB.bs_liab</t>
        </is>
      </c>
      <c r="C47" s="17" t="inlineStr">
        <is>
          <t>میلیون ریال</t>
        </is>
      </c>
      <c r="D47" s="44">
        <f>'ENG_FCF'!$D$68</f>
        <v/>
      </c>
      <c r="E47" s="44">
        <f>'ENG_FCF'!$E$68</f>
        <v/>
      </c>
      <c r="F47" s="44">
        <f>'ENG_FCF'!$F$68</f>
        <v/>
      </c>
      <c r="G47" s="44">
        <f>'ENG_FCF'!$G$68</f>
        <v/>
      </c>
      <c r="H47" s="44">
        <f>'ENG_FCF'!$H$68</f>
        <v/>
      </c>
      <c r="I47" s="44">
        <f>'ENG_FCF'!$I$68</f>
        <v/>
      </c>
      <c r="J47" s="44">
        <f>'ENG_FCF'!$J$68</f>
        <v/>
      </c>
      <c r="K47" s="44">
        <f>'ENG_FCF'!$K$68</f>
        <v/>
      </c>
      <c r="L47" s="44">
        <f>'ENG_FCF'!$L$68</f>
        <v/>
      </c>
      <c r="M47" s="44">
        <f>'ENG_FCF'!$M$68</f>
        <v/>
      </c>
      <c r="N47" s="44">
        <f>'ENG_FCF'!$N$68</f>
        <v/>
      </c>
      <c r="O47" s="44">
        <f>'ENG_FCF'!$O$68</f>
        <v/>
      </c>
      <c r="P47" s="44">
        <f>'ENG_FCF'!$P$68</f>
        <v/>
      </c>
    </row>
    <row r="48">
      <c r="A48" s="8" t="inlineStr">
        <is>
          <t>حقوق صاحبان سهام</t>
        </is>
      </c>
      <c r="B48" s="16" t="inlineStr">
        <is>
          <t>OUTB.bs_eq</t>
        </is>
      </c>
      <c r="C48" s="17" t="inlineStr">
        <is>
          <t>میلیون ریال</t>
        </is>
      </c>
      <c r="D48" s="44">
        <f>'ENG_FCF'!$D$59</f>
        <v/>
      </c>
      <c r="E48" s="44">
        <f>'ENG_FCF'!$E$59</f>
        <v/>
      </c>
      <c r="F48" s="44">
        <f>'ENG_FCF'!$F$59</f>
        <v/>
      </c>
      <c r="G48" s="44">
        <f>'ENG_FCF'!$G$59</f>
        <v/>
      </c>
      <c r="H48" s="44">
        <f>'ENG_FCF'!$H$59</f>
        <v/>
      </c>
      <c r="I48" s="44">
        <f>'ENG_FCF'!$I$59</f>
        <v/>
      </c>
      <c r="J48" s="44">
        <f>'ENG_FCF'!$J$59</f>
        <v/>
      </c>
      <c r="K48" s="44">
        <f>'ENG_FCF'!$K$59</f>
        <v/>
      </c>
      <c r="L48" s="44">
        <f>'ENG_FCF'!$L$59</f>
        <v/>
      </c>
      <c r="M48" s="44">
        <f>'ENG_FCF'!$M$59</f>
        <v/>
      </c>
      <c r="N48" s="44">
        <f>'ENG_FCF'!$N$59</f>
        <v/>
      </c>
      <c r="O48" s="44">
        <f>'ENG_FCF'!$O$59</f>
        <v/>
      </c>
      <c r="P48" s="44">
        <f>'ENG_FCF'!$P$59</f>
        <v/>
      </c>
    </row>
    <row r="49">
      <c r="A49" s="15" t="inlineStr">
        <is>
          <t>کنترل تراز (باید صفر باشد)</t>
        </is>
      </c>
      <c r="B49" s="16" t="inlineStr">
        <is>
          <t>OUTB.bs_check</t>
        </is>
      </c>
      <c r="C49" s="17" t="inlineStr">
        <is>
          <t>میلیون ریال</t>
        </is>
      </c>
      <c r="D49" s="44">
        <f>'ENG_FCF'!$D$70</f>
        <v/>
      </c>
      <c r="E49" s="44">
        <f>'ENG_FCF'!$E$70</f>
        <v/>
      </c>
      <c r="F49" s="44">
        <f>'ENG_FCF'!$F$70</f>
        <v/>
      </c>
      <c r="G49" s="44">
        <f>'ENG_FCF'!$G$70</f>
        <v/>
      </c>
      <c r="H49" s="44">
        <f>'ENG_FCF'!$H$70</f>
        <v/>
      </c>
      <c r="I49" s="44">
        <f>'ENG_FCF'!$I$70</f>
        <v/>
      </c>
      <c r="J49" s="44">
        <f>'ENG_FCF'!$J$70</f>
        <v/>
      </c>
      <c r="K49" s="44">
        <f>'ENG_FCF'!$K$70</f>
        <v/>
      </c>
      <c r="L49" s="44">
        <f>'ENG_FCF'!$L$70</f>
        <v/>
      </c>
      <c r="M49" s="44">
        <f>'ENG_FCF'!$M$70</f>
        <v/>
      </c>
      <c r="N49" s="44">
        <f>'ENG_FCF'!$N$70</f>
        <v/>
      </c>
      <c r="O49" s="44">
        <f>'ENG_FCF'!$O$70</f>
        <v/>
      </c>
      <c r="P49" s="44">
        <f>'ENG_FCF'!$P$70</f>
        <v/>
      </c>
    </row>
    <row r="50"/>
    <row r="51">
      <c r="A51" s="4" t="inlineStr">
        <is>
          <t>د) شاخص‌های اعتباری</t>
        </is>
      </c>
      <c r="B51" s="5" t="n"/>
      <c r="C51" s="5" t="n"/>
      <c r="D51" s="5" t="n"/>
      <c r="E51" s="5" t="n"/>
      <c r="F51" s="5" t="n"/>
      <c r="G51" s="5" t="n"/>
      <c r="H51" s="5" t="n"/>
      <c r="I51" s="5" t="n"/>
      <c r="J51" s="5" t="n"/>
      <c r="K51" s="5" t="n"/>
      <c r="L51" s="5" t="n"/>
      <c r="M51" s="5" t="n"/>
      <c r="N51" s="5" t="n"/>
      <c r="O51" s="5" t="n"/>
      <c r="P51" s="5" t="n"/>
      <c r="Q51" s="5" t="n"/>
    </row>
    <row r="52">
      <c r="A52" s="15" t="inlineStr">
        <is>
          <t>نسبت پوشش خدمت دین (DSCR)</t>
        </is>
      </c>
      <c r="B52" s="16" t="inlineStr">
        <is>
          <t>OUTB.cr_dscr</t>
        </is>
      </c>
      <c r="C52" s="17" t="inlineStr">
        <is>
          <t>ضریب</t>
        </is>
      </c>
      <c r="D52" s="47">
        <f>'ENG_FCF'!$D$44</f>
        <v/>
      </c>
      <c r="E52" s="47">
        <f>'ENG_FCF'!$E$44</f>
        <v/>
      </c>
      <c r="F52" s="47">
        <f>'ENG_FCF'!$F$44</f>
        <v/>
      </c>
      <c r="G52" s="47">
        <f>'ENG_FCF'!$G$44</f>
        <v/>
      </c>
      <c r="H52" s="47">
        <f>'ENG_FCF'!$H$44</f>
        <v/>
      </c>
      <c r="I52" s="47">
        <f>'ENG_FCF'!$I$44</f>
        <v/>
      </c>
      <c r="J52" s="47">
        <f>'ENG_FCF'!$J$44</f>
        <v/>
      </c>
      <c r="K52" s="47">
        <f>'ENG_FCF'!$K$44</f>
        <v/>
      </c>
      <c r="L52" s="47">
        <f>'ENG_FCF'!$L$44</f>
        <v/>
      </c>
      <c r="M52" s="47">
        <f>'ENG_FCF'!$M$44</f>
        <v/>
      </c>
      <c r="N52" s="47">
        <f>'ENG_FCF'!$N$44</f>
        <v/>
      </c>
      <c r="O52" s="47">
        <f>'ENG_FCF'!$O$44</f>
        <v/>
      </c>
      <c r="P52" s="47">
        <f>'ENG_FCF'!$P$44</f>
        <v/>
      </c>
    </row>
    <row r="53">
      <c r="A53" s="15" t="inlineStr">
        <is>
          <t>نسبت پوشش بهره (ICR)</t>
        </is>
      </c>
      <c r="B53" s="16" t="inlineStr">
        <is>
          <t>OUTB.cr_icr</t>
        </is>
      </c>
      <c r="C53" s="17" t="inlineStr">
        <is>
          <t>ضریب</t>
        </is>
      </c>
      <c r="D53" s="47">
        <f>'ENG_FCF'!$D$45</f>
        <v/>
      </c>
      <c r="E53" s="47">
        <f>'ENG_FCF'!$E$45</f>
        <v/>
      </c>
      <c r="F53" s="47">
        <f>'ENG_FCF'!$F$45</f>
        <v/>
      </c>
      <c r="G53" s="47">
        <f>'ENG_FCF'!$G$45</f>
        <v/>
      </c>
      <c r="H53" s="47">
        <f>'ENG_FCF'!$H$45</f>
        <v/>
      </c>
      <c r="I53" s="47">
        <f>'ENG_FCF'!$I$45</f>
        <v/>
      </c>
      <c r="J53" s="47">
        <f>'ENG_FCF'!$J$45</f>
        <v/>
      </c>
      <c r="K53" s="47">
        <f>'ENG_FCF'!$K$45</f>
        <v/>
      </c>
      <c r="L53" s="47">
        <f>'ENG_FCF'!$L$45</f>
        <v/>
      </c>
      <c r="M53" s="47">
        <f>'ENG_FCF'!$M$45</f>
        <v/>
      </c>
      <c r="N53" s="47">
        <f>'ENG_FCF'!$N$45</f>
        <v/>
      </c>
      <c r="O53" s="47">
        <f>'ENG_FCF'!$O$45</f>
        <v/>
      </c>
      <c r="P53" s="47">
        <f>'ENG_FCF'!$P$45</f>
        <v/>
      </c>
    </row>
    <row r="54">
      <c r="A54" s="15" t="inlineStr">
        <is>
          <t>نسبت بدهی به حقوق صاحبان سهام</t>
        </is>
      </c>
      <c r="B54" s="16" t="inlineStr">
        <is>
          <t>OUTB.cr_de</t>
        </is>
      </c>
      <c r="C54" s="17" t="inlineStr">
        <is>
          <t>ضریب</t>
        </is>
      </c>
      <c r="D54" s="47">
        <f>'ENG_LEV'!$D$30</f>
        <v/>
      </c>
      <c r="E54" s="47">
        <f>'ENG_LEV'!$E$30</f>
        <v/>
      </c>
      <c r="F54" s="47">
        <f>'ENG_LEV'!$F$30</f>
        <v/>
      </c>
      <c r="G54" s="47">
        <f>'ENG_LEV'!$G$30</f>
        <v/>
      </c>
      <c r="H54" s="47">
        <f>'ENG_LEV'!$H$30</f>
        <v/>
      </c>
      <c r="I54" s="47">
        <f>'ENG_LEV'!$I$30</f>
        <v/>
      </c>
      <c r="J54" s="47">
        <f>'ENG_LEV'!$J$30</f>
        <v/>
      </c>
      <c r="K54" s="47">
        <f>'ENG_LEV'!$K$30</f>
        <v/>
      </c>
      <c r="L54" s="47">
        <f>'ENG_LEV'!$L$30</f>
        <v/>
      </c>
      <c r="M54" s="47">
        <f>'ENG_LEV'!$M$30</f>
        <v/>
      </c>
      <c r="N54" s="47">
        <f>'ENG_LEV'!$N$30</f>
        <v/>
      </c>
      <c r="O54" s="47">
        <f>'ENG_LEV'!$O$30</f>
        <v/>
      </c>
      <c r="P54" s="47">
        <f>'ENG_LEV'!$P$30</f>
        <v/>
      </c>
    </row>
    <row r="55">
      <c r="A55" s="15" t="inlineStr">
        <is>
          <t>بدهی به EBITDA</t>
        </is>
      </c>
      <c r="B55" s="16" t="inlineStr">
        <is>
          <t>OUTB.cr_debt_ebitda</t>
        </is>
      </c>
      <c r="C55" s="17" t="inlineStr">
        <is>
          <t>ضریب</t>
        </is>
      </c>
      <c r="D55" s="47">
        <f>'ENG_LEV'!$D$31</f>
        <v/>
      </c>
      <c r="E55" s="47">
        <f>'ENG_LEV'!$E$31</f>
        <v/>
      </c>
      <c r="F55" s="47">
        <f>'ENG_LEV'!$F$31</f>
        <v/>
      </c>
      <c r="G55" s="47">
        <f>'ENG_LEV'!$G$31</f>
        <v/>
      </c>
      <c r="H55" s="47">
        <f>'ENG_LEV'!$H$31</f>
        <v/>
      </c>
      <c r="I55" s="47">
        <f>'ENG_LEV'!$I$31</f>
        <v/>
      </c>
      <c r="J55" s="47">
        <f>'ENG_LEV'!$J$31</f>
        <v/>
      </c>
      <c r="K55" s="47">
        <f>'ENG_LEV'!$K$31</f>
        <v/>
      </c>
      <c r="L55" s="47">
        <f>'ENG_LEV'!$L$31</f>
        <v/>
      </c>
      <c r="M55" s="47">
        <f>'ENG_LEV'!$M$31</f>
        <v/>
      </c>
      <c r="N55" s="47">
        <f>'ENG_LEV'!$N$31</f>
        <v/>
      </c>
      <c r="O55" s="47">
        <f>'ENG_LEV'!$O$31</f>
        <v/>
      </c>
      <c r="P55" s="47">
        <f>'ENG_LEV'!$P$31</f>
        <v/>
      </c>
    </row>
    <row r="56">
      <c r="A56" s="15" t="inlineStr">
        <is>
          <t>بدهی خالص به EBITDA</t>
        </is>
      </c>
      <c r="B56" s="16" t="inlineStr">
        <is>
          <t>OUTB.cr_net_debt_ebitda</t>
        </is>
      </c>
      <c r="C56" s="17" t="inlineStr">
        <is>
          <t>ضریب</t>
        </is>
      </c>
      <c r="D56" s="47">
        <f>'ENG_LEV'!$D$32</f>
        <v/>
      </c>
      <c r="E56" s="47">
        <f>'ENG_LEV'!$E$32</f>
        <v/>
      </c>
      <c r="F56" s="47">
        <f>'ENG_LEV'!$F$32</f>
        <v/>
      </c>
      <c r="G56" s="47">
        <f>'ENG_LEV'!$G$32</f>
        <v/>
      </c>
      <c r="H56" s="47">
        <f>'ENG_LEV'!$H$32</f>
        <v/>
      </c>
      <c r="I56" s="47">
        <f>'ENG_LEV'!$I$32</f>
        <v/>
      </c>
      <c r="J56" s="47">
        <f>'ENG_LEV'!$J$32</f>
        <v/>
      </c>
      <c r="K56" s="47">
        <f>'ENG_LEV'!$K$32</f>
        <v/>
      </c>
      <c r="L56" s="47">
        <f>'ENG_LEV'!$L$32</f>
        <v/>
      </c>
      <c r="M56" s="47">
        <f>'ENG_LEV'!$M$32</f>
        <v/>
      </c>
      <c r="N56" s="47">
        <f>'ENG_LEV'!$N$32</f>
        <v/>
      </c>
      <c r="O56" s="47">
        <f>'ENG_LEV'!$O$32</f>
        <v/>
      </c>
      <c r="P56" s="47">
        <f>'ENG_LEV'!$P$32</f>
        <v/>
      </c>
    </row>
    <row r="57">
      <c r="A57" s="15" t="inlineStr">
        <is>
          <t>بازده حقوق صاحبان سهام (ROE)</t>
        </is>
      </c>
      <c r="B57" s="16" t="inlineStr">
        <is>
          <t>OUTB.cr_roe</t>
        </is>
      </c>
      <c r="C57" s="17" t="inlineStr">
        <is>
          <t>ضریب</t>
        </is>
      </c>
      <c r="D57" s="45">
        <f>'ENG_LEV'!$D$27</f>
        <v/>
      </c>
      <c r="E57" s="45">
        <f>'ENG_LEV'!$E$27</f>
        <v/>
      </c>
      <c r="F57" s="45">
        <f>'ENG_LEV'!$F$27</f>
        <v/>
      </c>
      <c r="G57" s="45">
        <f>'ENG_LEV'!$G$27</f>
        <v/>
      </c>
      <c r="H57" s="45">
        <f>'ENG_LEV'!$H$27</f>
        <v/>
      </c>
      <c r="I57" s="45">
        <f>'ENG_LEV'!$I$27</f>
        <v/>
      </c>
      <c r="J57" s="45">
        <f>'ENG_LEV'!$J$27</f>
        <v/>
      </c>
      <c r="K57" s="45">
        <f>'ENG_LEV'!$K$27</f>
        <v/>
      </c>
      <c r="L57" s="45">
        <f>'ENG_LEV'!$L$27</f>
        <v/>
      </c>
      <c r="M57" s="45">
        <f>'ENG_LEV'!$M$27</f>
        <v/>
      </c>
      <c r="N57" s="45">
        <f>'ENG_LEV'!$N$27</f>
        <v/>
      </c>
      <c r="O57" s="45">
        <f>'ENG_LEV'!$O$27</f>
        <v/>
      </c>
      <c r="P57" s="45">
        <f>'ENG_LEV'!$P$27</f>
        <v/>
      </c>
    </row>
    <row r="58">
      <c r="A58" s="15" t="inlineStr">
        <is>
          <t>بازده سرمایه به‌کارگرفته‌شده (ROIC)</t>
        </is>
      </c>
      <c r="B58" s="16" t="inlineStr">
        <is>
          <t>OUTB.cr_roic</t>
        </is>
      </c>
      <c r="C58" s="17" t="inlineStr">
        <is>
          <t>ضریب</t>
        </is>
      </c>
      <c r="D58" s="45">
        <f>'ENG_LEV'!$D$29</f>
        <v/>
      </c>
      <c r="E58" s="45">
        <f>'ENG_LEV'!$E$29</f>
        <v/>
      </c>
      <c r="F58" s="45">
        <f>'ENG_LEV'!$F$29</f>
        <v/>
      </c>
      <c r="G58" s="45">
        <f>'ENG_LEV'!$G$29</f>
        <v/>
      </c>
      <c r="H58" s="45">
        <f>'ENG_LEV'!$H$29</f>
        <v/>
      </c>
      <c r="I58" s="45">
        <f>'ENG_LEV'!$I$29</f>
        <v/>
      </c>
      <c r="J58" s="45">
        <f>'ENG_LEV'!$J$29</f>
        <v/>
      </c>
      <c r="K58" s="45">
        <f>'ENG_LEV'!$K$29</f>
        <v/>
      </c>
      <c r="L58" s="45">
        <f>'ENG_LEV'!$L$29</f>
        <v/>
      </c>
      <c r="M58" s="45">
        <f>'ENG_LEV'!$M$29</f>
        <v/>
      </c>
      <c r="N58" s="45">
        <f>'ENG_LEV'!$N$29</f>
        <v/>
      </c>
      <c r="O58" s="45">
        <f>'ENG_LEV'!$O$29</f>
        <v/>
      </c>
      <c r="P58" s="45">
        <f>'ENG_LEV'!$P$29</f>
        <v/>
      </c>
    </row>
  </sheetData>
  <pageMargins left="0.75" right="0.75" top="1" bottom="1" header="0.5" footer="0.5"/>
</worksheet>
</file>

<file path=xl/worksheets/sheet21.xml><?xml version="1.0" encoding="utf-8"?>
<worksheet xmlns="http://schemas.openxmlformats.org/spreadsheetml/2006/main">
  <sheetPr>
    <tabColor rgb="00BF8F00"/>
    <outlinePr summaryBelow="1" summaryRight="1"/>
    <pageSetUpPr/>
  </sheetPr>
  <dimension ref="A1:Q30"/>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جدول بازپرداخت تسهیلات و DSCR</t>
        </is>
      </c>
      <c r="B1" s="2" t="inlineStr">
        <is>
          <t>لایه خروجی</t>
        </is>
      </c>
    </row>
    <row r="2">
      <c r="A2" s="3" t="inlineStr">
        <is>
          <t>استهلاک بدهی، مانده تسهیلات، هزینه‌های مالی و نسبت پوشش خدمت دین در هر دوره.</t>
        </is>
      </c>
    </row>
    <row r="3"/>
    <row r="4"/>
    <row r="5"/>
    <row r="6"/>
    <row r="7">
      <c r="A7" s="11" t="inlineStr">
        <is>
          <t>دوره (t)</t>
        </is>
      </c>
      <c r="D7" s="12" t="n">
        <v>0</v>
      </c>
      <c r="E7" s="12" t="n">
        <v>1</v>
      </c>
      <c r="F7" s="12" t="n">
        <v>2</v>
      </c>
      <c r="G7" s="12" t="n">
        <v>3</v>
      </c>
      <c r="H7" s="12" t="n">
        <v>4</v>
      </c>
      <c r="I7" s="12" t="n">
        <v>5</v>
      </c>
      <c r="J7" s="12" t="n">
        <v>6</v>
      </c>
      <c r="K7" s="12" t="n">
        <v>7</v>
      </c>
      <c r="L7" s="12" t="n">
        <v>8</v>
      </c>
      <c r="M7" s="12" t="n">
        <v>9</v>
      </c>
      <c r="N7" s="12" t="n">
        <v>10</v>
      </c>
      <c r="O7" s="12" t="n">
        <v>11</v>
      </c>
      <c r="P7" s="12" t="n">
        <v>12</v>
      </c>
    </row>
    <row r="8">
      <c r="A8" s="13" t="inlineStr">
        <is>
          <t>سال تقویمی</t>
        </is>
      </c>
      <c r="D8" s="14" t="n">
        <v>2026</v>
      </c>
      <c r="E8" s="14" t="n">
        <v>2027</v>
      </c>
      <c r="F8" s="14" t="n">
        <v>2028</v>
      </c>
      <c r="G8" s="14" t="n">
        <v>2029</v>
      </c>
      <c r="H8" s="14" t="n">
        <v>2030</v>
      </c>
      <c r="I8" s="14" t="n">
        <v>2031</v>
      </c>
      <c r="J8" s="14" t="n">
        <v>2032</v>
      </c>
      <c r="K8" s="14" t="n">
        <v>2033</v>
      </c>
      <c r="L8" s="14" t="n">
        <v>2034</v>
      </c>
      <c r="M8" s="14" t="n">
        <v>2035</v>
      </c>
      <c r="N8" s="14" t="n">
        <v>2036</v>
      </c>
      <c r="O8" s="14" t="n">
        <v>2037</v>
      </c>
      <c r="P8" s="14" t="n">
        <v>2038</v>
      </c>
    </row>
    <row r="9">
      <c r="A9" s="4" t="inlineStr">
        <is>
          <t>الف) برنامه برداشت و بازپرداخت</t>
        </is>
      </c>
      <c r="B9" s="5" t="n"/>
      <c r="C9" s="5" t="n"/>
      <c r="D9" s="5" t="n"/>
      <c r="E9" s="5" t="n"/>
      <c r="F9" s="5" t="n"/>
      <c r="G9" s="5" t="n"/>
      <c r="H9" s="5" t="n"/>
      <c r="I9" s="5" t="n"/>
      <c r="J9" s="5" t="n"/>
      <c r="K9" s="5" t="n"/>
      <c r="L9" s="5" t="n"/>
      <c r="M9" s="5" t="n"/>
      <c r="N9" s="5" t="n"/>
      <c r="O9" s="5" t="n"/>
      <c r="P9" s="5" t="n"/>
      <c r="Q9" s="5" t="n"/>
    </row>
    <row r="10">
      <c r="A10" s="15" t="inlineStr">
        <is>
          <t>مانده افتتاحیه</t>
        </is>
      </c>
      <c r="B10" s="16" t="inlineStr">
        <is>
          <t>OUTD2.open</t>
        </is>
      </c>
      <c r="C10" s="17" t="inlineStr">
        <is>
          <t>میلیون ریال</t>
        </is>
      </c>
      <c r="D10" s="44">
        <f>'ENG_FCF'!$D$20</f>
        <v/>
      </c>
      <c r="E10" s="44">
        <f>'ENG_FCF'!$E$20</f>
        <v/>
      </c>
      <c r="F10" s="44">
        <f>'ENG_FCF'!$F$20</f>
        <v/>
      </c>
      <c r="G10" s="44">
        <f>'ENG_FCF'!$G$20</f>
        <v/>
      </c>
      <c r="H10" s="44">
        <f>'ENG_FCF'!$H$20</f>
        <v/>
      </c>
      <c r="I10" s="44">
        <f>'ENG_FCF'!$I$20</f>
        <v/>
      </c>
      <c r="J10" s="44">
        <f>'ENG_FCF'!$J$20</f>
        <v/>
      </c>
      <c r="K10" s="44">
        <f>'ENG_FCF'!$K$20</f>
        <v/>
      </c>
      <c r="L10" s="44">
        <f>'ENG_FCF'!$L$20</f>
        <v/>
      </c>
      <c r="M10" s="44">
        <f>'ENG_FCF'!$M$20</f>
        <v/>
      </c>
      <c r="N10" s="44">
        <f>'ENG_FCF'!$N$20</f>
        <v/>
      </c>
      <c r="O10" s="44">
        <f>'ENG_FCF'!$O$20</f>
        <v/>
      </c>
      <c r="P10" s="44">
        <f>'ENG_FCF'!$P$20</f>
        <v/>
      </c>
    </row>
    <row r="11">
      <c r="A11" s="15" t="inlineStr">
        <is>
          <t>برداشت تسهیلات</t>
        </is>
      </c>
      <c r="B11" s="16" t="inlineStr">
        <is>
          <t>OUTD2.draw</t>
        </is>
      </c>
      <c r="C11" s="17" t="inlineStr">
        <is>
          <t>میلیون ریال</t>
        </is>
      </c>
      <c r="D11" s="44">
        <f>'ENG_FCF'!$D$21</f>
        <v/>
      </c>
      <c r="E11" s="44">
        <f>'ENG_FCF'!$E$21</f>
        <v/>
      </c>
      <c r="F11" s="44">
        <f>'ENG_FCF'!$F$21</f>
        <v/>
      </c>
      <c r="G11" s="44">
        <f>'ENG_FCF'!$G$21</f>
        <v/>
      </c>
      <c r="H11" s="44">
        <f>'ENG_FCF'!$H$21</f>
        <v/>
      </c>
      <c r="I11" s="44">
        <f>'ENG_FCF'!$I$21</f>
        <v/>
      </c>
      <c r="J11" s="44">
        <f>'ENG_FCF'!$J$21</f>
        <v/>
      </c>
      <c r="K11" s="44">
        <f>'ENG_FCF'!$K$21</f>
        <v/>
      </c>
      <c r="L11" s="44">
        <f>'ENG_FCF'!$L$21</f>
        <v/>
      </c>
      <c r="M11" s="44">
        <f>'ENG_FCF'!$M$21</f>
        <v/>
      </c>
      <c r="N11" s="44">
        <f>'ENG_FCF'!$N$21</f>
        <v/>
      </c>
      <c r="O11" s="44">
        <f>'ENG_FCF'!$O$21</f>
        <v/>
      </c>
      <c r="P11" s="44">
        <f>'ENG_FCF'!$P$21</f>
        <v/>
      </c>
    </row>
    <row r="12">
      <c r="A12" s="15" t="inlineStr">
        <is>
          <t>سود سرمایه‌ای‌شده حین ساخت (IDC)</t>
        </is>
      </c>
      <c r="B12" s="16" t="inlineStr">
        <is>
          <t>OUTD2.idc</t>
        </is>
      </c>
      <c r="C12" s="17" t="inlineStr">
        <is>
          <t>میلیون ریال</t>
        </is>
      </c>
      <c r="D12" s="44">
        <f>'ENG_CAPEX'!$D$27</f>
        <v/>
      </c>
      <c r="E12" s="44">
        <f>'ENG_CAPEX'!$E$27</f>
        <v/>
      </c>
      <c r="F12" s="44">
        <f>'ENG_CAPEX'!$F$27</f>
        <v/>
      </c>
      <c r="G12" s="44">
        <f>'ENG_CAPEX'!$G$27</f>
        <v/>
      </c>
      <c r="H12" s="44">
        <f>'ENG_CAPEX'!$H$27</f>
        <v/>
      </c>
      <c r="I12" s="44">
        <f>'ENG_CAPEX'!$I$27</f>
        <v/>
      </c>
      <c r="J12" s="44">
        <f>'ENG_CAPEX'!$J$27</f>
        <v/>
      </c>
      <c r="K12" s="44">
        <f>'ENG_CAPEX'!$K$27</f>
        <v/>
      </c>
      <c r="L12" s="44">
        <f>'ENG_CAPEX'!$L$27</f>
        <v/>
      </c>
      <c r="M12" s="44">
        <f>'ENG_CAPEX'!$M$27</f>
        <v/>
      </c>
      <c r="N12" s="44">
        <f>'ENG_CAPEX'!$N$27</f>
        <v/>
      </c>
      <c r="O12" s="44">
        <f>'ENG_CAPEX'!$O$27</f>
        <v/>
      </c>
      <c r="P12" s="44">
        <f>'ENG_CAPEX'!$P$27</f>
        <v/>
      </c>
    </row>
    <row r="13">
      <c r="A13" s="15" t="inlineStr">
        <is>
          <t>بازپرداخت اصل</t>
        </is>
      </c>
      <c r="B13" s="16" t="inlineStr">
        <is>
          <t>OUTD2.prin</t>
        </is>
      </c>
      <c r="C13" s="17" t="inlineStr">
        <is>
          <t>میلیون ریال</t>
        </is>
      </c>
      <c r="D13" s="44">
        <f>'ENG_FCF'!$D$24</f>
        <v/>
      </c>
      <c r="E13" s="44">
        <f>'ENG_FCF'!$E$24</f>
        <v/>
      </c>
      <c r="F13" s="44">
        <f>'ENG_FCF'!$F$24</f>
        <v/>
      </c>
      <c r="G13" s="44">
        <f>'ENG_FCF'!$G$24</f>
        <v/>
      </c>
      <c r="H13" s="44">
        <f>'ENG_FCF'!$H$24</f>
        <v/>
      </c>
      <c r="I13" s="44">
        <f>'ENG_FCF'!$I$24</f>
        <v/>
      </c>
      <c r="J13" s="44">
        <f>'ENG_FCF'!$J$24</f>
        <v/>
      </c>
      <c r="K13" s="44">
        <f>'ENG_FCF'!$K$24</f>
        <v/>
      </c>
      <c r="L13" s="44">
        <f>'ENG_FCF'!$L$24</f>
        <v/>
      </c>
      <c r="M13" s="44">
        <f>'ENG_FCF'!$M$24</f>
        <v/>
      </c>
      <c r="N13" s="44">
        <f>'ENG_FCF'!$N$24</f>
        <v/>
      </c>
      <c r="O13" s="44">
        <f>'ENG_FCF'!$O$24</f>
        <v/>
      </c>
      <c r="P13" s="44">
        <f>'ENG_FCF'!$P$24</f>
        <v/>
      </c>
    </row>
    <row r="14">
      <c r="A14" s="8" t="inlineStr">
        <is>
          <t>مانده اختتامیه</t>
        </is>
      </c>
      <c r="B14" s="16" t="inlineStr">
        <is>
          <t>OUTD2.close</t>
        </is>
      </c>
      <c r="C14" s="17" t="inlineStr">
        <is>
          <t>میلیون ریال</t>
        </is>
      </c>
      <c r="D14" s="44">
        <f>'ENG_FCF'!$D$25</f>
        <v/>
      </c>
      <c r="E14" s="44">
        <f>'ENG_FCF'!$E$25</f>
        <v/>
      </c>
      <c r="F14" s="44">
        <f>'ENG_FCF'!$F$25</f>
        <v/>
      </c>
      <c r="G14" s="44">
        <f>'ENG_FCF'!$G$25</f>
        <v/>
      </c>
      <c r="H14" s="44">
        <f>'ENG_FCF'!$H$25</f>
        <v/>
      </c>
      <c r="I14" s="44">
        <f>'ENG_FCF'!$I$25</f>
        <v/>
      </c>
      <c r="J14" s="44">
        <f>'ENG_FCF'!$J$25</f>
        <v/>
      </c>
      <c r="K14" s="44">
        <f>'ENG_FCF'!$K$25</f>
        <v/>
      </c>
      <c r="L14" s="44">
        <f>'ENG_FCF'!$L$25</f>
        <v/>
      </c>
      <c r="M14" s="44">
        <f>'ENG_FCF'!$M$25</f>
        <v/>
      </c>
      <c r="N14" s="44">
        <f>'ENG_FCF'!$N$25</f>
        <v/>
      </c>
      <c r="O14" s="44">
        <f>'ENG_FCF'!$O$25</f>
        <v/>
      </c>
      <c r="P14" s="44">
        <f>'ENG_FCF'!$P$25</f>
        <v/>
      </c>
    </row>
    <row r="15">
      <c r="A15" s="15" t="inlineStr">
        <is>
          <t>نرخ سود مؤثر</t>
        </is>
      </c>
      <c r="B15" s="16" t="inlineStr">
        <is>
          <t>OUTD2.rate</t>
        </is>
      </c>
      <c r="C15" s="17" t="inlineStr">
        <is>
          <t>درصد</t>
        </is>
      </c>
      <c r="D15" s="45">
        <f>'IN_FIN'!$D$25+'ENG_SCEN'!$G$19</f>
        <v/>
      </c>
      <c r="E15" s="45">
        <f>'IN_FIN'!$D$25+'ENG_SCEN'!$G$19</f>
        <v/>
      </c>
      <c r="F15" s="45">
        <f>'IN_FIN'!$D$25+'ENG_SCEN'!$G$19</f>
        <v/>
      </c>
      <c r="G15" s="45">
        <f>'IN_FIN'!$D$25+'ENG_SCEN'!$G$19</f>
        <v/>
      </c>
      <c r="H15" s="45">
        <f>'IN_FIN'!$D$25+'ENG_SCEN'!$G$19</f>
        <v/>
      </c>
      <c r="I15" s="45">
        <f>'IN_FIN'!$D$25+'ENG_SCEN'!$G$19</f>
        <v/>
      </c>
      <c r="J15" s="45">
        <f>'IN_FIN'!$D$25+'ENG_SCEN'!$G$19</f>
        <v/>
      </c>
      <c r="K15" s="45">
        <f>'IN_FIN'!$D$25+'ENG_SCEN'!$G$19</f>
        <v/>
      </c>
      <c r="L15" s="45">
        <f>'IN_FIN'!$D$25+'ENG_SCEN'!$G$19</f>
        <v/>
      </c>
      <c r="M15" s="45">
        <f>'IN_FIN'!$D$25+'ENG_SCEN'!$G$19</f>
        <v/>
      </c>
      <c r="N15" s="45">
        <f>'IN_FIN'!$D$25+'ENG_SCEN'!$G$19</f>
        <v/>
      </c>
      <c r="O15" s="45">
        <f>'IN_FIN'!$D$25+'ENG_SCEN'!$G$19</f>
        <v/>
      </c>
      <c r="P15" s="45">
        <f>'IN_FIN'!$D$25+'ENG_SCEN'!$G$19</f>
        <v/>
      </c>
    </row>
    <row r="16">
      <c r="A16" s="15" t="inlineStr">
        <is>
          <t>هزینه سود</t>
        </is>
      </c>
      <c r="B16" s="16" t="inlineStr">
        <is>
          <t>OUTD2.int</t>
        </is>
      </c>
      <c r="C16" s="17" t="inlineStr">
        <is>
          <t>میلیون ریال</t>
        </is>
      </c>
      <c r="D16" s="44">
        <f>'ENG_FCF'!$D$26</f>
        <v/>
      </c>
      <c r="E16" s="44">
        <f>'ENG_FCF'!$E$26</f>
        <v/>
      </c>
      <c r="F16" s="44">
        <f>'ENG_FCF'!$F$26</f>
        <v/>
      </c>
      <c r="G16" s="44">
        <f>'ENG_FCF'!$G$26</f>
        <v/>
      </c>
      <c r="H16" s="44">
        <f>'ENG_FCF'!$H$26</f>
        <v/>
      </c>
      <c r="I16" s="44">
        <f>'ENG_FCF'!$I$26</f>
        <v/>
      </c>
      <c r="J16" s="44">
        <f>'ENG_FCF'!$J$26</f>
        <v/>
      </c>
      <c r="K16" s="44">
        <f>'ENG_FCF'!$K$26</f>
        <v/>
      </c>
      <c r="L16" s="44">
        <f>'ENG_FCF'!$L$26</f>
        <v/>
      </c>
      <c r="M16" s="44">
        <f>'ENG_FCF'!$M$26</f>
        <v/>
      </c>
      <c r="N16" s="44">
        <f>'ENG_FCF'!$N$26</f>
        <v/>
      </c>
      <c r="O16" s="44">
        <f>'ENG_FCF'!$O$26</f>
        <v/>
      </c>
      <c r="P16" s="44">
        <f>'ENG_FCF'!$P$26</f>
        <v/>
      </c>
    </row>
    <row r="17">
      <c r="A17" s="15" t="inlineStr">
        <is>
          <t>کارمزدها</t>
        </is>
      </c>
      <c r="B17" s="16" t="inlineStr">
        <is>
          <t>OUTD2.fee</t>
        </is>
      </c>
      <c r="C17" s="17" t="inlineStr">
        <is>
          <t>میلیون ریال</t>
        </is>
      </c>
      <c r="D17" s="44">
        <f>'ENG_FCF'!$D$27</f>
        <v/>
      </c>
      <c r="E17" s="44">
        <f>'ENG_FCF'!$E$27</f>
        <v/>
      </c>
      <c r="F17" s="44">
        <f>'ENG_FCF'!$F$27</f>
        <v/>
      </c>
      <c r="G17" s="44">
        <f>'ENG_FCF'!$G$27</f>
        <v/>
      </c>
      <c r="H17" s="44">
        <f>'ENG_FCF'!$H$27</f>
        <v/>
      </c>
      <c r="I17" s="44">
        <f>'ENG_FCF'!$I$27</f>
        <v/>
      </c>
      <c r="J17" s="44">
        <f>'ENG_FCF'!$J$27</f>
        <v/>
      </c>
      <c r="K17" s="44">
        <f>'ENG_FCF'!$K$27</f>
        <v/>
      </c>
      <c r="L17" s="44">
        <f>'ENG_FCF'!$L$27</f>
        <v/>
      </c>
      <c r="M17" s="44">
        <f>'ENG_FCF'!$M$27</f>
        <v/>
      </c>
      <c r="N17" s="44">
        <f>'ENG_FCF'!$N$27</f>
        <v/>
      </c>
      <c r="O17" s="44">
        <f>'ENG_FCF'!$O$27</f>
        <v/>
      </c>
      <c r="P17" s="44">
        <f>'ENG_FCF'!$P$27</f>
        <v/>
      </c>
    </row>
    <row r="18">
      <c r="A18" s="15" t="inlineStr">
        <is>
          <t>سود تسهیلات کوتاه‌مدت</t>
        </is>
      </c>
      <c r="B18" s="16" t="inlineStr">
        <is>
          <t>OUTD2.intst</t>
        </is>
      </c>
      <c r="C18" s="17" t="inlineStr">
        <is>
          <t>میلیون ریال</t>
        </is>
      </c>
      <c r="D18" s="44">
        <f>'ENG_FCF'!$D$28</f>
        <v/>
      </c>
      <c r="E18" s="44">
        <f>'ENG_FCF'!$E$28</f>
        <v/>
      </c>
      <c r="F18" s="44">
        <f>'ENG_FCF'!$F$28</f>
        <v/>
      </c>
      <c r="G18" s="44">
        <f>'ENG_FCF'!$G$28</f>
        <v/>
      </c>
      <c r="H18" s="44">
        <f>'ENG_FCF'!$H$28</f>
        <v/>
      </c>
      <c r="I18" s="44">
        <f>'ENG_FCF'!$I$28</f>
        <v/>
      </c>
      <c r="J18" s="44">
        <f>'ENG_FCF'!$J$28</f>
        <v/>
      </c>
      <c r="K18" s="44">
        <f>'ENG_FCF'!$K$28</f>
        <v/>
      </c>
      <c r="L18" s="44">
        <f>'ENG_FCF'!$L$28</f>
        <v/>
      </c>
      <c r="M18" s="44">
        <f>'ENG_FCF'!$M$28</f>
        <v/>
      </c>
      <c r="N18" s="44">
        <f>'ENG_FCF'!$N$28</f>
        <v/>
      </c>
      <c r="O18" s="44">
        <f>'ENG_FCF'!$O$28</f>
        <v/>
      </c>
      <c r="P18" s="44">
        <f>'ENG_FCF'!$P$28</f>
        <v/>
      </c>
    </row>
    <row r="19">
      <c r="A19" s="15" t="inlineStr">
        <is>
          <t>خدمت دین</t>
        </is>
      </c>
      <c r="B19" s="16" t="inlineStr">
        <is>
          <t>OUTD2.service</t>
        </is>
      </c>
      <c r="C19" s="17" t="inlineStr">
        <is>
          <t>میلیون ریال</t>
        </is>
      </c>
      <c r="D19" s="44">
        <f>'ENG_FCF'!$D$43</f>
        <v/>
      </c>
      <c r="E19" s="44">
        <f>'ENG_FCF'!$E$43</f>
        <v/>
      </c>
      <c r="F19" s="44">
        <f>'ENG_FCF'!$F$43</f>
        <v/>
      </c>
      <c r="G19" s="44">
        <f>'ENG_FCF'!$G$43</f>
        <v/>
      </c>
      <c r="H19" s="44">
        <f>'ENG_FCF'!$H$43</f>
        <v/>
      </c>
      <c r="I19" s="44">
        <f>'ENG_FCF'!$I$43</f>
        <v/>
      </c>
      <c r="J19" s="44">
        <f>'ENG_FCF'!$J$43</f>
        <v/>
      </c>
      <c r="K19" s="44">
        <f>'ENG_FCF'!$K$43</f>
        <v/>
      </c>
      <c r="L19" s="44">
        <f>'ENG_FCF'!$L$43</f>
        <v/>
      </c>
      <c r="M19" s="44">
        <f>'ENG_FCF'!$M$43</f>
        <v/>
      </c>
      <c r="N19" s="44">
        <f>'ENG_FCF'!$N$43</f>
        <v/>
      </c>
      <c r="O19" s="44">
        <f>'ENG_FCF'!$O$43</f>
        <v/>
      </c>
      <c r="P19" s="44">
        <f>'ENG_FCF'!$P$43</f>
        <v/>
      </c>
    </row>
    <row r="20"/>
    <row r="21">
      <c r="A21" s="4" t="inlineStr">
        <is>
          <t>ب) پوشش خدمت دین</t>
        </is>
      </c>
      <c r="B21" s="5" t="n"/>
      <c r="C21" s="5" t="n"/>
      <c r="D21" s="5" t="n"/>
      <c r="E21" s="5" t="n"/>
      <c r="F21" s="5" t="n"/>
      <c r="G21" s="5" t="n"/>
      <c r="H21" s="5" t="n"/>
      <c r="I21" s="5" t="n"/>
      <c r="J21" s="5" t="n"/>
      <c r="K21" s="5" t="n"/>
      <c r="L21" s="5" t="n"/>
      <c r="M21" s="5" t="n"/>
      <c r="N21" s="5" t="n"/>
      <c r="O21" s="5" t="n"/>
      <c r="P21" s="5" t="n"/>
      <c r="Q21" s="5" t="n"/>
    </row>
    <row r="22">
      <c r="A22" s="15" t="inlineStr">
        <is>
          <t>EBITDA</t>
        </is>
      </c>
      <c r="B22" s="16" t="inlineStr">
        <is>
          <t>OUTD2.ebitda</t>
        </is>
      </c>
      <c r="C22" s="17" t="inlineStr">
        <is>
          <t>میلیون ریال</t>
        </is>
      </c>
      <c r="D22" s="44">
        <f>'ENG_FCF'!$D$15</f>
        <v/>
      </c>
      <c r="E22" s="44">
        <f>'ENG_FCF'!$E$15</f>
        <v/>
      </c>
      <c r="F22" s="44">
        <f>'ENG_FCF'!$F$15</f>
        <v/>
      </c>
      <c r="G22" s="44">
        <f>'ENG_FCF'!$G$15</f>
        <v/>
      </c>
      <c r="H22" s="44">
        <f>'ENG_FCF'!$H$15</f>
        <v/>
      </c>
      <c r="I22" s="44">
        <f>'ENG_FCF'!$I$15</f>
        <v/>
      </c>
      <c r="J22" s="44">
        <f>'ENG_FCF'!$J$15</f>
        <v/>
      </c>
      <c r="K22" s="44">
        <f>'ENG_FCF'!$K$15</f>
        <v/>
      </c>
      <c r="L22" s="44">
        <f>'ENG_FCF'!$L$15</f>
        <v/>
      </c>
      <c r="M22" s="44">
        <f>'ENG_FCF'!$M$15</f>
        <v/>
      </c>
      <c r="N22" s="44">
        <f>'ENG_FCF'!$N$15</f>
        <v/>
      </c>
      <c r="O22" s="44">
        <f>'ENG_FCF'!$O$15</f>
        <v/>
      </c>
      <c r="P22" s="44">
        <f>'ENG_FCF'!$P$15</f>
        <v/>
      </c>
    </row>
    <row r="23">
      <c r="A23" s="15" t="inlineStr">
        <is>
          <t>مالیات</t>
        </is>
      </c>
      <c r="B23" s="16" t="inlineStr">
        <is>
          <t>OUTD2.tax</t>
        </is>
      </c>
      <c r="C23" s="17" t="inlineStr">
        <is>
          <t>میلیون ریال</t>
        </is>
      </c>
      <c r="D23" s="44">
        <f>'ENG_FCF'!$D$31</f>
        <v/>
      </c>
      <c r="E23" s="44">
        <f>'ENG_FCF'!$E$31</f>
        <v/>
      </c>
      <c r="F23" s="44">
        <f>'ENG_FCF'!$F$31</f>
        <v/>
      </c>
      <c r="G23" s="44">
        <f>'ENG_FCF'!$G$31</f>
        <v/>
      </c>
      <c r="H23" s="44">
        <f>'ENG_FCF'!$H$31</f>
        <v/>
      </c>
      <c r="I23" s="44">
        <f>'ENG_FCF'!$I$31</f>
        <v/>
      </c>
      <c r="J23" s="44">
        <f>'ENG_FCF'!$J$31</f>
        <v/>
      </c>
      <c r="K23" s="44">
        <f>'ENG_FCF'!$K$31</f>
        <v/>
      </c>
      <c r="L23" s="44">
        <f>'ENG_FCF'!$L$31</f>
        <v/>
      </c>
      <c r="M23" s="44">
        <f>'ENG_FCF'!$M$31</f>
        <v/>
      </c>
      <c r="N23" s="44">
        <f>'ENG_FCF'!$N$31</f>
        <v/>
      </c>
      <c r="O23" s="44">
        <f>'ENG_FCF'!$O$31</f>
        <v/>
      </c>
      <c r="P23" s="44">
        <f>'ENG_FCF'!$P$31</f>
        <v/>
      </c>
    </row>
    <row r="24">
      <c r="A24" s="15" t="inlineStr">
        <is>
          <t>تغییرات سرمایه در گردش</t>
        </is>
      </c>
      <c r="B24" s="16" t="inlineStr">
        <is>
          <t>OUTD2.dwc</t>
        </is>
      </c>
      <c r="C24" s="17" t="inlineStr">
        <is>
          <t>میلیون ریال</t>
        </is>
      </c>
      <c r="D24" s="44">
        <f>'ENG_WC'!$D$19</f>
        <v/>
      </c>
      <c r="E24" s="44">
        <f>'ENG_WC'!$E$19</f>
        <v/>
      </c>
      <c r="F24" s="44">
        <f>'ENG_WC'!$F$19</f>
        <v/>
      </c>
      <c r="G24" s="44">
        <f>'ENG_WC'!$G$19</f>
        <v/>
      </c>
      <c r="H24" s="44">
        <f>'ENG_WC'!$H$19</f>
        <v/>
      </c>
      <c r="I24" s="44">
        <f>'ENG_WC'!$I$19</f>
        <v/>
      </c>
      <c r="J24" s="44">
        <f>'ENG_WC'!$J$19</f>
        <v/>
      </c>
      <c r="K24" s="44">
        <f>'ENG_WC'!$K$19</f>
        <v/>
      </c>
      <c r="L24" s="44">
        <f>'ENG_WC'!$L$19</f>
        <v/>
      </c>
      <c r="M24" s="44">
        <f>'ENG_WC'!$M$19</f>
        <v/>
      </c>
      <c r="N24" s="44">
        <f>'ENG_WC'!$N$19</f>
        <v/>
      </c>
      <c r="O24" s="44">
        <f>'ENG_WC'!$O$19</f>
        <v/>
      </c>
      <c r="P24" s="44">
        <f>'ENG_WC'!$P$19</f>
        <v/>
      </c>
    </row>
    <row r="25">
      <c r="A25" s="8" t="inlineStr">
        <is>
          <t>جریان نقد در دسترس خدمت دین (CFADS)</t>
        </is>
      </c>
      <c r="B25" s="16" t="inlineStr">
        <is>
          <t>OUTD2.cfads</t>
        </is>
      </c>
      <c r="C25" s="17" t="inlineStr">
        <is>
          <t>میلیون ریال</t>
        </is>
      </c>
      <c r="D25" s="44">
        <f>'ENG_FCF'!$D$42</f>
        <v/>
      </c>
      <c r="E25" s="44">
        <f>'ENG_FCF'!$E$42</f>
        <v/>
      </c>
      <c r="F25" s="44">
        <f>'ENG_FCF'!$F$42</f>
        <v/>
      </c>
      <c r="G25" s="44">
        <f>'ENG_FCF'!$G$42</f>
        <v/>
      </c>
      <c r="H25" s="44">
        <f>'ENG_FCF'!$H$42</f>
        <v/>
      </c>
      <c r="I25" s="44">
        <f>'ENG_FCF'!$I$42</f>
        <v/>
      </c>
      <c r="J25" s="44">
        <f>'ENG_FCF'!$J$42</f>
        <v/>
      </c>
      <c r="K25" s="44">
        <f>'ENG_FCF'!$K$42</f>
        <v/>
      </c>
      <c r="L25" s="44">
        <f>'ENG_FCF'!$L$42</f>
        <v/>
      </c>
      <c r="M25" s="44">
        <f>'ENG_FCF'!$M$42</f>
        <v/>
      </c>
      <c r="N25" s="44">
        <f>'ENG_FCF'!$N$42</f>
        <v/>
      </c>
      <c r="O25" s="44">
        <f>'ENG_FCF'!$O$42</f>
        <v/>
      </c>
      <c r="P25" s="44">
        <f>'ENG_FCF'!$P$42</f>
        <v/>
      </c>
    </row>
    <row r="26">
      <c r="A26" s="8" t="inlineStr">
        <is>
          <t>DSCR</t>
        </is>
      </c>
      <c r="B26" s="16" t="inlineStr">
        <is>
          <t>OUTD2.dscr</t>
        </is>
      </c>
      <c r="C26" s="17" t="inlineStr">
        <is>
          <t>ضریب</t>
        </is>
      </c>
      <c r="D26" s="47">
        <f>'ENG_FCF'!$D$44</f>
        <v/>
      </c>
      <c r="E26" s="47">
        <f>'ENG_FCF'!$E$44</f>
        <v/>
      </c>
      <c r="F26" s="47">
        <f>'ENG_FCF'!$F$44</f>
        <v/>
      </c>
      <c r="G26" s="47">
        <f>'ENG_FCF'!$G$44</f>
        <v/>
      </c>
      <c r="H26" s="47">
        <f>'ENG_FCF'!$H$44</f>
        <v/>
      </c>
      <c r="I26" s="47">
        <f>'ENG_FCF'!$I$44</f>
        <v/>
      </c>
      <c r="J26" s="47">
        <f>'ENG_FCF'!$J$44</f>
        <v/>
      </c>
      <c r="K26" s="47">
        <f>'ENG_FCF'!$K$44</f>
        <v/>
      </c>
      <c r="L26" s="47">
        <f>'ENG_FCF'!$L$44</f>
        <v/>
      </c>
      <c r="M26" s="47">
        <f>'ENG_FCF'!$M$44</f>
        <v/>
      </c>
      <c r="N26" s="47">
        <f>'ENG_FCF'!$N$44</f>
        <v/>
      </c>
      <c r="O26" s="47">
        <f>'ENG_FCF'!$O$44</f>
        <v/>
      </c>
      <c r="P26" s="47">
        <f>'ENG_FCF'!$P$44</f>
        <v/>
      </c>
    </row>
    <row r="27">
      <c r="A27" s="15" t="inlineStr">
        <is>
          <t>نسبت پوشش بهره (ICR)</t>
        </is>
      </c>
      <c r="B27" s="16" t="inlineStr">
        <is>
          <t>OUTD2.icr</t>
        </is>
      </c>
      <c r="C27" s="17" t="inlineStr">
        <is>
          <t>ضریب</t>
        </is>
      </c>
      <c r="D27" s="47">
        <f>'ENG_FCF'!$D$45</f>
        <v/>
      </c>
      <c r="E27" s="47">
        <f>'ENG_FCF'!$E$45</f>
        <v/>
      </c>
      <c r="F27" s="47">
        <f>'ENG_FCF'!$F$45</f>
        <v/>
      </c>
      <c r="G27" s="47">
        <f>'ENG_FCF'!$G$45</f>
        <v/>
      </c>
      <c r="H27" s="47">
        <f>'ENG_FCF'!$H$45</f>
        <v/>
      </c>
      <c r="I27" s="47">
        <f>'ENG_FCF'!$I$45</f>
        <v/>
      </c>
      <c r="J27" s="47">
        <f>'ENG_FCF'!$J$45</f>
        <v/>
      </c>
      <c r="K27" s="47">
        <f>'ENG_FCF'!$K$45</f>
        <v/>
      </c>
      <c r="L27" s="47">
        <f>'ENG_FCF'!$L$45</f>
        <v/>
      </c>
      <c r="M27" s="47">
        <f>'ENG_FCF'!$M$45</f>
        <v/>
      </c>
      <c r="N27" s="47">
        <f>'ENG_FCF'!$N$45</f>
        <v/>
      </c>
      <c r="O27" s="47">
        <f>'ENG_FCF'!$O$45</f>
        <v/>
      </c>
      <c r="P27" s="47">
        <f>'ENG_FCF'!$P$45</f>
        <v/>
      </c>
    </row>
    <row r="28">
      <c r="A28" s="15" t="inlineStr">
        <is>
          <t>نسبت بدهی به EBITDA</t>
        </is>
      </c>
      <c r="B28" s="16" t="inlineStr">
        <is>
          <t>OUTD2.de</t>
        </is>
      </c>
      <c r="C28" s="17" t="inlineStr">
        <is>
          <t>ضریب</t>
        </is>
      </c>
      <c r="D28" s="47">
        <f>'ENG_LEV'!$D$31</f>
        <v/>
      </c>
      <c r="E28" s="47">
        <f>'ENG_LEV'!$E$31</f>
        <v/>
      </c>
      <c r="F28" s="47">
        <f>'ENG_LEV'!$F$31</f>
        <v/>
      </c>
      <c r="G28" s="47">
        <f>'ENG_LEV'!$G$31</f>
        <v/>
      </c>
      <c r="H28" s="47">
        <f>'ENG_LEV'!$H$31</f>
        <v/>
      </c>
      <c r="I28" s="47">
        <f>'ENG_LEV'!$I$31</f>
        <v/>
      </c>
      <c r="J28" s="47">
        <f>'ENG_LEV'!$J$31</f>
        <v/>
      </c>
      <c r="K28" s="47">
        <f>'ENG_LEV'!$K$31</f>
        <v/>
      </c>
      <c r="L28" s="47">
        <f>'ENG_LEV'!$L$31</f>
        <v/>
      </c>
      <c r="M28" s="47">
        <f>'ENG_LEV'!$M$31</f>
        <v/>
      </c>
      <c r="N28" s="47">
        <f>'ENG_LEV'!$N$31</f>
        <v/>
      </c>
      <c r="O28" s="47">
        <f>'ENG_LEV'!$O$31</f>
        <v/>
      </c>
      <c r="P28" s="47">
        <f>'ENG_LEV'!$P$31</f>
        <v/>
      </c>
    </row>
    <row r="29">
      <c r="A29" s="15" t="inlineStr">
        <is>
          <t>حداقل DSCR قراردادی</t>
        </is>
      </c>
      <c r="B29" s="16" t="inlineStr">
        <is>
          <t>OUTD2.min</t>
        </is>
      </c>
      <c r="C29" s="17" t="inlineStr">
        <is>
          <t>ضریب</t>
        </is>
      </c>
      <c r="D29" s="47">
        <f>'IN_FIN'!$D$32</f>
        <v/>
      </c>
      <c r="E29" s="47">
        <f>'IN_FIN'!$D$32</f>
        <v/>
      </c>
      <c r="F29" s="47">
        <f>'IN_FIN'!$D$32</f>
        <v/>
      </c>
      <c r="G29" s="47">
        <f>'IN_FIN'!$D$32</f>
        <v/>
      </c>
      <c r="H29" s="47">
        <f>'IN_FIN'!$D$32</f>
        <v/>
      </c>
      <c r="I29" s="47">
        <f>'IN_FIN'!$D$32</f>
        <v/>
      </c>
      <c r="J29" s="47">
        <f>'IN_FIN'!$D$32</f>
        <v/>
      </c>
      <c r="K29" s="47">
        <f>'IN_FIN'!$D$32</f>
        <v/>
      </c>
      <c r="L29" s="47">
        <f>'IN_FIN'!$D$32</f>
        <v/>
      </c>
      <c r="M29" s="47">
        <f>'IN_FIN'!$D$32</f>
        <v/>
      </c>
      <c r="N29" s="47">
        <f>'IN_FIN'!$D$32</f>
        <v/>
      </c>
      <c r="O29" s="47">
        <f>'IN_FIN'!$D$32</f>
        <v/>
      </c>
      <c r="P29" s="47">
        <f>'IN_FIN'!$D$32</f>
        <v/>
      </c>
    </row>
    <row r="30">
      <c r="A30" s="15" t="inlineStr">
        <is>
          <t>وضعیت تعهد DSCR</t>
        </is>
      </c>
      <c r="B30" s="16" t="inlineStr">
        <is>
          <t>OUTD2.cov</t>
        </is>
      </c>
      <c r="C30" s="17" t="inlineStr">
        <is>
          <t>─</t>
        </is>
      </c>
      <c r="D30" s="44">
        <f>IF('ENG_FCF'!$D$43=0,"─",IF('ENG_FCF'!$D$44&gt;='IN_FIN'!$D$32,"تأیید","نقض تعهد"))</f>
        <v/>
      </c>
      <c r="E30" s="44">
        <f>IF('ENG_FCF'!$E$43=0,"─",IF('ENG_FCF'!$E$44&gt;='IN_FIN'!$D$32,"تأیید","نقض تعهد"))</f>
        <v/>
      </c>
      <c r="F30" s="44">
        <f>IF('ENG_FCF'!$F$43=0,"─",IF('ENG_FCF'!$F$44&gt;='IN_FIN'!$D$32,"تأیید","نقض تعهد"))</f>
        <v/>
      </c>
      <c r="G30" s="44">
        <f>IF('ENG_FCF'!$G$43=0,"─",IF('ENG_FCF'!$G$44&gt;='IN_FIN'!$D$32,"تأیید","نقض تعهد"))</f>
        <v/>
      </c>
      <c r="H30" s="44">
        <f>IF('ENG_FCF'!$H$43=0,"─",IF('ENG_FCF'!$H$44&gt;='IN_FIN'!$D$32,"تأیید","نقض تعهد"))</f>
        <v/>
      </c>
      <c r="I30" s="44">
        <f>IF('ENG_FCF'!$I$43=0,"─",IF('ENG_FCF'!$I$44&gt;='IN_FIN'!$D$32,"تأیید","نقض تعهد"))</f>
        <v/>
      </c>
      <c r="J30" s="44">
        <f>IF('ENG_FCF'!$J$43=0,"─",IF('ENG_FCF'!$J$44&gt;='IN_FIN'!$D$32,"تأیید","نقض تعهد"))</f>
        <v/>
      </c>
      <c r="K30" s="44">
        <f>IF('ENG_FCF'!$K$43=0,"─",IF('ENG_FCF'!$K$44&gt;='IN_FIN'!$D$32,"تأیید","نقض تعهد"))</f>
        <v/>
      </c>
      <c r="L30" s="44">
        <f>IF('ENG_FCF'!$L$43=0,"─",IF('ENG_FCF'!$L$44&gt;='IN_FIN'!$D$32,"تأیید","نقض تعهد"))</f>
        <v/>
      </c>
      <c r="M30" s="44">
        <f>IF('ENG_FCF'!$M$43=0,"─",IF('ENG_FCF'!$M$44&gt;='IN_FIN'!$D$32,"تأیید","نقض تعهد"))</f>
        <v/>
      </c>
      <c r="N30" s="44">
        <f>IF('ENG_FCF'!$N$43=0,"─",IF('ENG_FCF'!$N$44&gt;='IN_FIN'!$D$32,"تأیید","نقض تعهد"))</f>
        <v/>
      </c>
      <c r="O30" s="44">
        <f>IF('ENG_FCF'!$O$43=0,"─",IF('ENG_FCF'!$O$44&gt;='IN_FIN'!$D$32,"تأیید","نقض تعهد"))</f>
        <v/>
      </c>
      <c r="P30" s="44">
        <f>IF('ENG_FCF'!$P$43=0,"─",IF('ENG_FCF'!$P$44&gt;='IN_FIN'!$D$32,"تأیید","نقض تعهد"))</f>
        <v/>
      </c>
    </row>
  </sheetData>
  <conditionalFormatting sqref="D26:P26">
    <cfRule type="colorScale" priority="1">
      <colorScale>
        <cfvo type="num" val="0.8"/>
        <cfvo type="num" val="1.3"/>
        <cfvo type="num" val="2"/>
        <color rgb="00F8696B"/>
        <color rgb="00FFEB84"/>
        <color rgb="0063BE7B"/>
      </colorScale>
    </cfRule>
  </conditionalFormatting>
  <pageMargins left="0.75" right="0.75" top="1" bottom="1" header="0.5" footer="0.5"/>
</worksheet>
</file>

<file path=xl/worksheets/sheet22.xml><?xml version="1.0" encoding="utf-8"?>
<worksheet xmlns="http://schemas.openxmlformats.org/spreadsheetml/2006/main">
  <sheetPr>
    <tabColor rgb="00BF8F00"/>
    <outlinePr summaryBelow="1" summaryRight="1"/>
    <pageSetUpPr/>
  </sheetPr>
  <dimension ref="A1:Q23"/>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48" t="inlineStr">
        <is>
          <t>ماتریس‌های حساسیت NPV</t>
        </is>
      </c>
      <c r="B1" s="2" t="inlineStr">
        <is>
          <t>لایه خروجی</t>
        </is>
      </c>
    </row>
    <row r="2">
      <c r="A2" s="3" t="inlineStr">
        <is>
          <t>اثر هم‌زمان (نرخ بهره × نرخ ارز) و (نرخ بهره × قیمت فروش) بر ارزش فعلی خالص پروژه.</t>
        </is>
      </c>
    </row>
    <row r="3"/>
    <row r="4"/>
    <row r="5"/>
    <row r="6"/>
    <row r="7">
      <c r="A7" s="4" t="inlineStr">
        <is>
          <t>الف) نرخ بهره × نرخ ارز (NPV به میلیون ریال)</t>
        </is>
      </c>
      <c r="B7" s="5" t="n"/>
      <c r="C7" s="5" t="n"/>
      <c r="D7" s="5" t="n"/>
      <c r="E7" s="5" t="n"/>
      <c r="F7" s="5" t="n"/>
      <c r="G7" s="5" t="n"/>
      <c r="H7" s="5" t="n"/>
      <c r="I7" s="5" t="n"/>
      <c r="J7" s="5" t="n"/>
      <c r="K7" s="5" t="n"/>
      <c r="L7" s="5" t="n"/>
      <c r="M7" s="5" t="n"/>
      <c r="N7" s="5" t="n"/>
      <c r="O7" s="5" t="n"/>
      <c r="P7" s="5" t="n"/>
      <c r="Q7" s="5" t="n"/>
    </row>
    <row r="8">
      <c r="A8" s="8" t="inlineStr">
        <is>
          <t>نرخ بهره / نرخ ارز</t>
        </is>
      </c>
      <c r="D8" s="49">
        <f>'IN_SCEN'!$D$25</f>
        <v/>
      </c>
      <c r="E8" s="49">
        <f>'IN_SCEN'!$E$25</f>
        <v/>
      </c>
      <c r="F8" s="49">
        <f>'IN_SCEN'!$F$25</f>
        <v/>
      </c>
      <c r="G8" s="49">
        <f>'IN_SCEN'!$G$25</f>
        <v/>
      </c>
      <c r="H8" s="49">
        <f>'IN_SCEN'!$H$25</f>
        <v/>
      </c>
    </row>
    <row r="9">
      <c r="A9" s="49">
        <f>'IN_SCEN'!$D$24</f>
        <v/>
      </c>
      <c r="D9" s="50">
        <f>INDEX('ENG_SENS'!$AG$6:$AG$55,MATCH("FX|0|0",'ENG_SENS'!$A$6:$A$55,0))</f>
        <v/>
      </c>
      <c r="E9" s="50">
        <f>INDEX('ENG_SENS'!$AG$6:$AG$55,MATCH("FX|0|1",'ENG_SENS'!$A$6:$A$55,0))</f>
        <v/>
      </c>
      <c r="F9" s="50">
        <f>INDEX('ENG_SENS'!$AG$6:$AG$55,MATCH("FX|0|2",'ENG_SENS'!$A$6:$A$55,0))</f>
        <v/>
      </c>
      <c r="G9" s="50">
        <f>INDEX('ENG_SENS'!$AG$6:$AG$55,MATCH("FX|0|3",'ENG_SENS'!$A$6:$A$55,0))</f>
        <v/>
      </c>
      <c r="H9" s="50">
        <f>INDEX('ENG_SENS'!$AG$6:$AG$55,MATCH("FX|0|4",'ENG_SENS'!$A$6:$A$55,0))</f>
        <v/>
      </c>
    </row>
    <row r="10">
      <c r="A10" s="49">
        <f>'IN_SCEN'!$E$24</f>
        <v/>
      </c>
      <c r="D10" s="50">
        <f>INDEX('ENG_SENS'!$AG$6:$AG$55,MATCH("FX|1|0",'ENG_SENS'!$A$6:$A$55,0))</f>
        <v/>
      </c>
      <c r="E10" s="50">
        <f>INDEX('ENG_SENS'!$AG$6:$AG$55,MATCH("FX|1|1",'ENG_SENS'!$A$6:$A$55,0))</f>
        <v/>
      </c>
      <c r="F10" s="50">
        <f>INDEX('ENG_SENS'!$AG$6:$AG$55,MATCH("FX|1|2",'ENG_SENS'!$A$6:$A$55,0))</f>
        <v/>
      </c>
      <c r="G10" s="50">
        <f>INDEX('ENG_SENS'!$AG$6:$AG$55,MATCH("FX|1|3",'ENG_SENS'!$A$6:$A$55,0))</f>
        <v/>
      </c>
      <c r="H10" s="50">
        <f>INDEX('ENG_SENS'!$AG$6:$AG$55,MATCH("FX|1|4",'ENG_SENS'!$A$6:$A$55,0))</f>
        <v/>
      </c>
    </row>
    <row r="11">
      <c r="A11" s="49">
        <f>'IN_SCEN'!$F$24</f>
        <v/>
      </c>
      <c r="D11" s="50">
        <f>INDEX('ENG_SENS'!$AG$6:$AG$55,MATCH("FX|2|0",'ENG_SENS'!$A$6:$A$55,0))</f>
        <v/>
      </c>
      <c r="E11" s="50">
        <f>INDEX('ENG_SENS'!$AG$6:$AG$55,MATCH("FX|2|1",'ENG_SENS'!$A$6:$A$55,0))</f>
        <v/>
      </c>
      <c r="F11" s="50">
        <f>INDEX('ENG_SENS'!$AG$6:$AG$55,MATCH("FX|2|2",'ENG_SENS'!$A$6:$A$55,0))</f>
        <v/>
      </c>
      <c r="G11" s="50">
        <f>INDEX('ENG_SENS'!$AG$6:$AG$55,MATCH("FX|2|3",'ENG_SENS'!$A$6:$A$55,0))</f>
        <v/>
      </c>
      <c r="H11" s="50">
        <f>INDEX('ENG_SENS'!$AG$6:$AG$55,MATCH("FX|2|4",'ENG_SENS'!$A$6:$A$55,0))</f>
        <v/>
      </c>
    </row>
    <row r="12">
      <c r="A12" s="49">
        <f>'IN_SCEN'!$G$24</f>
        <v/>
      </c>
      <c r="D12" s="50">
        <f>INDEX('ENG_SENS'!$AG$6:$AG$55,MATCH("FX|3|0",'ENG_SENS'!$A$6:$A$55,0))</f>
        <v/>
      </c>
      <c r="E12" s="50">
        <f>INDEX('ENG_SENS'!$AG$6:$AG$55,MATCH("FX|3|1",'ENG_SENS'!$A$6:$A$55,0))</f>
        <v/>
      </c>
      <c r="F12" s="50">
        <f>INDEX('ENG_SENS'!$AG$6:$AG$55,MATCH("FX|3|2",'ENG_SENS'!$A$6:$A$55,0))</f>
        <v/>
      </c>
      <c r="G12" s="50">
        <f>INDEX('ENG_SENS'!$AG$6:$AG$55,MATCH("FX|3|3",'ENG_SENS'!$A$6:$A$55,0))</f>
        <v/>
      </c>
      <c r="H12" s="50">
        <f>INDEX('ENG_SENS'!$AG$6:$AG$55,MATCH("FX|3|4",'ENG_SENS'!$A$6:$A$55,0))</f>
        <v/>
      </c>
    </row>
    <row r="13">
      <c r="A13" s="49">
        <f>'IN_SCEN'!$H$24</f>
        <v/>
      </c>
      <c r="D13" s="50">
        <f>INDEX('ENG_SENS'!$AG$6:$AG$55,MATCH("FX|4|0",'ENG_SENS'!$A$6:$A$55,0))</f>
        <v/>
      </c>
      <c r="E13" s="50">
        <f>INDEX('ENG_SENS'!$AG$6:$AG$55,MATCH("FX|4|1",'ENG_SENS'!$A$6:$A$55,0))</f>
        <v/>
      </c>
      <c r="F13" s="50">
        <f>INDEX('ENG_SENS'!$AG$6:$AG$55,MATCH("FX|4|2",'ENG_SENS'!$A$6:$A$55,0))</f>
        <v/>
      </c>
      <c r="G13" s="50">
        <f>INDEX('ENG_SENS'!$AG$6:$AG$55,MATCH("FX|4|3",'ENG_SENS'!$A$6:$A$55,0))</f>
        <v/>
      </c>
      <c r="H13" s="50">
        <f>INDEX('ENG_SENS'!$AG$6:$AG$55,MATCH("FX|4|4",'ENG_SENS'!$A$6:$A$55,0))</f>
        <v/>
      </c>
    </row>
    <row r="14"/>
    <row r="15">
      <c r="A15" s="4" t="inlineStr">
        <is>
          <t>ب) نرخ بهره × قیمت فروش (NPV به میلیون ریال)</t>
        </is>
      </c>
      <c r="B15" s="5" t="n"/>
      <c r="C15" s="5" t="n"/>
      <c r="D15" s="5" t="n"/>
      <c r="E15" s="5" t="n"/>
      <c r="F15" s="5" t="n"/>
      <c r="G15" s="5" t="n"/>
      <c r="H15" s="5" t="n"/>
      <c r="I15" s="5" t="n"/>
      <c r="J15" s="5" t="n"/>
      <c r="K15" s="5" t="n"/>
      <c r="L15" s="5" t="n"/>
      <c r="M15" s="5" t="n"/>
      <c r="N15" s="5" t="n"/>
      <c r="O15" s="5" t="n"/>
      <c r="P15" s="5" t="n"/>
      <c r="Q15" s="5" t="n"/>
    </row>
    <row r="16">
      <c r="A16" s="8" t="inlineStr">
        <is>
          <t>نرخ بهره / قیمت فروش</t>
        </is>
      </c>
      <c r="D16" s="49">
        <f>'IN_SCEN'!$D$26</f>
        <v/>
      </c>
      <c r="E16" s="49">
        <f>'IN_SCEN'!$E$26</f>
        <v/>
      </c>
      <c r="F16" s="49">
        <f>'IN_SCEN'!$F$26</f>
        <v/>
      </c>
      <c r="G16" s="49">
        <f>'IN_SCEN'!$G$26</f>
        <v/>
      </c>
      <c r="H16" s="49">
        <f>'IN_SCEN'!$H$26</f>
        <v/>
      </c>
    </row>
    <row r="17">
      <c r="A17" s="49">
        <f>'IN_SCEN'!$D$24</f>
        <v/>
      </c>
      <c r="D17" s="50">
        <f>INDEX('ENG_SENS'!$AG$6:$AG$55,MATCH("PR|0|0",'ENG_SENS'!$A$6:$A$55,0))</f>
        <v/>
      </c>
      <c r="E17" s="50">
        <f>INDEX('ENG_SENS'!$AG$6:$AG$55,MATCH("PR|0|1",'ENG_SENS'!$A$6:$A$55,0))</f>
        <v/>
      </c>
      <c r="F17" s="50">
        <f>INDEX('ENG_SENS'!$AG$6:$AG$55,MATCH("PR|0|2",'ENG_SENS'!$A$6:$A$55,0))</f>
        <v/>
      </c>
      <c r="G17" s="50">
        <f>INDEX('ENG_SENS'!$AG$6:$AG$55,MATCH("PR|0|3",'ENG_SENS'!$A$6:$A$55,0))</f>
        <v/>
      </c>
      <c r="H17" s="50">
        <f>INDEX('ENG_SENS'!$AG$6:$AG$55,MATCH("PR|0|4",'ENG_SENS'!$A$6:$A$55,0))</f>
        <v/>
      </c>
    </row>
    <row r="18">
      <c r="A18" s="49">
        <f>'IN_SCEN'!$E$24</f>
        <v/>
      </c>
      <c r="D18" s="50">
        <f>INDEX('ENG_SENS'!$AG$6:$AG$55,MATCH("PR|1|0",'ENG_SENS'!$A$6:$A$55,0))</f>
        <v/>
      </c>
      <c r="E18" s="50">
        <f>INDEX('ENG_SENS'!$AG$6:$AG$55,MATCH("PR|1|1",'ENG_SENS'!$A$6:$A$55,0))</f>
        <v/>
      </c>
      <c r="F18" s="50">
        <f>INDEX('ENG_SENS'!$AG$6:$AG$55,MATCH("PR|1|2",'ENG_SENS'!$A$6:$A$55,0))</f>
        <v/>
      </c>
      <c r="G18" s="50">
        <f>INDEX('ENG_SENS'!$AG$6:$AG$55,MATCH("PR|1|3",'ENG_SENS'!$A$6:$A$55,0))</f>
        <v/>
      </c>
      <c r="H18" s="50">
        <f>INDEX('ENG_SENS'!$AG$6:$AG$55,MATCH("PR|1|4",'ENG_SENS'!$A$6:$A$55,0))</f>
        <v/>
      </c>
    </row>
    <row r="19">
      <c r="A19" s="49">
        <f>'IN_SCEN'!$F$24</f>
        <v/>
      </c>
      <c r="D19" s="50">
        <f>INDEX('ENG_SENS'!$AG$6:$AG$55,MATCH("PR|2|0",'ENG_SENS'!$A$6:$A$55,0))</f>
        <v/>
      </c>
      <c r="E19" s="50">
        <f>INDEX('ENG_SENS'!$AG$6:$AG$55,MATCH("PR|2|1",'ENG_SENS'!$A$6:$A$55,0))</f>
        <v/>
      </c>
      <c r="F19" s="50">
        <f>INDEX('ENG_SENS'!$AG$6:$AG$55,MATCH("PR|2|2",'ENG_SENS'!$A$6:$A$55,0))</f>
        <v/>
      </c>
      <c r="G19" s="50">
        <f>INDEX('ENG_SENS'!$AG$6:$AG$55,MATCH("PR|2|3",'ENG_SENS'!$A$6:$A$55,0))</f>
        <v/>
      </c>
      <c r="H19" s="50">
        <f>INDEX('ENG_SENS'!$AG$6:$AG$55,MATCH("PR|2|4",'ENG_SENS'!$A$6:$A$55,0))</f>
        <v/>
      </c>
    </row>
    <row r="20">
      <c r="A20" s="49">
        <f>'IN_SCEN'!$G$24</f>
        <v/>
      </c>
      <c r="D20" s="50">
        <f>INDEX('ENG_SENS'!$AG$6:$AG$55,MATCH("PR|3|0",'ENG_SENS'!$A$6:$A$55,0))</f>
        <v/>
      </c>
      <c r="E20" s="50">
        <f>INDEX('ENG_SENS'!$AG$6:$AG$55,MATCH("PR|3|1",'ENG_SENS'!$A$6:$A$55,0))</f>
        <v/>
      </c>
      <c r="F20" s="50">
        <f>INDEX('ENG_SENS'!$AG$6:$AG$55,MATCH("PR|3|2",'ENG_SENS'!$A$6:$A$55,0))</f>
        <v/>
      </c>
      <c r="G20" s="50">
        <f>INDEX('ENG_SENS'!$AG$6:$AG$55,MATCH("PR|3|3",'ENG_SENS'!$A$6:$A$55,0))</f>
        <v/>
      </c>
      <c r="H20" s="50">
        <f>INDEX('ENG_SENS'!$AG$6:$AG$55,MATCH("PR|3|4",'ENG_SENS'!$A$6:$A$55,0))</f>
        <v/>
      </c>
    </row>
    <row r="21">
      <c r="A21" s="49">
        <f>'IN_SCEN'!$H$24</f>
        <v/>
      </c>
      <c r="D21" s="50">
        <f>INDEX('ENG_SENS'!$AG$6:$AG$55,MATCH("PR|4|0",'ENG_SENS'!$A$6:$A$55,0))</f>
        <v/>
      </c>
      <c r="E21" s="50">
        <f>INDEX('ENG_SENS'!$AG$6:$AG$55,MATCH("PR|4|1",'ENG_SENS'!$A$6:$A$55,0))</f>
        <v/>
      </c>
      <c r="F21" s="50">
        <f>INDEX('ENG_SENS'!$AG$6:$AG$55,MATCH("PR|4|2",'ENG_SENS'!$A$6:$A$55,0))</f>
        <v/>
      </c>
      <c r="G21" s="50">
        <f>INDEX('ENG_SENS'!$AG$6:$AG$55,MATCH("PR|4|3",'ENG_SENS'!$A$6:$A$55,0))</f>
        <v/>
      </c>
      <c r="H21" s="50">
        <f>INDEX('ENG_SENS'!$AG$6:$AG$55,MATCH("PR|4|4",'ENG_SENS'!$A$6:$A$55,0))</f>
        <v/>
      </c>
    </row>
    <row r="22"/>
    <row r="23">
      <c r="A23" s="7" t="inlineStr">
        <is>
          <t>توضیح: هر سلول با اعمال هم‌زمان انحرافِ سطر و ستون روی متغیرهای کلیدی و بازمحاسبهٔ کامل FCF و ارزش پایانی در موتور حساسیت (ENG_SENS) به دست می‌آید؛ هیچ عددی در این شیت ثابت نیست.</t>
        </is>
      </c>
    </row>
  </sheetData>
  <conditionalFormatting sqref="D9:H13">
    <cfRule type="colorScale" priority="1">
      <colorScale>
        <cfvo type="min"/>
        <cfvo type="percentile" val="50"/>
        <cfvo type="max"/>
        <color rgb="00F8696B"/>
        <color rgb="00FFEB84"/>
        <color rgb="0063BE7B"/>
      </colorScale>
    </cfRule>
  </conditionalFormatting>
  <conditionalFormatting sqref="D17:H21">
    <cfRule type="colorScale" priority="2">
      <colorScale>
        <cfvo type="min"/>
        <cfvo type="percentile" val="50"/>
        <cfvo type="max"/>
        <color rgb="00F8696B"/>
        <color rgb="00FFEB84"/>
        <color rgb="0063BE7B"/>
      </colorScale>
    </cfRule>
  </conditionalFormatting>
  <pageMargins left="0.75" right="0.75" top="1" bottom="1" header="0.5" footer="0.5"/>
</worksheet>
</file>

<file path=xl/worksheets/sheet23.xml><?xml version="1.0" encoding="utf-8"?>
<worksheet xmlns="http://schemas.openxmlformats.org/spreadsheetml/2006/main">
  <sheetPr>
    <tabColor rgb="00BF8F00"/>
    <outlinePr summaryBelow="1" summaryRight="1"/>
    <pageSetUpPr/>
  </sheetPr>
  <dimension ref="A1:Q41"/>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گزارش تحلیلی سرمایه‌گذاران</t>
        </is>
      </c>
      <c r="B1" s="2" t="inlineStr">
        <is>
          <t>لایه خروجی</t>
        </is>
      </c>
    </row>
    <row r="2">
      <c r="A2" s="3" t="inlineStr">
        <is>
          <t>جمع‌بندی سناریوهای پایه، خوش‌بینانه و بدبینانه به همراه شاخص‌های بازدهی.</t>
        </is>
      </c>
    </row>
    <row r="3"/>
    <row r="4">
      <c r="A4" s="8" t="inlineStr">
        <is>
          <t>شاخص</t>
        </is>
      </c>
      <c r="D4" s="51" t="inlineStr">
        <is>
          <t>پایه</t>
        </is>
      </c>
      <c r="E4" s="51" t="inlineStr">
        <is>
          <t>خوش‌بینانه</t>
        </is>
      </c>
      <c r="F4" s="51" t="inlineStr">
        <is>
          <t>بدبینانه</t>
        </is>
      </c>
    </row>
    <row r="5"/>
    <row r="6">
      <c r="A6" s="4" t="inlineStr">
        <is>
          <t>الف) مقایسهٔ سناریوها</t>
        </is>
      </c>
      <c r="B6" s="5" t="n"/>
      <c r="C6" s="5" t="n"/>
      <c r="D6" s="5" t="n"/>
      <c r="E6" s="5" t="n"/>
      <c r="F6" s="5" t="n"/>
      <c r="G6" s="5" t="n"/>
      <c r="H6" s="5" t="n"/>
      <c r="I6" s="5" t="n"/>
      <c r="J6" s="5" t="n"/>
      <c r="K6" s="5" t="n"/>
      <c r="L6" s="5" t="n"/>
      <c r="M6" s="5" t="n"/>
      <c r="N6" s="5" t="n"/>
      <c r="O6" s="5" t="n"/>
      <c r="P6" s="5" t="n"/>
      <c r="Q6" s="5" t="n"/>
    </row>
    <row r="7">
      <c r="A7" s="8" t="inlineStr">
        <is>
          <t>ارزش فعلی خالص (NPV)</t>
        </is>
      </c>
      <c r="D7" s="52">
        <f>IFERROR('ENG_SCEN'!$D$68,"─")</f>
        <v/>
      </c>
      <c r="E7" s="52">
        <f>IFERROR('ENG_SCEN'!$D$102,"─")</f>
        <v/>
      </c>
      <c r="F7" s="52">
        <f>IFERROR('ENG_SCEN'!$D$136,"─")</f>
        <v/>
      </c>
    </row>
    <row r="8">
      <c r="A8" s="8" t="inlineStr">
        <is>
          <t>نرخ بازده داخلی (IRR)</t>
        </is>
      </c>
      <c r="D8" s="53">
        <f>IFERROR('ENG_SCEN'!$D$69,"─")</f>
        <v/>
      </c>
      <c r="E8" s="53">
        <f>IFERROR('ENG_SCEN'!$D$103,"─")</f>
        <v/>
      </c>
      <c r="F8" s="53">
        <f>IFERROR('ENG_SCEN'!$D$137,"─")</f>
        <v/>
      </c>
    </row>
    <row r="9">
      <c r="A9" s="8" t="inlineStr">
        <is>
          <t>دوره بازپرداشت (سال)</t>
        </is>
      </c>
      <c r="D9" s="54">
        <f>IFERROR('ENG_SCEN'!$D$70,"─")</f>
        <v/>
      </c>
      <c r="E9" s="54">
        <f>IFERROR('ENG_SCEN'!$D$104,"─")</f>
        <v/>
      </c>
      <c r="F9" s="54">
        <f>IFERROR('ENG_SCEN'!$D$138,"─")</f>
        <v/>
      </c>
    </row>
    <row r="10">
      <c r="A10" s="8" t="inlineStr">
        <is>
          <t>شاخص سودآوری (PI)</t>
        </is>
      </c>
      <c r="D10" s="55">
        <f>IFERROR('ENG_SCEN'!$D$71,"─")</f>
        <v/>
      </c>
      <c r="E10" s="55">
        <f>IFERROR('ENG_SCEN'!$D$105,"─")</f>
        <v/>
      </c>
      <c r="F10" s="55">
        <f>IFERROR('ENG_SCEN'!$D$139,"─")</f>
        <v/>
      </c>
    </row>
    <row r="11">
      <c r="A11" s="8" t="inlineStr">
        <is>
          <t>حداقل DSCR</t>
        </is>
      </c>
      <c r="D11" s="55">
        <f>IFERROR('ENG_SCEN'!$D$72,"─")</f>
        <v/>
      </c>
      <c r="E11" s="55">
        <f>IFERROR('ENG_SCEN'!$D$106,"─")</f>
        <v/>
      </c>
      <c r="F11" s="55">
        <f>IFERROR('ENG_SCEN'!$D$140,"─")</f>
        <v/>
      </c>
    </row>
    <row r="12">
      <c r="A12" s="8" t="inlineStr">
        <is>
          <t>میانگین DSCR</t>
        </is>
      </c>
      <c r="D12" s="55">
        <f>IFERROR('ENG_SCEN'!$D$73,"─")</f>
        <v/>
      </c>
      <c r="E12" s="55">
        <f>IFERROR('ENG_SCEN'!$D$107,"─")</f>
        <v/>
      </c>
      <c r="F12" s="55">
        <f>IFERROR('ENG_SCEN'!$D$141,"─")</f>
        <v/>
      </c>
    </row>
    <row r="13"/>
    <row r="14">
      <c r="A14" s="4" t="inlineStr">
        <is>
          <t>ب) ضرایب سناریوها (از لایهٔ ورودی)</t>
        </is>
      </c>
      <c r="B14" s="5" t="n"/>
      <c r="C14" s="5" t="n"/>
      <c r="D14" s="5" t="n"/>
      <c r="E14" s="5" t="n"/>
      <c r="F14" s="5" t="n"/>
      <c r="G14" s="5" t="n"/>
      <c r="H14" s="5" t="n"/>
      <c r="I14" s="5" t="n"/>
      <c r="J14" s="5" t="n"/>
      <c r="K14" s="5" t="n"/>
      <c r="L14" s="5" t="n"/>
      <c r="M14" s="5" t="n"/>
      <c r="N14" s="5" t="n"/>
      <c r="O14" s="5" t="n"/>
      <c r="P14" s="5" t="n"/>
      <c r="Q14" s="5" t="n"/>
    </row>
    <row r="15">
      <c r="A15" s="8" t="inlineStr">
        <is>
          <t>ضریب حجم تولید و فروش</t>
        </is>
      </c>
      <c r="D15" s="55">
        <f>'IN_SCEN'!$D$13</f>
        <v/>
      </c>
      <c r="E15" s="55">
        <f>'IN_SCEN'!$E$13</f>
        <v/>
      </c>
      <c r="F15" s="55">
        <f>'IN_SCEN'!$F$13</f>
        <v/>
      </c>
    </row>
    <row r="16">
      <c r="A16" s="8" t="inlineStr">
        <is>
          <t>ضریب قیمت فروش محصولات</t>
        </is>
      </c>
      <c r="D16" s="55">
        <f>'IN_SCEN'!$D$14</f>
        <v/>
      </c>
      <c r="E16" s="55">
        <f>'IN_SCEN'!$E$14</f>
        <v/>
      </c>
      <c r="F16" s="55">
        <f>'IN_SCEN'!$F$14</f>
        <v/>
      </c>
    </row>
    <row r="17">
      <c r="A17" s="8" t="inlineStr">
        <is>
          <t>ضریب قیمت خرید باتری ضایعاتی</t>
        </is>
      </c>
      <c r="D17" s="55">
        <f>'IN_SCEN'!$D$15</f>
        <v/>
      </c>
      <c r="E17" s="55">
        <f>'IN_SCEN'!$E$15</f>
        <v/>
      </c>
      <c r="F17" s="55">
        <f>'IN_SCEN'!$F$15</f>
        <v/>
      </c>
    </row>
    <row r="18">
      <c r="A18" s="8" t="inlineStr">
        <is>
          <t>ضریب سایر هزینه‌های متغیر</t>
        </is>
      </c>
      <c r="D18" s="55">
        <f>'IN_SCEN'!$D$16</f>
        <v/>
      </c>
      <c r="E18" s="55">
        <f>'IN_SCEN'!$E$16</f>
        <v/>
      </c>
      <c r="F18" s="55">
        <f>'IN_SCEN'!$F$16</f>
        <v/>
      </c>
    </row>
    <row r="19">
      <c r="A19" s="8" t="inlineStr">
        <is>
          <t>ضریب هزینه‌های ثابت</t>
        </is>
      </c>
      <c r="D19" s="55">
        <f>'IN_SCEN'!$D$17</f>
        <v/>
      </c>
      <c r="E19" s="55">
        <f>'IN_SCEN'!$E$17</f>
        <v/>
      </c>
      <c r="F19" s="55">
        <f>'IN_SCEN'!$F$17</f>
        <v/>
      </c>
    </row>
    <row r="20">
      <c r="A20" s="8" t="inlineStr">
        <is>
          <t>ضریب سرمایه‌گذاری ثابت</t>
        </is>
      </c>
      <c r="D20" s="55">
        <f>'IN_SCEN'!$D$18</f>
        <v/>
      </c>
      <c r="E20" s="55">
        <f>'IN_SCEN'!$E$18</f>
        <v/>
      </c>
      <c r="F20" s="55">
        <f>'IN_SCEN'!$F$18</f>
        <v/>
      </c>
    </row>
    <row r="21">
      <c r="A21" s="8" t="inlineStr">
        <is>
          <t>ضریب نرخ ارز</t>
        </is>
      </c>
      <c r="D21" s="55">
        <f>'IN_SCEN'!$D$19</f>
        <v/>
      </c>
      <c r="E21" s="55">
        <f>'IN_SCEN'!$E$19</f>
        <v/>
      </c>
      <c r="F21" s="55">
        <f>'IN_SCEN'!$F$19</f>
        <v/>
      </c>
    </row>
    <row r="22">
      <c r="A22" s="8" t="inlineStr">
        <is>
          <t>تعدیل نرخ تنزیل</t>
        </is>
      </c>
      <c r="D22" s="53">
        <f>'IN_SCEN'!$D$20</f>
        <v/>
      </c>
      <c r="E22" s="53">
        <f>'IN_SCEN'!$E$20</f>
        <v/>
      </c>
      <c r="F22" s="53">
        <f>'IN_SCEN'!$F$20</f>
        <v/>
      </c>
    </row>
    <row r="23">
      <c r="A23" s="8" t="inlineStr">
        <is>
          <t>تعدیل نرخ سود تسهیلات</t>
        </is>
      </c>
      <c r="D23" s="53">
        <f>'IN_SCEN'!$D$21</f>
        <v/>
      </c>
      <c r="E23" s="53">
        <f>'IN_SCEN'!$E$21</f>
        <v/>
      </c>
      <c r="F23" s="53">
        <f>'IN_SCEN'!$F$21</f>
        <v/>
      </c>
    </row>
    <row r="24"/>
    <row r="25">
      <c r="A25" s="4" t="inlineStr">
        <is>
          <t>ج) مفروضات کلیدی سناریوی فعال</t>
        </is>
      </c>
      <c r="B25" s="5" t="n"/>
      <c r="C25" s="5" t="n"/>
      <c r="D25" s="5" t="n"/>
      <c r="E25" s="5" t="n"/>
      <c r="F25" s="5" t="n"/>
      <c r="G25" s="5" t="n"/>
      <c r="H25" s="5" t="n"/>
      <c r="I25" s="5" t="n"/>
      <c r="J25" s="5" t="n"/>
      <c r="K25" s="5" t="n"/>
      <c r="L25" s="5" t="n"/>
      <c r="M25" s="5" t="n"/>
      <c r="N25" s="5" t="n"/>
      <c r="O25" s="5" t="n"/>
      <c r="P25" s="5" t="n"/>
      <c r="Q25" s="5" t="n"/>
    </row>
    <row r="26">
      <c r="A26" s="8" t="inlineStr">
        <is>
          <t>ظرفیت اسمی ورودی (تن/سال)</t>
        </is>
      </c>
      <c r="D26" s="52">
        <f>'IN_TECH'!$D$8</f>
        <v/>
      </c>
    </row>
    <row r="27">
      <c r="A27" s="8" t="inlineStr">
        <is>
          <t>قیمت پایهٔ شمش سرب (میلیون ریال/تن)</t>
        </is>
      </c>
      <c r="D27" s="54">
        <f>'IN_SALES'!$D$10</f>
        <v/>
      </c>
    </row>
    <row r="28">
      <c r="A28" s="8" t="inlineStr">
        <is>
          <t>قیمت خرید باتری ضایعاتی (میلیون ریال/تن)</t>
        </is>
      </c>
      <c r="D28" s="54">
        <f>'IN_COST'!$F$33</f>
        <v/>
      </c>
    </row>
    <row r="29">
      <c r="A29" s="8" t="inlineStr">
        <is>
          <t>جمع سرمایه‌گذاری ثابت (میلیون ریال)</t>
        </is>
      </c>
      <c r="D29" s="52">
        <f>SUM('ENG_CAPEX'!$D$21:$P$21)</f>
        <v/>
      </c>
    </row>
    <row r="30">
      <c r="A30" s="8" t="inlineStr">
        <is>
          <t>سهم تسهیلات</t>
        </is>
      </c>
      <c r="D30" s="53">
        <f>'IN_FIN'!$D$24</f>
        <v/>
      </c>
    </row>
    <row r="31">
      <c r="A31" s="8" t="inlineStr">
        <is>
          <t>نرخ سود تسهیلات</t>
        </is>
      </c>
      <c r="D31" s="53">
        <f>'IN_FIN'!$D$25</f>
        <v/>
      </c>
    </row>
    <row r="32">
      <c r="A32" s="8" t="inlineStr">
        <is>
          <t>نرخ مالیات</t>
        </is>
      </c>
      <c r="D32" s="53">
        <f>'IN_MACRO'!$D$14</f>
        <v/>
      </c>
    </row>
    <row r="33">
      <c r="A33" s="8" t="inlineStr">
        <is>
          <t>WACC میانگین</t>
        </is>
      </c>
      <c r="D33" s="53">
        <f>AVERAGE('ENG_DCF'!$D$14:$P$14)</f>
        <v/>
      </c>
    </row>
    <row r="34">
      <c r="A34" s="8" t="inlineStr">
        <is>
          <t>روش ارزش پایانی</t>
        </is>
      </c>
      <c r="D34" s="56">
        <f>IF('IN_MACRO'!$D$19=1,"رشد دائمی","ضریب خروج")</f>
        <v/>
      </c>
    </row>
    <row r="35"/>
    <row r="36">
      <c r="A36" s="4" t="inlineStr">
        <is>
          <t>د) جمع‌بندی</t>
        </is>
      </c>
      <c r="B36" s="5" t="n"/>
      <c r="C36" s="5" t="n"/>
      <c r="D36" s="5" t="n"/>
      <c r="E36" s="5" t="n"/>
      <c r="F36" s="5" t="n"/>
      <c r="G36" s="5" t="n"/>
      <c r="H36" s="5" t="n"/>
      <c r="I36" s="5" t="n"/>
      <c r="J36" s="5" t="n"/>
      <c r="K36" s="5" t="n"/>
      <c r="L36" s="5" t="n"/>
      <c r="M36" s="5" t="n"/>
      <c r="N36" s="5" t="n"/>
      <c r="O36" s="5" t="n"/>
      <c r="P36" s="5" t="n"/>
      <c r="Q36" s="5" t="n"/>
    </row>
    <row r="37">
      <c r="A37" s="7" t="inlineStr">
        <is>
          <t>مدل با معماری سه‌لایهٔ «ورودی ← موتور محاسبات ← خروجی» ساخته شده است؛</t>
        </is>
      </c>
    </row>
    <row r="38">
      <c r="A38" s="7" t="inlineStr">
        <is>
          <t>تغییر هر مفروضات فقط در هفت شیت ورودی انجام می‌شود و اثر آن به‌صورت زنجیره‌ای</t>
        </is>
      </c>
    </row>
    <row r="39">
      <c r="A39" s="7" t="inlineStr">
        <is>
          <t>در هزینه‌ها، سرمایه در گردش، FCF، DCF، NPV و IRR منعکس می‌گردد.</t>
        </is>
      </c>
    </row>
    <row r="40">
      <c r="A40" s="7" t="inlineStr">
        <is>
          <t>مدل تفصیلی برای سناریوی فعال اجرا می‌شود و خلاصهٔ سه سناریو با مدل سایهٔ</t>
        </is>
      </c>
    </row>
    <row r="41">
      <c r="A41" s="7" t="inlineStr">
        <is>
          <t>نسبت‌محور (فرمول‌محور، بدون عدد ثابت) ارائه شده است.</t>
        </is>
      </c>
    </row>
  </sheetData>
  <pageMargins left="0.75" right="0.75" top="1" bottom="1" header="0.5" footer="0.5"/>
</worksheet>
</file>

<file path=xl/worksheets/sheet24.xml><?xml version="1.0" encoding="utf-8"?>
<worksheet xmlns="http://schemas.openxmlformats.org/spreadsheetml/2006/main">
  <sheetPr>
    <tabColor rgb="00C00000"/>
    <outlinePr summaryBelow="1" summaryRight="1"/>
    <pageSetUpPr/>
  </sheetPr>
  <dimension ref="A1:C17"/>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60"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کنترل‌های سلامت مدل</t>
        </is>
      </c>
      <c r="B1" s="2" t="inlineStr">
        <is>
          <t>کنترل</t>
        </is>
      </c>
    </row>
    <row r="2">
      <c r="A2" s="3" t="inlineStr">
        <is>
          <t>بررسی خودکار سازگاری مفروضات، تراز جرمی، ترازنامه‌ای و تعهدات مالی.</t>
        </is>
      </c>
    </row>
    <row r="3"/>
    <row r="4"/>
    <row r="5">
      <c r="A5" s="9" t="inlineStr">
        <is>
          <t>کنترل</t>
        </is>
      </c>
      <c r="B5" s="9" t="inlineStr">
        <is>
          <t>مقدار</t>
        </is>
      </c>
      <c r="C5" s="9" t="inlineStr">
        <is>
          <t>وضعیت</t>
        </is>
      </c>
    </row>
    <row r="6">
      <c r="A6" s="57" t="inlineStr">
        <is>
          <t>جمع سهم‌های جرمی باتری برابر یک</t>
        </is>
      </c>
      <c r="B6" s="58">
        <f>SUM('IN_TECH'!$D$27,'IN_TECH'!$D$28,'IN_TECH'!$D$29,'IN_TECH'!$D$30,'IN_TECH'!$D$31)</f>
        <v/>
      </c>
      <c r="C6" s="59">
        <f>IF(ABS(B6-1)&lt;0.0001,"سالم","هشدار")</f>
        <v/>
      </c>
    </row>
    <row r="7">
      <c r="A7" s="57" t="inlineStr">
        <is>
          <t>جمع سهم‌های محصول (سرب خالص + آلیاژ) برابر یک</t>
        </is>
      </c>
      <c r="B7" s="58">
        <f>'IN_TECH'!$D$23+'IN_TECH'!$D$24</f>
        <v/>
      </c>
      <c r="C7" s="59">
        <f>IF(ABS(B7-1)&lt;0.0001,"سالم","هشدار")</f>
        <v/>
      </c>
    </row>
    <row r="8">
      <c r="A8" s="57" t="inlineStr">
        <is>
          <t>جمع برنامه تزریق CAPEX هر طبقه برابر یک</t>
        </is>
      </c>
      <c r="B8" s="58">
        <f>MIN(SUM('IN_FIN'!$J$9:$L$9),SUM('IN_FIN'!$J$10:$L$10),SUM('IN_FIN'!$J$11:$L$11),SUM('IN_FIN'!$J$12:$L$12),SUM('IN_FIN'!$J$13:$L$13),SUM('IN_FIN'!$J$14:$L$14),SUM('IN_FIN'!$J$15:$L$15),SUM('IN_FIN'!$J$16:$L$16),SUM('IN_FIN'!$J$17:$L$17),SUM('IN_FIN'!$J$18:$L$18),SUM('IN_FIN'!$J$19:$L$19))</f>
        <v/>
      </c>
      <c r="C8" s="59">
        <f>IF(ABS(B8-1)&lt;0.0001,"سالم","هشدار")</f>
        <v/>
      </c>
    </row>
    <row r="9">
      <c r="A9" s="57" t="inlineStr">
        <is>
          <t>بیشترین قدرمطلقِ کنترل ترازنامه برابر صفر</t>
        </is>
      </c>
      <c r="B9" s="50">
        <f>MAX(ABS('ENG_FCF'!$D$70),ABS('ENG_FCF'!$E$70),ABS('ENG_FCF'!$F$70),ABS('ENG_FCF'!$G$70),ABS('ENG_FCF'!$H$70),ABS('ENG_FCF'!$I$70),ABS('ENG_FCF'!$J$70),ABS('ENG_FCF'!$K$70),ABS('ENG_FCF'!$L$70),ABS('ENG_FCF'!$M$70),ABS('ENG_FCF'!$N$70),ABS('ENG_FCF'!$O$70),ABS('ENG_FCF'!$P$70))</f>
        <v/>
      </c>
      <c r="C9" s="59">
        <f>IF(B9&lt;1,"سالم","هشدار")</f>
        <v/>
      </c>
    </row>
    <row r="10">
      <c r="A10" s="57" t="inlineStr">
        <is>
          <t>تراز جرمی: ضایعات نامنفی</t>
        </is>
      </c>
      <c r="B10" s="50">
        <f>MIN('ENG_OPS'!$D$44,'ENG_OPS'!$E$44,'ENG_OPS'!$F$44,'ENG_OPS'!$G$44,'ENG_OPS'!$H$44,'ENG_OPS'!$I$44,'ENG_OPS'!$J$44,'ENG_OPS'!$K$44,'ENG_OPS'!$L$44,'ENG_OPS'!$M$44,'ENG_OPS'!$N$44,'ENG_OPS'!$O$44,'ENG_OPS'!$P$44)</f>
        <v/>
      </c>
      <c r="C10" s="59">
        <f>IF(B10&gt;=-0.0001,"سالم","هشدار")</f>
        <v/>
      </c>
    </row>
    <row r="11">
      <c r="A11" s="57" t="inlineStr">
        <is>
          <t>بارگذاری گلوگاه حداکثر ۱۰۰٪</t>
        </is>
      </c>
      <c r="B11" s="60">
        <f>MAX('ENG_OPS'!$D$59,'ENG_OPS'!$E$59,'ENG_OPS'!$F$59,'ENG_OPS'!$G$59,'ENG_OPS'!$H$59,'ENG_OPS'!$I$59,'ENG_OPS'!$J$59,'ENG_OPS'!$K$59,'ENG_OPS'!$L$59,'ENG_OPS'!$M$59,'ENG_OPS'!$N$59,'ENG_OPS'!$O$59,'ENG_OPS'!$P$59)</f>
        <v/>
      </c>
      <c r="C11" s="59">
        <f>IF(B11&lt;=1.0001,"سالم","هشدار")</f>
        <v/>
      </c>
    </row>
    <row r="12">
      <c r="A12" s="57" t="inlineStr">
        <is>
          <t>مانده نقد هیچ دوره‌ای منفی نیست</t>
        </is>
      </c>
      <c r="B12" s="50">
        <f>MIN('ENG_FCF'!$D$56,'ENG_FCF'!$E$56,'ENG_FCF'!$F$56,'ENG_FCF'!$G$56,'ENG_FCF'!$H$56,'ENG_FCF'!$I$56,'ENG_FCF'!$J$56,'ENG_FCF'!$K$56,'ENG_FCF'!$L$56,'ENG_FCF'!$M$56,'ENG_FCF'!$N$56,'ENG_FCF'!$O$56,'ENG_FCF'!$P$56)</f>
        <v/>
      </c>
      <c r="C12" s="59">
        <f>IF(B12&gt;=-0.0001,"سالم","هشدار")</f>
        <v/>
      </c>
    </row>
    <row r="13">
      <c r="A13" s="57" t="inlineStr">
        <is>
          <t>حداقل DSCR دوره بازپرداخت بالاتر از حد قراردادی</t>
        </is>
      </c>
      <c r="B13" s="58">
        <f>IFERROR(IF(COUNT('ENG_FCF'!$D$44:$P$44)=0,NA(),MIN('ENG_FCF'!$D$44:$P$44)),NA())</f>
        <v/>
      </c>
      <c r="C13" s="59">
        <f>IF(B13&gt;='IN_FIN'!$D$32,"سالم","هشدار")</f>
        <v/>
      </c>
    </row>
    <row r="14">
      <c r="A14" s="57" t="inlineStr">
        <is>
          <t>WACC بزرگ‌تر از نرخ رشد دائمی (روش گوردون)</t>
        </is>
      </c>
      <c r="B14" s="60">
        <f>AVERAGE('ENG_DCF'!$D$14:$P$14)-'IN_MACRO'!$D$18</f>
        <v/>
      </c>
      <c r="C14" s="59">
        <f>IF(OR('IN_MACRO'!$D$19&lt;&gt;1,B14&gt;0),"سالم","هشدار")</f>
        <v/>
      </c>
    </row>
    <row r="15">
      <c r="A15" s="57" t="inlineStr">
        <is>
          <t>ارزش دفتری دارایی‌ها نامنفی</t>
        </is>
      </c>
      <c r="B15" s="50">
        <f>MIN('ENG_CAPEX'!$D$84,'ENG_CAPEX'!$E$84,'ENG_CAPEX'!$F$84,'ENG_CAPEX'!$G$84,'ENG_CAPEX'!$H$84,'ENG_CAPEX'!$I$84,'ENG_CAPEX'!$J$84,'ENG_CAPEX'!$K$84,'ENG_CAPEX'!$L$84,'ENG_CAPEX'!$M$84,'ENG_CAPEX'!$N$84,'ENG_CAPEX'!$O$84,'ENG_CAPEX'!$P$84)</f>
        <v/>
      </c>
      <c r="C15" s="59">
        <f>IF(B15&gt;=-0.0001,"سالم","هشدار")</f>
        <v/>
      </c>
    </row>
    <row r="16"/>
    <row r="17">
      <c r="A17" s="7" t="inlineStr">
        <is>
          <t>بررسی «نبود فرمول در شیت‌های ورودی» و «یک‌طرفه بودن جریان ارجاع‌ها» توسط اسکریپت validate_workbook.py در زمان ساخت انجام می‌شود.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2026-10-07T00:51:45Z</dcterms:created>
  <dcterms:modified xsi:type="dcterms:W3CDTF">2026-10-07T00:51:45Z</dcterms:modified>
</cp:coreProperties>
</file>