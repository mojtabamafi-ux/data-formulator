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_MACRO" sheetId="1" state="visible" r:id="rId1"/>
    <sheet name="IN_TECH" sheetId="2" state="visible" r:id="rId2"/>
    <sheet name="IN_SALES" sheetId="3" state="visible" r:id="rId3"/>
    <sheet name="IN_COST" sheetId="4" state="visible" r:id="rId4"/>
    <sheet name="IN_WC" sheetId="5" state="visible" r:id="rId5"/>
    <sheet name="IN_FIN" sheetId="6" state="visible" r:id="rId6"/>
    <sheet name="IN_SCE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#,##0.000"/>
  </numFmts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595959"/>
      <sz val="9"/>
    </font>
    <font>
      <i val="1"/>
      <color rgb="00595959"/>
      <sz val="9"/>
    </font>
    <font>
      <b val="1"/>
      <sz val="9"/>
    </font>
    <font>
      <b val="1"/>
      <color rgb="001F3864"/>
      <sz val="11"/>
    </font>
    <font>
      <name val="Consolas"/>
      <color rgb="00404040"/>
      <sz val="9"/>
    </font>
    <font>
      <color rgb="00808080"/>
      <sz val="9"/>
    </font>
    <font>
      <i val="1"/>
      <color rgb="007F7F7F"/>
      <sz val="9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center"/>
    </xf>
    <xf numFmtId="1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8" fillId="0" borderId="0" applyAlignment="1" pivotButton="0" quotePrefix="0" xfId="0">
      <alignment/>
    </xf>
    <xf numFmtId="0" fontId="4" fillId="2" borderId="1" pivotButton="0" quotePrefix="0" xfId="0"/>
    <xf numFmtId="10" fontId="0" fillId="0" borderId="0" pivotButton="0" quotePrefix="0" xfId="0"/>
    <xf numFmtId="3" fontId="0" fillId="4" borderId="1" pivotButton="0" quotePrefix="0" xfId="0"/>
    <xf numFmtId="0" fontId="7" fillId="0" borderId="0" pivotButton="0" quotePrefix="0" xfId="0"/>
    <xf numFmtId="0" fontId="0" fillId="4" borderId="1" pivotButton="0" quotePrefix="0" xfId="0"/>
    <xf numFmtId="166" fontId="0" fillId="4" borderId="1" pivotButton="0" quotePrefix="0" xfId="0"/>
    <xf numFmtId="164" fontId="0" fillId="4" borderId="1" pivotButton="0" quotePrefix="0" xfId="0"/>
    <xf numFmtId="4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P40"/>
  <sheetViews>
    <sheetView rightToLeft="1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۱. فرضیات کلان اقتصادی</t>
        </is>
      </c>
      <c r="B1" s="2" t="inlineStr">
        <is>
          <t>لایه ورودی</t>
        </is>
      </c>
    </row>
    <row r="2">
      <c r="A2" s="3" t="inlineStr">
        <is>
          <t>تمام مفروضات اقتصاد کلان در این شیت وارد می‌شود؛ هیچ فرمولی مجاز نیست. واحد پول مدل: میلیون ریال.</t>
        </is>
      </c>
    </row>
    <row r="3"/>
    <row r="4"/>
    <row r="5"/>
    <row r="6"/>
    <row r="7">
      <c r="A7" s="4" t="inlineStr">
        <is>
          <t>دوره (t)</t>
        </is>
      </c>
      <c r="D7" s="5" t="n">
        <v>0</v>
      </c>
      <c r="E7" s="5" t="n">
        <v>1</v>
      </c>
      <c r="F7" s="5" t="n">
        <v>2</v>
      </c>
      <c r="G7" s="5" t="n">
        <v>3</v>
      </c>
      <c r="H7" s="5" t="n">
        <v>4</v>
      </c>
      <c r="I7" s="5" t="n">
        <v>5</v>
      </c>
      <c r="J7" s="5" t="n">
        <v>6</v>
      </c>
      <c r="K7" s="5" t="n">
        <v>7</v>
      </c>
      <c r="L7" s="5" t="n">
        <v>8</v>
      </c>
      <c r="M7" s="5" t="n">
        <v>9</v>
      </c>
      <c r="N7" s="5" t="n">
        <v>10</v>
      </c>
      <c r="O7" s="5" t="n">
        <v>11</v>
      </c>
      <c r="P7" s="5" t="n">
        <v>12</v>
      </c>
    </row>
    <row r="8">
      <c r="A8" s="4" t="inlineStr">
        <is>
          <t>سال تقویمی</t>
        </is>
      </c>
      <c r="D8" s="5" t="n">
        <v>2026</v>
      </c>
      <c r="E8" s="5" t="n">
        <v>2027</v>
      </c>
      <c r="F8" s="5" t="n">
        <v>2028</v>
      </c>
      <c r="G8" s="5" t="n">
        <v>2029</v>
      </c>
      <c r="H8" s="5" t="n">
        <v>2030</v>
      </c>
      <c r="I8" s="5" t="n">
        <v>2031</v>
      </c>
      <c r="J8" s="5" t="n">
        <v>2032</v>
      </c>
      <c r="K8" s="5" t="n">
        <v>2033</v>
      </c>
      <c r="L8" s="5" t="n">
        <v>2034</v>
      </c>
      <c r="M8" s="5" t="n">
        <v>2035</v>
      </c>
      <c r="N8" s="5" t="n">
        <v>2036</v>
      </c>
      <c r="O8" s="5" t="n">
        <v>2037</v>
      </c>
      <c r="P8" s="5" t="n">
        <v>2038</v>
      </c>
    </row>
    <row r="9">
      <c r="A9" s="6" t="inlineStr">
        <is>
          <t>الف) پارامترهای کنترلی و ثابت مدل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</row>
    <row r="10">
      <c r="A10" t="inlineStr">
        <is>
          <t>سال شروع مدل (میلادی)</t>
        </is>
      </c>
      <c r="B10" s="8" t="inlineStr">
        <is>
          <t>MAC.start_year</t>
        </is>
      </c>
      <c r="C10" s="9" t="inlineStr">
        <is>
          <t>سال</t>
        </is>
      </c>
      <c r="D10" s="10" t="n">
        <v>2026</v>
      </c>
    </row>
    <row r="11">
      <c r="A11" t="inlineStr">
        <is>
          <t>افق مدل (سال بهره‌برداری)</t>
        </is>
      </c>
      <c r="B11" s="8" t="inlineStr">
        <is>
          <t>MAC.horizon</t>
        </is>
      </c>
      <c r="C11" s="9" t="inlineStr">
        <is>
          <t>سال</t>
        </is>
      </c>
      <c r="D11" s="10" t="n">
        <v>12</v>
      </c>
    </row>
    <row r="12">
      <c r="A12" t="inlineStr">
        <is>
          <t>شاخص سال آغاز بهره‌برداری (t)</t>
        </is>
      </c>
      <c r="B12" s="8" t="inlineStr">
        <is>
          <t>MAC.ops_start</t>
        </is>
      </c>
      <c r="C12" s="9" t="inlineStr">
        <is>
          <t>شاخص</t>
        </is>
      </c>
      <c r="D12" s="10" t="n">
        <v>1</v>
      </c>
    </row>
    <row r="13">
      <c r="A13" t="inlineStr">
        <is>
          <t>شاخص سال پایان دوره ساخت (t)</t>
        </is>
      </c>
      <c r="B13" s="8" t="inlineStr">
        <is>
          <t>MAC.constr_end</t>
        </is>
      </c>
      <c r="C13" s="9" t="inlineStr">
        <is>
          <t>شاخص</t>
        </is>
      </c>
      <c r="D13" s="10" t="n">
        <v>1</v>
      </c>
    </row>
    <row r="14">
      <c r="A14" t="inlineStr">
        <is>
          <t>نرخ مالیات بر درآمد</t>
        </is>
      </c>
      <c r="B14" s="8" t="inlineStr">
        <is>
          <t>MAC.tax</t>
        </is>
      </c>
      <c r="C14" s="9" t="inlineStr">
        <is>
          <t>درصد</t>
        </is>
      </c>
      <c r="D14" s="11" t="n">
        <v>0.2</v>
      </c>
    </row>
    <row r="15">
      <c r="A15" t="inlineStr">
        <is>
          <t>صرف ریسک بازار سهام (ERP)</t>
        </is>
      </c>
      <c r="B15" s="8" t="inlineStr">
        <is>
          <t>MAC.erp</t>
        </is>
      </c>
      <c r="C15" s="9" t="inlineStr">
        <is>
          <t>درصد</t>
        </is>
      </c>
      <c r="D15" s="11" t="n">
        <v>0.06</v>
      </c>
    </row>
    <row r="16">
      <c r="A16" t="inlineStr">
        <is>
          <t>بتای سهام</t>
        </is>
      </c>
      <c r="B16" s="8" t="inlineStr">
        <is>
          <t>MAC.beta</t>
        </is>
      </c>
      <c r="C16" s="9" t="inlineStr">
        <is>
          <t>ضریب</t>
        </is>
      </c>
      <c r="D16" s="12" t="n">
        <v>1.15</v>
      </c>
    </row>
    <row r="17">
      <c r="A17" t="inlineStr">
        <is>
          <t>صرف ریسک کشور (CRP)</t>
        </is>
      </c>
      <c r="B17" s="8" t="inlineStr">
        <is>
          <t>MAC.crp</t>
        </is>
      </c>
      <c r="C17" s="9" t="inlineStr">
        <is>
          <t>درصد</t>
        </is>
      </c>
      <c r="D17" s="11" t="n">
        <v>0.04</v>
      </c>
    </row>
    <row r="18">
      <c r="A18" t="inlineStr">
        <is>
          <t>نرخ رشد دائمی اسمی</t>
        </is>
      </c>
      <c r="B18" s="8" t="inlineStr">
        <is>
          <t>MAC.g_term</t>
        </is>
      </c>
      <c r="C18" s="9" t="inlineStr">
        <is>
          <t>درصد</t>
        </is>
      </c>
      <c r="D18" s="11" t="n">
        <v>0.18</v>
      </c>
    </row>
    <row r="19">
      <c r="A19" t="inlineStr">
        <is>
          <t>روش ارزش پایانی (1=گوردون/2=ضریب خروج)</t>
        </is>
      </c>
      <c r="B19" s="8" t="inlineStr">
        <is>
          <t>MAC.tv_method</t>
        </is>
      </c>
      <c r="C19" s="9" t="inlineStr">
        <is>
          <t>1/2</t>
        </is>
      </c>
      <c r="D19" s="10" t="n">
        <v>2</v>
      </c>
    </row>
    <row r="20">
      <c r="A20" t="inlineStr">
        <is>
          <t>ضریب خروج (EV/EBITDA)</t>
        </is>
      </c>
      <c r="B20" s="8" t="inlineStr">
        <is>
          <t>MAC.exit_mult</t>
        </is>
      </c>
      <c r="C20" s="9" t="inlineStr">
        <is>
          <t>ضریب</t>
        </is>
      </c>
      <c r="D20" s="13" t="n">
        <v>6</v>
      </c>
    </row>
    <row r="21"/>
    <row r="22">
      <c r="A22" s="6" t="inlineStr">
        <is>
          <t>ب) مسیرهای سالانهٔ اقتصاد کلان (ورودی عددی)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t="inlineStr">
        <is>
          <t>شاخص دوره (t)</t>
        </is>
      </c>
      <c r="B23" s="8" t="inlineStr">
        <is>
          <t>MAC.t</t>
        </is>
      </c>
      <c r="C23" s="9" t="inlineStr">
        <is>
          <t>شاخص</t>
        </is>
      </c>
      <c r="D23" s="10" t="n">
        <v>0</v>
      </c>
      <c r="E23" s="10" t="n">
        <v>1</v>
      </c>
      <c r="F23" s="10" t="n">
        <v>2</v>
      </c>
      <c r="G23" s="10" t="n">
        <v>3</v>
      </c>
      <c r="H23" s="10" t="n">
        <v>4</v>
      </c>
      <c r="I23" s="10" t="n">
        <v>5</v>
      </c>
      <c r="J23" s="10" t="n">
        <v>6</v>
      </c>
      <c r="K23" s="10" t="n">
        <v>7</v>
      </c>
      <c r="L23" s="10" t="n">
        <v>8</v>
      </c>
      <c r="M23" s="10" t="n">
        <v>9</v>
      </c>
      <c r="N23" s="10" t="n">
        <v>10</v>
      </c>
      <c r="O23" s="10" t="n">
        <v>11</v>
      </c>
      <c r="P23" s="10" t="n">
        <v>12</v>
      </c>
    </row>
    <row r="24">
      <c r="A24" t="inlineStr">
        <is>
          <t>سال تقویمی</t>
        </is>
      </c>
      <c r="B24" s="8" t="inlineStr">
        <is>
          <t>MAC.year</t>
        </is>
      </c>
      <c r="C24" s="9" t="inlineStr">
        <is>
          <t>سال</t>
        </is>
      </c>
      <c r="D24" s="10" t="n">
        <v>2026</v>
      </c>
      <c r="E24" s="10" t="n">
        <v>2027</v>
      </c>
      <c r="F24" s="10" t="n">
        <v>2028</v>
      </c>
      <c r="G24" s="10" t="n">
        <v>2029</v>
      </c>
      <c r="H24" s="10" t="n">
        <v>2030</v>
      </c>
      <c r="I24" s="10" t="n">
        <v>2031</v>
      </c>
      <c r="J24" s="10" t="n">
        <v>2032</v>
      </c>
      <c r="K24" s="10" t="n">
        <v>2033</v>
      </c>
      <c r="L24" s="10" t="n">
        <v>2034</v>
      </c>
      <c r="M24" s="10" t="n">
        <v>2035</v>
      </c>
      <c r="N24" s="10" t="n">
        <v>2036</v>
      </c>
      <c r="O24" s="10" t="n">
        <v>2037</v>
      </c>
      <c r="P24" s="10" t="n">
        <v>2038</v>
      </c>
    </row>
    <row r="25">
      <c r="A25" t="inlineStr">
        <is>
          <t>نرخ تورم عمومی</t>
        </is>
      </c>
      <c r="B25" s="8" t="inlineStr">
        <is>
          <t>MAC.infl</t>
        </is>
      </c>
      <c r="C25" s="9" t="inlineStr">
        <is>
          <t>درصد</t>
        </is>
      </c>
      <c r="D25" s="11" t="n">
        <v>0.25</v>
      </c>
      <c r="E25" s="11" t="n">
        <v>0.25</v>
      </c>
      <c r="F25" s="11" t="n">
        <v>0.23</v>
      </c>
      <c r="G25" s="11" t="n">
        <v>0.22</v>
      </c>
      <c r="H25" s="11" t="n">
        <v>0.2</v>
      </c>
      <c r="I25" s="11" t="n">
        <v>0.2</v>
      </c>
      <c r="J25" s="11" t="n">
        <v>0.18</v>
      </c>
      <c r="K25" s="11" t="n">
        <v>0.18</v>
      </c>
      <c r="L25" s="11" t="n">
        <v>0.16</v>
      </c>
      <c r="M25" s="11" t="n">
        <v>0.16</v>
      </c>
      <c r="N25" s="11" t="n">
        <v>0.15</v>
      </c>
      <c r="O25" s="11" t="n">
        <v>0.15</v>
      </c>
      <c r="P25" s="11" t="n">
        <v>0.15</v>
      </c>
    </row>
    <row r="26">
      <c r="A26" t="inlineStr">
        <is>
          <t>نرخ رشد دستمزد</t>
        </is>
      </c>
      <c r="B26" s="8" t="inlineStr">
        <is>
          <t>MAC.wage</t>
        </is>
      </c>
      <c r="C26" s="9" t="inlineStr">
        <is>
          <t>درصد</t>
        </is>
      </c>
      <c r="D26" s="11" t="n">
        <v>0.27</v>
      </c>
      <c r="E26" s="11" t="n">
        <v>0.26</v>
      </c>
      <c r="F26" s="11" t="n">
        <v>0.25</v>
      </c>
      <c r="G26" s="11" t="n">
        <v>0.23</v>
      </c>
      <c r="H26" s="11" t="n">
        <v>0.22</v>
      </c>
      <c r="I26" s="11" t="n">
        <v>0.21</v>
      </c>
      <c r="J26" s="11" t="n">
        <v>0.2</v>
      </c>
      <c r="K26" s="11" t="n">
        <v>0.19</v>
      </c>
      <c r="L26" s="11" t="n">
        <v>0.18</v>
      </c>
      <c r="M26" s="11" t="n">
        <v>0.17</v>
      </c>
      <c r="N26" s="11" t="n">
        <v>0.17</v>
      </c>
      <c r="O26" s="11" t="n">
        <v>0.16</v>
      </c>
      <c r="P26" s="11" t="n">
        <v>0.16</v>
      </c>
    </row>
    <row r="27">
      <c r="A27" t="inlineStr">
        <is>
          <t>نرخ رشد قیمت حامل‌های انرژی</t>
        </is>
      </c>
      <c r="B27" s="8" t="inlineStr">
        <is>
          <t>MAC.energy</t>
        </is>
      </c>
      <c r="C27" s="9" t="inlineStr">
        <is>
          <t>درصد</t>
        </is>
      </c>
      <c r="D27" s="11" t="n">
        <v>0.3</v>
      </c>
      <c r="E27" s="11" t="n">
        <v>0.28</v>
      </c>
      <c r="F27" s="11" t="n">
        <v>0.26</v>
      </c>
      <c r="G27" s="11" t="n">
        <v>0.25</v>
      </c>
      <c r="H27" s="11" t="n">
        <v>0.23</v>
      </c>
      <c r="I27" s="11" t="n">
        <v>0.22</v>
      </c>
      <c r="J27" s="11" t="n">
        <v>0.21</v>
      </c>
      <c r="K27" s="11" t="n">
        <v>0.2</v>
      </c>
      <c r="L27" s="11" t="n">
        <v>0.2</v>
      </c>
      <c r="M27" s="11" t="n">
        <v>0.19</v>
      </c>
      <c r="N27" s="11" t="n">
        <v>0.18</v>
      </c>
      <c r="O27" s="11" t="n">
        <v>0.18</v>
      </c>
      <c r="P27" s="11" t="n">
        <v>0.18</v>
      </c>
    </row>
    <row r="28">
      <c r="A28" t="inlineStr">
        <is>
          <t>نرخ ارز (ریال به ازای دلار)</t>
        </is>
      </c>
      <c r="B28" s="8" t="inlineStr">
        <is>
          <t>MAC.fx</t>
        </is>
      </c>
      <c r="C28" s="9" t="inlineStr">
        <is>
          <t>ریال/دلار</t>
        </is>
      </c>
      <c r="D28" s="14" t="n">
        <v>500000</v>
      </c>
      <c r="E28" s="14" t="n">
        <v>620000</v>
      </c>
      <c r="F28" s="14" t="n">
        <v>760000</v>
      </c>
      <c r="G28" s="14" t="n">
        <v>930000</v>
      </c>
      <c r="H28" s="14" t="n">
        <v>1120000</v>
      </c>
      <c r="I28" s="14" t="n">
        <v>1340000</v>
      </c>
      <c r="J28" s="14" t="n">
        <v>1590000</v>
      </c>
      <c r="K28" s="14" t="n">
        <v>1870000</v>
      </c>
      <c r="L28" s="14" t="n">
        <v>2180000</v>
      </c>
      <c r="M28" s="14" t="n">
        <v>2510000</v>
      </c>
      <c r="N28" s="14" t="n">
        <v>2860000</v>
      </c>
      <c r="O28" s="14" t="n">
        <v>3230000</v>
      </c>
      <c r="P28" s="14" t="n">
        <v>3610000</v>
      </c>
    </row>
    <row r="29">
      <c r="A29" t="inlineStr">
        <is>
          <t>قیمت جهانی سرب (LME)</t>
        </is>
      </c>
      <c r="B29" s="8" t="inlineStr">
        <is>
          <t>MAC.lme</t>
        </is>
      </c>
      <c r="C29" s="9" t="inlineStr">
        <is>
          <t>دلار/تن</t>
        </is>
      </c>
      <c r="D29" s="14" t="n">
        <v>2100</v>
      </c>
      <c r="E29" s="14" t="n">
        <v>2150</v>
      </c>
      <c r="F29" s="14" t="n">
        <v>2200</v>
      </c>
      <c r="G29" s="14" t="n">
        <v>2250</v>
      </c>
      <c r="H29" s="14" t="n">
        <v>2250</v>
      </c>
      <c r="I29" s="14" t="n">
        <v>2300</v>
      </c>
      <c r="J29" s="14" t="n">
        <v>2300</v>
      </c>
      <c r="K29" s="14" t="n">
        <v>2350</v>
      </c>
      <c r="L29" s="14" t="n">
        <v>2350</v>
      </c>
      <c r="M29" s="14" t="n">
        <v>2400</v>
      </c>
      <c r="N29" s="14" t="n">
        <v>2400</v>
      </c>
      <c r="O29" s="14" t="n">
        <v>2450</v>
      </c>
      <c r="P29" s="14" t="n">
        <v>2450</v>
      </c>
    </row>
    <row r="30">
      <c r="A30" t="inlineStr">
        <is>
          <t>نرخ سود بدون ریسک اسمی</t>
        </is>
      </c>
      <c r="B30" s="8" t="inlineStr">
        <is>
          <t>MAC.rf</t>
        </is>
      </c>
      <c r="C30" s="9" t="inlineStr">
        <is>
          <t>درصد</t>
        </is>
      </c>
      <c r="D30" s="11" t="n">
        <v>0.24</v>
      </c>
      <c r="E30" s="11" t="n">
        <v>0.24</v>
      </c>
      <c r="F30" s="11" t="n">
        <v>0.23</v>
      </c>
      <c r="G30" s="11" t="n">
        <v>0.23</v>
      </c>
      <c r="H30" s="11" t="n">
        <v>0.22</v>
      </c>
      <c r="I30" s="11" t="n">
        <v>0.22</v>
      </c>
      <c r="J30" s="11" t="n">
        <v>0.21</v>
      </c>
      <c r="K30" s="11" t="n">
        <v>0.21</v>
      </c>
      <c r="L30" s="11" t="n">
        <v>0.2</v>
      </c>
      <c r="M30" s="11" t="n">
        <v>0.2</v>
      </c>
      <c r="N30" s="11" t="n">
        <v>0.2</v>
      </c>
      <c r="O30" s="11" t="n">
        <v>0.19</v>
      </c>
      <c r="P30" s="11" t="n">
        <v>0.19</v>
      </c>
    </row>
    <row r="31">
      <c r="A31" t="inlineStr">
        <is>
          <t>رشد GDP بخش هدف</t>
        </is>
      </c>
      <c r="B31" s="8" t="inlineStr">
        <is>
          <t>MAC.gdp</t>
        </is>
      </c>
      <c r="C31" s="9" t="inlineStr">
        <is>
          <t>درصد</t>
        </is>
      </c>
      <c r="D31" s="11" t="n">
        <v>0.03</v>
      </c>
      <c r="E31" s="11" t="n">
        <v>0.03</v>
      </c>
      <c r="F31" s="11" t="n">
        <v>0.035</v>
      </c>
      <c r="G31" s="11" t="n">
        <v>0.035</v>
      </c>
      <c r="H31" s="11" t="n">
        <v>0.04</v>
      </c>
      <c r="I31" s="11" t="n">
        <v>0.04</v>
      </c>
      <c r="J31" s="11" t="n">
        <v>0.04</v>
      </c>
      <c r="K31" s="11" t="n">
        <v>0.035</v>
      </c>
      <c r="L31" s="11" t="n">
        <v>0.035</v>
      </c>
      <c r="M31" s="11" t="n">
        <v>0.03</v>
      </c>
      <c r="N31" s="11" t="n">
        <v>0.03</v>
      </c>
      <c r="O31" s="11" t="n">
        <v>0.03</v>
      </c>
      <c r="P31" s="11" t="n">
        <v>0.03</v>
      </c>
    </row>
    <row r="32">
      <c r="A32" t="inlineStr">
        <is>
          <t>شاخص قیمت تولیدکننده</t>
        </is>
      </c>
      <c r="B32" s="8" t="inlineStr">
        <is>
          <t>MAC.ppi</t>
        </is>
      </c>
      <c r="C32" s="9" t="inlineStr">
        <is>
          <t>درصد</t>
        </is>
      </c>
      <c r="D32" s="11" t="n">
        <v>0.24</v>
      </c>
      <c r="E32" s="11" t="n">
        <v>0.24</v>
      </c>
      <c r="F32" s="11" t="n">
        <v>0.22</v>
      </c>
      <c r="G32" s="11" t="n">
        <v>0.21</v>
      </c>
      <c r="H32" s="11" t="n">
        <v>0.2</v>
      </c>
      <c r="I32" s="11" t="n">
        <v>0.19</v>
      </c>
      <c r="J32" s="11" t="n">
        <v>0.18</v>
      </c>
      <c r="K32" s="11" t="n">
        <v>0.18</v>
      </c>
      <c r="L32" s="11" t="n">
        <v>0.17</v>
      </c>
      <c r="M32" s="11" t="n">
        <v>0.16</v>
      </c>
      <c r="N32" s="11" t="n">
        <v>0.16</v>
      </c>
      <c r="O32" s="11" t="n">
        <v>0.15</v>
      </c>
      <c r="P32" s="11" t="n">
        <v>0.15</v>
      </c>
    </row>
    <row r="33">
      <c r="A33" t="inlineStr">
        <is>
          <t>پرچم دوره ساخت (1=بله)</t>
        </is>
      </c>
      <c r="B33" s="8" t="inlineStr">
        <is>
          <t>MAC.constr_flg</t>
        </is>
      </c>
      <c r="C33" s="9" t="inlineStr">
        <is>
          <t>1/0</t>
        </is>
      </c>
      <c r="D33" s="10" t="n">
        <v>1</v>
      </c>
      <c r="E33" s="10" t="n">
        <v>0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0" t="n">
        <v>0</v>
      </c>
      <c r="O33" s="10" t="n">
        <v>0</v>
      </c>
      <c r="P33" s="10" t="n">
        <v>0</v>
      </c>
    </row>
    <row r="34">
      <c r="A34" t="inlineStr">
        <is>
          <t>پرچم دوره بهره‌برداری (1=بله)</t>
        </is>
      </c>
      <c r="B34" s="8" t="inlineStr">
        <is>
          <t>MAC.ops_flg</t>
        </is>
      </c>
      <c r="C34" s="9" t="inlineStr">
        <is>
          <t>1/0</t>
        </is>
      </c>
      <c r="D34" s="10" t="n">
        <v>0</v>
      </c>
      <c r="E34" s="10" t="n">
        <v>1</v>
      </c>
      <c r="F34" s="10" t="n">
        <v>1</v>
      </c>
      <c r="G34" s="10" t="n">
        <v>1</v>
      </c>
      <c r="H34" s="10" t="n">
        <v>1</v>
      </c>
      <c r="I34" s="10" t="n">
        <v>1</v>
      </c>
      <c r="J34" s="10" t="n">
        <v>1</v>
      </c>
      <c r="K34" s="10" t="n">
        <v>1</v>
      </c>
      <c r="L34" s="10" t="n">
        <v>1</v>
      </c>
      <c r="M34" s="10" t="n">
        <v>1</v>
      </c>
      <c r="N34" s="10" t="n">
        <v>1</v>
      </c>
      <c r="O34" s="10" t="n">
        <v>1</v>
      </c>
      <c r="P34" s="10" t="n">
        <v>1</v>
      </c>
    </row>
    <row r="35"/>
    <row r="36">
      <c r="A36" s="6" t="inlineStr">
        <is>
          <t>ج) یادداشت‌های روش‌شناختی</t>
        </is>
      </c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</row>
    <row r="37">
      <c r="A37" s="15" t="inlineStr">
        <is>
          <t>۱. شاخص‌های قیمتی از سال پایه (t=0) ساخته می‌شوند؛ مقدار شاخص در t=0 برابر یک است.</t>
        </is>
      </c>
    </row>
    <row r="38">
      <c r="A38" s="15" t="inlineStr">
        <is>
          <t>۲. نرخ ارز به‌صورت «ریال به ازای هر دلار» وارد می‌شود و مسیر آن مبنای تعدیل اقلام ارزی است.</t>
        </is>
      </c>
    </row>
    <row r="39">
      <c r="A39" s="15" t="inlineStr">
        <is>
          <t>۳. قیمت جهانی سرب (LME) مبنای قیمت‌گذاری محصولاتِ پیوند‌خورده و نیز قیمت خرید باتری ضایعاتی است.</t>
        </is>
      </c>
    </row>
    <row r="40">
      <c r="A40" s="15" t="inlineStr">
        <is>
          <t>۴. روش ارزش پایانی: ۱=رشد دائمی (گوردون)، ۲=ضریب خروج (EV/EBITDA).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P59"/>
  <sheetViews>
    <sheetView rightToLeft="1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۲. پارامترهای فنی خط تولید (ایستگاه‌های ۱ تا ۶)</t>
        </is>
      </c>
      <c r="B1" s="2" t="inlineStr">
        <is>
          <t>لایه ورودی</t>
        </is>
      </c>
    </row>
    <row r="2">
      <c r="A2" s="3" t="inlineStr">
        <is>
          <t>ظرفیت اسمی و مؤثر، راندمان، ضایعات، زمان‌های توقف و محرک‌های تخصیص هزینه.</t>
        </is>
      </c>
    </row>
    <row r="3"/>
    <row r="4"/>
    <row r="5"/>
    <row r="6"/>
    <row r="7">
      <c r="A7" s="6" t="inlineStr">
        <is>
          <t>الف) پارامترهای سطح کارخانه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</row>
    <row r="8">
      <c r="A8" t="inlineStr">
        <is>
          <t>ظرفیت اسمی ورودی باتری</t>
        </is>
      </c>
      <c r="B8" s="8" t="inlineStr">
        <is>
          <t>TECH.cap_in</t>
        </is>
      </c>
      <c r="C8" s="9" t="inlineStr">
        <is>
          <t>تن/سال</t>
        </is>
      </c>
      <c r="D8" s="14" t="n">
        <v>40000</v>
      </c>
    </row>
    <row r="9">
      <c r="A9" t="inlineStr">
        <is>
          <t>روزهای کاری در سال</t>
        </is>
      </c>
      <c r="B9" s="8" t="inlineStr">
        <is>
          <t>TECH.days</t>
        </is>
      </c>
      <c r="C9" s="9" t="inlineStr">
        <is>
          <t>روز</t>
        </is>
      </c>
      <c r="D9" s="14" t="n">
        <v>330</v>
      </c>
    </row>
    <row r="10">
      <c r="A10" t="inlineStr">
        <is>
          <t>شیفت در روز</t>
        </is>
      </c>
      <c r="B10" s="8" t="inlineStr">
        <is>
          <t>TECH.shifts</t>
        </is>
      </c>
      <c r="C10" s="9" t="inlineStr">
        <is>
          <t>شیفت</t>
        </is>
      </c>
      <c r="D10" s="14" t="n">
        <v>3</v>
      </c>
    </row>
    <row r="11">
      <c r="A11" t="inlineStr">
        <is>
          <t>ساعت در شیفت</t>
        </is>
      </c>
      <c r="B11" s="8" t="inlineStr">
        <is>
          <t>TECH.hshift</t>
        </is>
      </c>
      <c r="C11" s="9" t="inlineStr">
        <is>
          <t>ساعت</t>
        </is>
      </c>
      <c r="D11" s="14" t="n">
        <v>8</v>
      </c>
    </row>
    <row r="12">
      <c r="A12" t="inlineStr">
        <is>
          <t>توقف برنامه‌ریزی‌شده</t>
        </is>
      </c>
      <c r="B12" s="8" t="inlineStr">
        <is>
          <t>TECH.dt_plan</t>
        </is>
      </c>
      <c r="C12" s="9" t="inlineStr">
        <is>
          <t>ساعت/سال</t>
        </is>
      </c>
      <c r="D12" s="14" t="n">
        <v>400</v>
      </c>
    </row>
    <row r="13">
      <c r="A13" t="inlineStr">
        <is>
          <t>توقف اضطراری</t>
        </is>
      </c>
      <c r="B13" s="8" t="inlineStr">
        <is>
          <t>TECH.dt_unplan</t>
        </is>
      </c>
      <c r="C13" s="9" t="inlineStr">
        <is>
          <t>ساعت/سال</t>
        </is>
      </c>
      <c r="D13" s="14" t="n">
        <v>300</v>
      </c>
    </row>
    <row r="14"/>
    <row r="15">
      <c r="A15" s="6" t="inlineStr">
        <is>
          <t>ب) عوامل بازیابی و تبدیل مواد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</row>
    <row r="16">
      <c r="A16" t="inlineStr">
        <is>
          <t>عیار سرب در خمیر</t>
        </is>
      </c>
      <c r="B16" s="8" t="inlineStr">
        <is>
          <t>TECH.pb_paste</t>
        </is>
      </c>
      <c r="C16" s="9" t="inlineStr">
        <is>
          <t>درصد</t>
        </is>
      </c>
      <c r="D16" s="11" t="n">
        <v>0.72</v>
      </c>
    </row>
    <row r="17">
      <c r="A17" t="inlineStr">
        <is>
          <t>عیار سرب در قطعات فلزی</t>
        </is>
      </c>
      <c r="B17" s="8" t="inlineStr">
        <is>
          <t>TECH.pb_metal</t>
        </is>
      </c>
      <c r="C17" s="9" t="inlineStr">
        <is>
          <t>درصد</t>
        </is>
      </c>
      <c r="D17" s="11" t="n">
        <v>0.95</v>
      </c>
    </row>
    <row r="18">
      <c r="A18" t="inlineStr">
        <is>
          <t>راندمان سولفات‌زدایی</t>
        </is>
      </c>
      <c r="B18" s="8" t="inlineStr">
        <is>
          <t>TECH.desulf</t>
        </is>
      </c>
      <c r="C18" s="9" t="inlineStr">
        <is>
          <t>درصد</t>
        </is>
      </c>
      <c r="D18" s="11" t="n">
        <v>0.95</v>
      </c>
    </row>
    <row r="19">
      <c r="A19" t="inlineStr">
        <is>
          <t>راندمان کوره ذوب و احیا</t>
        </is>
      </c>
      <c r="B19" s="8" t="inlineStr">
        <is>
          <t>TECH.smelt</t>
        </is>
      </c>
      <c r="C19" s="9" t="inlineStr">
        <is>
          <t>درصد</t>
        </is>
      </c>
      <c r="D19" s="11" t="n">
        <v>0.97</v>
      </c>
    </row>
    <row r="20">
      <c r="A20" t="inlineStr">
        <is>
          <t>راندمان تصفیه نهایی</t>
        </is>
      </c>
      <c r="B20" s="8" t="inlineStr">
        <is>
          <t>TECH.refine</t>
        </is>
      </c>
      <c r="C20" s="9" t="inlineStr">
        <is>
          <t>درصد</t>
        </is>
      </c>
      <c r="D20" s="11" t="n">
        <v>0.99</v>
      </c>
    </row>
    <row r="21">
      <c r="A21" t="inlineStr">
        <is>
          <t>راندمان بازیابی پلی‌پروپیلن</t>
        </is>
      </c>
      <c r="B21" s="8" t="inlineStr">
        <is>
          <t>TECH.pp_rec</t>
        </is>
      </c>
      <c r="C21" s="9" t="inlineStr">
        <is>
          <t>درصد</t>
        </is>
      </c>
      <c r="D21" s="11" t="n">
        <v>0.92</v>
      </c>
    </row>
    <row r="22">
      <c r="A22" t="inlineStr">
        <is>
          <t>ضریب تولید سولفات سدیم</t>
        </is>
      </c>
      <c r="B22" s="8" t="inlineStr">
        <is>
          <t>TECH.na2so4</t>
        </is>
      </c>
      <c r="C22" s="9" t="inlineStr">
        <is>
          <t>تن/تن</t>
        </is>
      </c>
      <c r="D22" s="12" t="n">
        <v>0.13</v>
      </c>
    </row>
    <row r="23">
      <c r="A23" t="inlineStr">
        <is>
          <t>سهم سرب خالص از سرب تصفیه‌شده</t>
        </is>
      </c>
      <c r="B23" s="8" t="inlineStr">
        <is>
          <t>TECH.sp_soft</t>
        </is>
      </c>
      <c r="C23" s="9" t="inlineStr">
        <is>
          <t>درصد</t>
        </is>
      </c>
      <c r="D23" s="11" t="n">
        <v>0.6</v>
      </c>
    </row>
    <row r="24">
      <c r="A24" t="inlineStr">
        <is>
          <t>سهم آلیاژ از سرب تصفیه‌شده</t>
        </is>
      </c>
      <c r="B24" s="8" t="inlineStr">
        <is>
          <t>TECH.sp_alloy</t>
        </is>
      </c>
      <c r="C24" s="9" t="inlineStr">
        <is>
          <t>درصد</t>
        </is>
      </c>
      <c r="D24" s="11" t="n">
        <v>0.4</v>
      </c>
    </row>
    <row r="25"/>
    <row r="26">
      <c r="A26" s="6" t="inlineStr">
        <is>
          <t>ج) ترکیب جرمی باتری ورودی (سهم از هر تن)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</row>
    <row r="27">
      <c r="A27" t="inlineStr">
        <is>
          <t>خمیر سرب (Paste)</t>
        </is>
      </c>
      <c r="B27" s="8" t="inlineStr">
        <is>
          <t>TECH.sh_paste</t>
        </is>
      </c>
      <c r="C27" s="9" t="inlineStr">
        <is>
          <t>درصد</t>
        </is>
      </c>
      <c r="D27" s="11" t="n">
        <v>0.38</v>
      </c>
    </row>
    <row r="28">
      <c r="A28" t="inlineStr">
        <is>
          <t>قطعات فلزی سربی (Grid / Posts)</t>
        </is>
      </c>
      <c r="B28" s="8" t="inlineStr">
        <is>
          <t>TECH.sh_metal</t>
        </is>
      </c>
      <c r="C28" s="9" t="inlineStr">
        <is>
          <t>درصد</t>
        </is>
      </c>
      <c r="D28" s="11" t="n">
        <v>0.26</v>
      </c>
    </row>
    <row r="29">
      <c r="A29" t="inlineStr">
        <is>
          <t>پلی‌پروپیلن</t>
        </is>
      </c>
      <c r="B29" s="8" t="inlineStr">
        <is>
          <t>TECH.sh_pp</t>
        </is>
      </c>
      <c r="C29" s="9" t="inlineStr">
        <is>
          <t>درصد</t>
        </is>
      </c>
      <c r="D29" s="11" t="n">
        <v>0.09</v>
      </c>
    </row>
    <row r="30">
      <c r="A30" t="inlineStr">
        <is>
          <t>الکترولیت (اسید سولفوریک)</t>
        </is>
      </c>
      <c r="B30" s="8" t="inlineStr">
        <is>
          <t>TECH.sh_elec</t>
        </is>
      </c>
      <c r="C30" s="9" t="inlineStr">
        <is>
          <t>درصد</t>
        </is>
      </c>
      <c r="D30" s="11" t="n">
        <v>0.12</v>
      </c>
    </row>
    <row r="31">
      <c r="A31" t="inlineStr">
        <is>
          <t>جداکننده‌ها و سایر پسماند</t>
        </is>
      </c>
      <c r="B31" s="8" t="inlineStr">
        <is>
          <t>TECH.sh_res</t>
        </is>
      </c>
      <c r="C31" s="9" t="inlineStr">
        <is>
          <t>درصد</t>
        </is>
      </c>
      <c r="D31" s="11" t="n">
        <v>0.15</v>
      </c>
    </row>
    <row r="32"/>
    <row r="33">
      <c r="A33" s="6" t="inlineStr">
        <is>
          <t>د) جدول پارامترهای ایستگاه‌ها</t>
        </is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</row>
    <row r="34">
      <c r="A34" t="inlineStr">
        <is>
          <t>ایستگاه</t>
        </is>
      </c>
      <c r="D34" s="16" t="inlineStr">
        <is>
          <t>S1</t>
        </is>
      </c>
      <c r="E34" s="16" t="inlineStr">
        <is>
          <t>S2</t>
        </is>
      </c>
      <c r="F34" s="16" t="inlineStr">
        <is>
          <t>S3</t>
        </is>
      </c>
      <c r="G34" s="16" t="inlineStr">
        <is>
          <t>S4</t>
        </is>
      </c>
      <c r="H34" s="16" t="inlineStr">
        <is>
          <t>S5</t>
        </is>
      </c>
      <c r="I34" s="16" t="inlineStr">
        <is>
          <t>S6</t>
        </is>
      </c>
    </row>
    <row r="35">
      <c r="D35" t="inlineStr">
        <is>
          <t>پذیرش، تخلیه و جداسازی الکترولیت</t>
        </is>
      </c>
      <c r="E35" t="inlineStr">
        <is>
          <t>خردایش و جدایش هیدرودینامیکی</t>
        </is>
      </c>
      <c r="F35" t="inlineStr">
        <is>
          <t>سولفات‌زدایی خمیر سرب</t>
        </is>
      </c>
      <c r="G35" t="inlineStr">
        <is>
          <t>کوره ذوب و احیا</t>
        </is>
      </c>
      <c r="H35" t="inlineStr">
        <is>
          <t>تصفیه و آلیاژسازی</t>
        </is>
      </c>
      <c r="I35" t="inlineStr">
        <is>
          <t>شمش‌ریزی، بسته‌بندی و انبار</t>
        </is>
      </c>
    </row>
    <row r="36">
      <c r="A36" t="inlineStr">
        <is>
          <t>ظرفیت اسمی (تن در سال)</t>
        </is>
      </c>
      <c r="B36" s="8" t="inlineStr">
        <is>
          <t>TECH.cap_yr</t>
        </is>
      </c>
      <c r="C36" s="9" t="inlineStr">
        <is>
          <t>تن/سال</t>
        </is>
      </c>
      <c r="D36" s="14" t="n">
        <v>42000</v>
      </c>
      <c r="E36" s="14" t="n">
        <v>42000</v>
      </c>
      <c r="F36" s="14" t="n">
        <v>17000</v>
      </c>
      <c r="G36" s="14" t="n">
        <v>27000</v>
      </c>
      <c r="H36" s="14" t="n">
        <v>21000</v>
      </c>
      <c r="I36" s="14" t="n">
        <v>30000</v>
      </c>
    </row>
    <row r="37">
      <c r="A37" t="inlineStr">
        <is>
          <t>ظرفیت اسمی (تن در ساعت)</t>
        </is>
      </c>
      <c r="B37" s="8" t="inlineStr">
        <is>
          <t>TECH.cap_hr</t>
        </is>
      </c>
      <c r="C37" s="9" t="inlineStr">
        <is>
          <t>تن/ساعت</t>
        </is>
      </c>
      <c r="D37" s="13" t="n">
        <v>6.5</v>
      </c>
      <c r="E37" s="13" t="n">
        <v>6.5</v>
      </c>
      <c r="F37" s="13" t="n">
        <v>2.6</v>
      </c>
      <c r="G37" s="13" t="n">
        <v>4.2</v>
      </c>
      <c r="H37" s="13" t="n">
        <v>3.3</v>
      </c>
      <c r="I37" s="13" t="n">
        <v>4.7</v>
      </c>
    </row>
    <row r="38">
      <c r="A38" t="inlineStr">
        <is>
          <t>نرخ دسترسی (Availability)</t>
        </is>
      </c>
      <c r="B38" s="8" t="inlineStr">
        <is>
          <t>TECH.avail</t>
        </is>
      </c>
      <c r="C38" s="9" t="inlineStr">
        <is>
          <t>درصد</t>
        </is>
      </c>
      <c r="D38" s="11" t="n">
        <v>0.92</v>
      </c>
      <c r="E38" s="11" t="n">
        <v>0.9</v>
      </c>
      <c r="F38" s="11" t="n">
        <v>0.93</v>
      </c>
      <c r="G38" s="11" t="n">
        <v>0.91</v>
      </c>
      <c r="H38" s="11" t="n">
        <v>0.9399999999999999</v>
      </c>
      <c r="I38" s="11" t="n">
        <v>0.95</v>
      </c>
    </row>
    <row r="39">
      <c r="A39" t="inlineStr">
        <is>
          <t>راندمان ایستگاه</t>
        </is>
      </c>
      <c r="B39" s="8" t="inlineStr">
        <is>
          <t>TECH.yield</t>
        </is>
      </c>
      <c r="C39" s="9" t="inlineStr">
        <is>
          <t>درصد</t>
        </is>
      </c>
      <c r="D39" s="17" t="n">
        <v>0.98</v>
      </c>
      <c r="E39" s="17" t="n">
        <v>0.97</v>
      </c>
      <c r="F39" s="17" t="n">
        <v>0.95</v>
      </c>
      <c r="G39" s="17" t="n">
        <v>0.97</v>
      </c>
      <c r="H39" s="17" t="n">
        <v>0.99</v>
      </c>
      <c r="I39" s="17" t="n">
        <v>0.99</v>
      </c>
    </row>
    <row r="40">
      <c r="A40" t="inlineStr">
        <is>
          <t>نرخ ضایعات / دورریز</t>
        </is>
      </c>
      <c r="B40" s="8" t="inlineStr">
        <is>
          <t>TECH.scrap</t>
        </is>
      </c>
      <c r="C40" s="9" t="inlineStr">
        <is>
          <t>درصد</t>
        </is>
      </c>
      <c r="D40" s="17" t="n">
        <v>0.005</v>
      </c>
      <c r="E40" s="17" t="n">
        <v>0.01</v>
      </c>
      <c r="F40" s="17" t="n">
        <v>0.01</v>
      </c>
      <c r="G40" s="17" t="n">
        <v>0.005</v>
      </c>
      <c r="H40" s="17" t="n">
        <v>0.005</v>
      </c>
      <c r="I40" s="17" t="n">
        <v>0.01</v>
      </c>
    </row>
    <row r="41">
      <c r="A41" t="inlineStr">
        <is>
          <t>انرژی ویژه الکتریکی</t>
        </is>
      </c>
      <c r="B41" s="8" t="inlineStr">
        <is>
          <t>TECH.kwh</t>
        </is>
      </c>
      <c r="C41" s="9" t="inlineStr">
        <is>
          <t>kWh/تن</t>
        </is>
      </c>
      <c r="D41" s="14" t="n">
        <v>8</v>
      </c>
      <c r="E41" s="14" t="n">
        <v>22</v>
      </c>
      <c r="F41" s="14" t="n">
        <v>18</v>
      </c>
      <c r="G41" s="14" t="n">
        <v>95</v>
      </c>
      <c r="H41" s="14" t="n">
        <v>40</v>
      </c>
      <c r="I41" s="14" t="n">
        <v>12</v>
      </c>
    </row>
    <row r="42">
      <c r="A42" t="inlineStr">
        <is>
          <t>آب ویژه</t>
        </is>
      </c>
      <c r="B42" s="8" t="inlineStr">
        <is>
          <t>TECH.water</t>
        </is>
      </c>
      <c r="C42" s="9" t="inlineStr">
        <is>
          <t>m3/تن</t>
        </is>
      </c>
      <c r="D42" s="12" t="n">
        <v>0.1</v>
      </c>
      <c r="E42" s="12" t="n">
        <v>0.6</v>
      </c>
      <c r="F42" s="12" t="n">
        <v>1.2</v>
      </c>
      <c r="G42" s="12" t="n">
        <v>0.25</v>
      </c>
      <c r="H42" s="12" t="n">
        <v>0.2</v>
      </c>
      <c r="I42" s="12" t="n">
        <v>0.35</v>
      </c>
    </row>
    <row r="43"/>
    <row r="44">
      <c r="A44" s="6" t="inlineStr">
        <is>
          <t>ه‍) جدول محرک‌های تخصیص هزینه به ایستگاه‌ها</t>
        </is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</row>
    <row r="45">
      <c r="A45" t="inlineStr">
        <is>
          <t>محرک / ایستگاه</t>
        </is>
      </c>
      <c r="D45" s="16" t="inlineStr">
        <is>
          <t>S1</t>
        </is>
      </c>
      <c r="E45" s="16" t="inlineStr">
        <is>
          <t>S2</t>
        </is>
      </c>
      <c r="F45" s="16" t="inlineStr">
        <is>
          <t>S3</t>
        </is>
      </c>
      <c r="G45" s="16" t="inlineStr">
        <is>
          <t>S4</t>
        </is>
      </c>
      <c r="H45" s="16" t="inlineStr">
        <is>
          <t>S5</t>
        </is>
      </c>
      <c r="I45" s="16" t="inlineStr">
        <is>
          <t>S6</t>
        </is>
      </c>
    </row>
    <row r="46">
      <c r="D46" t="inlineStr">
        <is>
          <t>پذیرش، تخلیه و جداسازی الکترولیت</t>
        </is>
      </c>
      <c r="E46" t="inlineStr">
        <is>
          <t>خردایش و جدایش هیدرودینامیکی</t>
        </is>
      </c>
      <c r="F46" t="inlineStr">
        <is>
          <t>سولفات‌زدایی خمیر سرب</t>
        </is>
      </c>
      <c r="G46" t="inlineStr">
        <is>
          <t>کوره ذوب و احیا</t>
        </is>
      </c>
      <c r="H46" t="inlineStr">
        <is>
          <t>تصفیه و آلیاژسازی</t>
        </is>
      </c>
      <c r="I46" t="inlineStr">
        <is>
          <t>شمش‌ریزی، بسته‌بندی و انبار</t>
        </is>
      </c>
    </row>
    <row r="47">
      <c r="A47" t="inlineStr">
        <is>
          <t>جریان مواد (تن/سال در ظرفیت طراحی)</t>
        </is>
      </c>
      <c r="B47" s="8" t="inlineStr">
        <is>
          <t>THROUGHPUT</t>
        </is>
      </c>
      <c r="C47" s="9" t="inlineStr">
        <is>
          <t>تن/سال</t>
        </is>
      </c>
      <c r="D47" s="14" t="n">
        <v>40000</v>
      </c>
      <c r="E47" s="14" t="n">
        <v>40000</v>
      </c>
      <c r="F47" s="14" t="n">
        <v>15200</v>
      </c>
      <c r="G47" s="14" t="n">
        <v>24840</v>
      </c>
      <c r="H47" s="14" t="n">
        <v>19700</v>
      </c>
      <c r="I47" s="14" t="n">
        <v>27900</v>
      </c>
    </row>
    <row r="48">
      <c r="A48" t="inlineStr">
        <is>
          <t>ساعت کار ماشین در سال (طراحی)</t>
        </is>
      </c>
      <c r="B48" s="8" t="inlineStr">
        <is>
          <t>MACHINE_HOURS</t>
        </is>
      </c>
      <c r="C48" s="9" t="inlineStr">
        <is>
          <t>ساعت/سال</t>
        </is>
      </c>
      <c r="D48" s="14" t="n">
        <v>6000</v>
      </c>
      <c r="E48" s="14" t="n">
        <v>7200</v>
      </c>
      <c r="F48" s="14" t="n">
        <v>6600</v>
      </c>
      <c r="G48" s="14" t="n">
        <v>7920</v>
      </c>
      <c r="H48" s="14" t="n">
        <v>6600</v>
      </c>
      <c r="I48" s="14" t="n">
        <v>7200</v>
      </c>
    </row>
    <row r="49">
      <c r="A49" t="inlineStr">
        <is>
          <t>تعداد نیروی انسانی مستقر</t>
        </is>
      </c>
      <c r="B49" s="8" t="inlineStr">
        <is>
          <t>HEADCOUNT</t>
        </is>
      </c>
      <c r="C49" s="9" t="inlineStr">
        <is>
          <t>نفر</t>
        </is>
      </c>
      <c r="D49" s="14" t="n">
        <v>12</v>
      </c>
      <c r="E49" s="14" t="n">
        <v>18</v>
      </c>
      <c r="F49" s="14" t="n">
        <v>14</v>
      </c>
      <c r="G49" s="14" t="n">
        <v>24</v>
      </c>
      <c r="H49" s="14" t="n">
        <v>16</v>
      </c>
      <c r="I49" s="14" t="n">
        <v>22</v>
      </c>
    </row>
    <row r="50">
      <c r="A50" t="inlineStr">
        <is>
          <t>توان نصب‌شده</t>
        </is>
      </c>
      <c r="B50" s="8" t="inlineStr">
        <is>
          <t>POWER</t>
        </is>
      </c>
      <c r="C50" s="9" t="inlineStr">
        <is>
          <t>کیلووات</t>
        </is>
      </c>
      <c r="D50" s="14" t="n">
        <v>350</v>
      </c>
      <c r="E50" s="14" t="n">
        <v>900</v>
      </c>
      <c r="F50" s="14" t="n">
        <v>650</v>
      </c>
      <c r="G50" s="14" t="n">
        <v>1800</v>
      </c>
      <c r="H50" s="14" t="n">
        <v>900</v>
      </c>
      <c r="I50" s="14" t="n">
        <v>700</v>
      </c>
    </row>
    <row r="51">
      <c r="A51" t="inlineStr">
        <is>
          <t>مساحت اشغالی</t>
        </is>
      </c>
      <c r="B51" s="8" t="inlineStr">
        <is>
          <t>AREA</t>
        </is>
      </c>
      <c r="C51" s="9" t="inlineStr">
        <is>
          <t>m2</t>
        </is>
      </c>
      <c r="D51" s="14" t="n">
        <v>1800</v>
      </c>
      <c r="E51" s="14" t="n">
        <v>1400</v>
      </c>
      <c r="F51" s="14" t="n">
        <v>1200</v>
      </c>
      <c r="G51" s="14" t="n">
        <v>2200</v>
      </c>
      <c r="H51" s="14" t="n">
        <v>1300</v>
      </c>
      <c r="I51" s="14" t="n">
        <v>2600</v>
      </c>
    </row>
    <row r="52">
      <c r="A52" t="inlineStr">
        <is>
          <t>مصرف آب در سال (طراحی)</t>
        </is>
      </c>
      <c r="B52" s="8" t="inlineStr">
        <is>
          <t>WATER</t>
        </is>
      </c>
      <c r="C52" s="9" t="inlineStr">
        <is>
          <t>m3/سال</t>
        </is>
      </c>
      <c r="D52" s="14" t="n">
        <v>3000</v>
      </c>
      <c r="E52" s="14" t="n">
        <v>24000</v>
      </c>
      <c r="F52" s="14" t="n">
        <v>18000</v>
      </c>
      <c r="G52" s="14" t="n">
        <v>6000</v>
      </c>
      <c r="H52" s="14" t="n">
        <v>4000</v>
      </c>
      <c r="I52" s="14" t="n">
        <v>9000</v>
      </c>
    </row>
    <row r="53"/>
    <row r="54">
      <c r="A54" s="15" t="inlineStr">
        <is>
          <t>توضیح: این جدول مبنای توزیع هزینه‌ها بین ایستگاه‌های ۱ تا ۶ است.</t>
        </is>
      </c>
    </row>
    <row r="55"/>
    <row r="56">
      <c r="A56" s="6" t="inlineStr">
        <is>
          <t>و) منحنی بهره‌برداری از ظرفیت (سهم از ظرفیت اسمی)</t>
        </is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</row>
    <row r="57">
      <c r="A57" s="4" t="inlineStr">
        <is>
          <t>دوره (t)</t>
        </is>
      </c>
      <c r="D57" s="5" t="n">
        <v>0</v>
      </c>
      <c r="E57" s="5" t="n">
        <v>1</v>
      </c>
      <c r="F57" s="5" t="n">
        <v>2</v>
      </c>
      <c r="G57" s="5" t="n">
        <v>3</v>
      </c>
      <c r="H57" s="5" t="n">
        <v>4</v>
      </c>
      <c r="I57" s="5" t="n">
        <v>5</v>
      </c>
      <c r="J57" s="5" t="n">
        <v>6</v>
      </c>
      <c r="K57" s="5" t="n">
        <v>7</v>
      </c>
      <c r="L57" s="5" t="n">
        <v>8</v>
      </c>
      <c r="M57" s="5" t="n">
        <v>9</v>
      </c>
      <c r="N57" s="5" t="n">
        <v>10</v>
      </c>
      <c r="O57" s="5" t="n">
        <v>11</v>
      </c>
      <c r="P57" s="5" t="n">
        <v>12</v>
      </c>
    </row>
    <row r="58">
      <c r="A58" s="4" t="inlineStr">
        <is>
          <t>سال تقویمی</t>
        </is>
      </c>
      <c r="D58" s="5" t="n">
        <v>2026</v>
      </c>
      <c r="E58" s="5" t="n">
        <v>2027</v>
      </c>
      <c r="F58" s="5" t="n">
        <v>2028</v>
      </c>
      <c r="G58" s="5" t="n">
        <v>2029</v>
      </c>
      <c r="H58" s="5" t="n">
        <v>2030</v>
      </c>
      <c r="I58" s="5" t="n">
        <v>2031</v>
      </c>
      <c r="J58" s="5" t="n">
        <v>2032</v>
      </c>
      <c r="K58" s="5" t="n">
        <v>2033</v>
      </c>
      <c r="L58" s="5" t="n">
        <v>2034</v>
      </c>
      <c r="M58" s="5" t="n">
        <v>2035</v>
      </c>
      <c r="N58" s="5" t="n">
        <v>2036</v>
      </c>
      <c r="O58" s="5" t="n">
        <v>2037</v>
      </c>
      <c r="P58" s="5" t="n">
        <v>2038</v>
      </c>
    </row>
    <row r="59">
      <c r="A59" t="inlineStr">
        <is>
          <t>ضریب دستیابی به ظرفیت اسمی</t>
        </is>
      </c>
      <c r="B59" s="8" t="inlineStr">
        <is>
          <t>TECH.ramp</t>
        </is>
      </c>
      <c r="C59" s="9" t="inlineStr">
        <is>
          <t>درصد</t>
        </is>
      </c>
      <c r="D59" s="11" t="n">
        <v>0</v>
      </c>
      <c r="E59" s="11" t="n">
        <v>0.6</v>
      </c>
      <c r="F59" s="11" t="n">
        <v>0.8</v>
      </c>
      <c r="G59" s="11" t="n">
        <v>0.9</v>
      </c>
      <c r="H59" s="11" t="n">
        <v>1</v>
      </c>
      <c r="I59" s="11" t="n">
        <v>1</v>
      </c>
      <c r="J59" s="11" t="n">
        <v>1</v>
      </c>
      <c r="K59" s="11" t="n">
        <v>1</v>
      </c>
      <c r="L59" s="11" t="n">
        <v>1</v>
      </c>
      <c r="M59" s="11" t="n">
        <v>1</v>
      </c>
      <c r="N59" s="11" t="n">
        <v>1</v>
      </c>
      <c r="O59" s="11" t="n">
        <v>1</v>
      </c>
      <c r="P59" s="1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P24"/>
  <sheetViews>
    <sheetView rightToLeft="1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۳. مفروضات قیمت‌گذاری و فروش</t>
        </is>
      </c>
      <c r="B1" s="2" t="inlineStr">
        <is>
          <t>لایه ورودی</t>
        </is>
      </c>
    </row>
    <row r="2">
      <c r="A2" s="3" t="inlineStr">
        <is>
          <t>قیمت پایه، پیوند به قیمت جهانی، ترکیب سبد محصولات و سیاست‌های تخفیف و اعتبار.</t>
        </is>
      </c>
    </row>
    <row r="3"/>
    <row r="4"/>
    <row r="5"/>
    <row r="6"/>
    <row r="7">
      <c r="A7" s="6" t="inlineStr">
        <is>
          <t>الف) ویژگی‌های سبد محصولات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</row>
    <row r="8">
      <c r="A8" t="inlineStr">
        <is>
          <t>محصول</t>
        </is>
      </c>
      <c r="D8" s="16" t="inlineStr">
        <is>
          <t>P1</t>
        </is>
      </c>
      <c r="E8" s="16" t="inlineStr">
        <is>
          <t>P2</t>
        </is>
      </c>
      <c r="F8" s="16" t="inlineStr">
        <is>
          <t>P3</t>
        </is>
      </c>
      <c r="G8" s="16" t="inlineStr">
        <is>
          <t>P4</t>
        </is>
      </c>
    </row>
    <row r="9">
      <c r="D9" t="inlineStr">
        <is>
          <t>شمش سرب خالص (Pb 99.97)</t>
        </is>
      </c>
      <c r="E9" t="inlineStr">
        <is>
          <t>شمش آلیاژ سرب (Pb-Sb / Pb-Ca)</t>
        </is>
      </c>
      <c r="F9" t="inlineStr">
        <is>
          <t>گرانول پلی‌پروپیلن بازیافتی</t>
        </is>
      </c>
      <c r="G9" t="inlineStr">
        <is>
          <t>سولفات سدیم (محصول جانبی)</t>
        </is>
      </c>
    </row>
    <row r="10">
      <c r="A10" t="inlineStr">
        <is>
          <t>قیمت پایه (سال پایه)</t>
        </is>
      </c>
      <c r="B10" s="8" t="inlineStr">
        <is>
          <t>SAL.price</t>
        </is>
      </c>
      <c r="C10" s="9" t="inlineStr">
        <is>
          <t>میلیون ریال/تن</t>
        </is>
      </c>
      <c r="D10" s="14" t="n">
        <v>1050</v>
      </c>
      <c r="E10" s="14" t="n">
        <v>1082</v>
      </c>
      <c r="F10" s="14" t="n">
        <v>325</v>
      </c>
      <c r="G10" s="14" t="n">
        <v>60</v>
      </c>
    </row>
    <row r="11">
      <c r="A11" t="inlineStr">
        <is>
          <t>پیوند قیمت به LME (1=بله/0=خیر)</t>
        </is>
      </c>
      <c r="B11" s="8" t="inlineStr">
        <is>
          <t>SAL.lme</t>
        </is>
      </c>
      <c r="C11" s="9" t="inlineStr">
        <is>
          <t>1/0</t>
        </is>
      </c>
      <c r="D11" s="10" t="n">
        <v>1</v>
      </c>
      <c r="E11" s="10" t="n">
        <v>1</v>
      </c>
      <c r="F11" s="10" t="n">
        <v>0</v>
      </c>
      <c r="G11" s="10" t="n">
        <v>0</v>
      </c>
    </row>
    <row r="12">
      <c r="A12" t="inlineStr">
        <is>
          <t>ضریب تعدیل نسبت به LME</t>
        </is>
      </c>
      <c r="B12" s="8" t="inlineStr">
        <is>
          <t>SAL.lmef</t>
        </is>
      </c>
      <c r="C12" s="9" t="inlineStr">
        <is>
          <t>ضریب</t>
        </is>
      </c>
      <c r="D12" s="12" t="n">
        <v>1</v>
      </c>
      <c r="E12" s="12" t="n">
        <v>1.03</v>
      </c>
      <c r="F12" s="12" t="n">
        <v>1</v>
      </c>
      <c r="G12" s="12" t="n">
        <v>1</v>
      </c>
    </row>
    <row r="13">
      <c r="A13" t="inlineStr">
        <is>
          <t>نرخ رشد سالانه قیمت داخلی</t>
        </is>
      </c>
      <c r="B13" s="8" t="inlineStr">
        <is>
          <t>SAL.esc</t>
        </is>
      </c>
      <c r="C13" s="9" t="inlineStr">
        <is>
          <t>درصد</t>
        </is>
      </c>
      <c r="D13" s="11" t="n">
        <v>0.2</v>
      </c>
      <c r="E13" s="11" t="n">
        <v>0.2</v>
      </c>
      <c r="F13" s="11" t="n">
        <v>0.22</v>
      </c>
      <c r="G13" s="11" t="n">
        <v>0.2</v>
      </c>
    </row>
    <row r="14">
      <c r="A14" t="inlineStr">
        <is>
          <t>سهم ارزی (صادراتی/شاخص ارز)</t>
        </is>
      </c>
      <c r="B14" s="8" t="inlineStr">
        <is>
          <t>SAL.fxsh</t>
        </is>
      </c>
      <c r="C14" s="9" t="inlineStr">
        <is>
          <t>درصد</t>
        </is>
      </c>
      <c r="D14" s="11" t="n">
        <v>0.35</v>
      </c>
      <c r="E14" s="11" t="n">
        <v>0.35</v>
      </c>
      <c r="F14" s="11" t="n">
        <v>0.1</v>
      </c>
      <c r="G14" s="11" t="n">
        <v>0.5</v>
      </c>
    </row>
    <row r="15">
      <c r="A15" t="inlineStr">
        <is>
          <t>نرخ تخفیف و برگشت از فروش</t>
        </is>
      </c>
      <c r="B15" s="8" t="inlineStr">
        <is>
          <t>SAL.disc</t>
        </is>
      </c>
      <c r="C15" s="9" t="inlineStr">
        <is>
          <t>درصد</t>
        </is>
      </c>
      <c r="D15" s="17" t="n">
        <v>0.015</v>
      </c>
      <c r="E15" s="17" t="n">
        <v>0.015</v>
      </c>
      <c r="F15" s="17" t="n">
        <v>0.03</v>
      </c>
      <c r="G15" s="17" t="n">
        <v>0.05</v>
      </c>
    </row>
    <row r="16">
      <c r="A16" t="inlineStr">
        <is>
          <t>ضریب تحقق فروش (فروش/تولید)</t>
        </is>
      </c>
      <c r="B16" s="8" t="inlineStr">
        <is>
          <t>SAL.real</t>
        </is>
      </c>
      <c r="C16" s="9" t="inlineStr">
        <is>
          <t>ضریب</t>
        </is>
      </c>
      <c r="D16" s="12" t="n">
        <v>1</v>
      </c>
      <c r="E16" s="12" t="n">
        <v>1</v>
      </c>
      <c r="F16" s="12" t="n">
        <v>0.98</v>
      </c>
      <c r="G16" s="12" t="n">
        <v>0.95</v>
      </c>
    </row>
    <row r="17"/>
    <row r="18">
      <c r="A18" s="6" t="inlineStr">
        <is>
          <t>ب) سیاست‌های اعتباری و فروش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</row>
    <row r="19">
      <c r="A19" t="inlineStr">
        <is>
          <t>نرخ برگشت از فروش و ادعاهای کیفی</t>
        </is>
      </c>
      <c r="B19" s="8" t="inlineStr">
        <is>
          <t>SAL.disc_late</t>
        </is>
      </c>
      <c r="C19" s="9" t="inlineStr">
        <is>
          <t>درصد</t>
        </is>
      </c>
      <c r="D19" s="17" t="n">
        <v>0.01</v>
      </c>
    </row>
    <row r="20">
      <c r="A20" t="inlineStr">
        <is>
          <t>دوره بازنگری قیمت‌ها (ماه)</t>
        </is>
      </c>
      <c r="B20" s="8" t="inlineStr">
        <is>
          <t>SAL.price_rev</t>
        </is>
      </c>
      <c r="C20" s="9" t="inlineStr">
        <is>
          <t>ماه</t>
        </is>
      </c>
      <c r="D20" s="14" t="n">
        <v>3</v>
      </c>
    </row>
    <row r="21">
      <c r="A21" t="inlineStr">
        <is>
          <t>سهم فروش قراردادی بلندمدت</t>
        </is>
      </c>
      <c r="B21" s="8" t="inlineStr">
        <is>
          <t>SAL.contract</t>
        </is>
      </c>
      <c r="C21" s="9" t="inlineStr">
        <is>
          <t>درصد</t>
        </is>
      </c>
      <c r="D21" s="11" t="n">
        <v>0.4</v>
      </c>
    </row>
    <row r="22">
      <c r="A22" t="inlineStr">
        <is>
          <t>سهم فروش نقدی/فوری</t>
        </is>
      </c>
      <c r="B22" s="8" t="inlineStr">
        <is>
          <t>SAL.spot</t>
        </is>
      </c>
      <c r="C22" s="9" t="inlineStr">
        <is>
          <t>درصد</t>
        </is>
      </c>
      <c r="D22" s="11" t="n">
        <v>0.6</v>
      </c>
    </row>
    <row r="23"/>
    <row r="24">
      <c r="A24" s="15" t="inlineStr">
        <is>
          <t>توضیح: «سهم ارزی» نشان می‌دهد چه بخشی از درآمدِ هر محصول با نرخ ارز تعدیل می‌شود (مبنای تحلیل حساسیت ارزی).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P65"/>
  <sheetViews>
    <sheetView rightToLeft="1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۴. پارامترهای هزینه‌ای (FPC / OPC / DPC)</t>
        </is>
      </c>
      <c r="B1" s="2" t="inlineStr">
        <is>
          <t>لایه ورودی</t>
        </is>
      </c>
    </row>
    <row r="2">
      <c r="A2" s="3" t="inlineStr">
        <is>
          <t>نرخ‌های واحد، پرسنل، مراکز هزینهٔ خدماتی و ماتریس اقلام هزینه با مبنای محاسبه و تخصیص.</t>
        </is>
      </c>
    </row>
    <row r="3"/>
    <row r="4"/>
    <row r="5"/>
    <row r="6"/>
    <row r="7">
      <c r="A7" s="6" t="inlineStr">
        <is>
          <t>الف) نرخ‌ها و پارامترهای پایه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</row>
    <row r="8">
      <c r="A8" t="inlineStr">
        <is>
          <t>سهم ارزی هزینه‌های متغیر</t>
        </is>
      </c>
      <c r="B8" s="8" t="inlineStr">
        <is>
          <t>CST.fx_var</t>
        </is>
      </c>
      <c r="C8" s="9" t="inlineStr">
        <is>
          <t>درصد</t>
        </is>
      </c>
      <c r="D8" s="11" t="n">
        <v>0.2</v>
      </c>
    </row>
    <row r="9">
      <c r="A9" t="inlineStr">
        <is>
          <t>سهم ارزی هزینه‌های ثابت</t>
        </is>
      </c>
      <c r="B9" s="8" t="inlineStr">
        <is>
          <t>CST.fx_fix</t>
        </is>
      </c>
      <c r="C9" s="9" t="inlineStr">
        <is>
          <t>درصد</t>
        </is>
      </c>
      <c r="D9" s="11" t="n">
        <v>0.05</v>
      </c>
    </row>
    <row r="10">
      <c r="A10" t="inlineStr">
        <is>
          <t>ماه‌های پرداخت حقوق در سال</t>
        </is>
      </c>
      <c r="B10" s="8" t="inlineStr">
        <is>
          <t>CST.months</t>
        </is>
      </c>
      <c r="C10" s="9" t="inlineStr">
        <is>
          <t>ماه</t>
        </is>
      </c>
      <c r="D10" s="14" t="n">
        <v>12</v>
      </c>
    </row>
    <row r="11">
      <c r="A11" t="inlineStr">
        <is>
          <t>ضریب مزایا، عیدی و سنوات</t>
        </is>
      </c>
      <c r="B11" s="8" t="inlineStr">
        <is>
          <t>CST.bonus</t>
        </is>
      </c>
      <c r="C11" s="9" t="inlineStr">
        <is>
          <t>ضریب</t>
        </is>
      </c>
      <c r="D11" s="12" t="n">
        <v>1.08</v>
      </c>
    </row>
    <row r="12"/>
    <row r="13">
      <c r="A13" s="6" t="inlineStr">
        <is>
          <t>ب) پرسنل (تعداد و حقوق ماهانهٔ پایه)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</row>
    <row r="14">
      <c r="D14" s="16" t="inlineStr">
        <is>
          <t>کد طبقه</t>
        </is>
      </c>
      <c r="E14" s="16" t="inlineStr">
        <is>
          <t>تعداد نفر</t>
        </is>
      </c>
      <c r="F14" s="16" t="inlineStr">
        <is>
          <t>حقوق ماهانه</t>
        </is>
      </c>
      <c r="G14" s="16" t="inlineStr">
        <is>
          <t>واحد</t>
        </is>
      </c>
    </row>
    <row r="15">
      <c r="A15" t="inlineStr">
        <is>
          <t>تولید مستقیم</t>
        </is>
      </c>
      <c r="B15" s="8" t="inlineStr">
        <is>
          <t>PAY1</t>
        </is>
      </c>
      <c r="D15" s="14" t="n">
        <v>96</v>
      </c>
      <c r="E15" s="18" t="n">
        <v>250</v>
      </c>
      <c r="F15" s="19" t="inlineStr">
        <is>
          <t>نفر / میلیون ریال</t>
        </is>
      </c>
    </row>
    <row r="16">
      <c r="A16" t="inlineStr">
        <is>
          <t>تولید غیرمستقیم</t>
        </is>
      </c>
      <c r="B16" s="8" t="inlineStr">
        <is>
          <t>PAY2</t>
        </is>
      </c>
      <c r="D16" s="14" t="n">
        <v>24</v>
      </c>
      <c r="E16" s="18" t="n">
        <v>320</v>
      </c>
      <c r="F16" s="19" t="inlineStr">
        <is>
          <t>نفر / میلیون ریال</t>
        </is>
      </c>
    </row>
    <row r="17">
      <c r="A17" t="inlineStr">
        <is>
          <t>نگهداری و تعمیرات</t>
        </is>
      </c>
      <c r="B17" s="8" t="inlineStr">
        <is>
          <t>PAY3</t>
        </is>
      </c>
      <c r="D17" s="14" t="n">
        <v>18</v>
      </c>
      <c r="E17" s="18" t="n">
        <v>300</v>
      </c>
      <c r="F17" s="19" t="inlineStr">
        <is>
          <t>نفر / میلیون ریال</t>
        </is>
      </c>
    </row>
    <row r="18">
      <c r="A18" t="inlineStr">
        <is>
          <t>اداری و مالی</t>
        </is>
      </c>
      <c r="B18" s="8" t="inlineStr">
        <is>
          <t>PAY4</t>
        </is>
      </c>
      <c r="D18" s="14" t="n">
        <v>22</v>
      </c>
      <c r="E18" s="18" t="n">
        <v>380</v>
      </c>
      <c r="F18" s="19" t="inlineStr">
        <is>
          <t>نفر / میلیون ریال</t>
        </is>
      </c>
    </row>
    <row r="19">
      <c r="A19" t="inlineStr">
        <is>
          <t>فروش و بازاریابی</t>
        </is>
      </c>
      <c r="B19" s="8" t="inlineStr">
        <is>
          <t>PAY5</t>
        </is>
      </c>
      <c r="D19" s="14" t="n">
        <v>8</v>
      </c>
      <c r="E19" s="18" t="n">
        <v>350</v>
      </c>
      <c r="F19" s="19" t="inlineStr">
        <is>
          <t>نفر / میلیون ریال</t>
        </is>
      </c>
    </row>
    <row r="20"/>
    <row r="21">
      <c r="A21" s="6" t="inlineStr">
        <is>
          <t>ج) مراکز هزینهٔ خدماتی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</row>
    <row r="22">
      <c r="D22" s="16" t="inlineStr">
        <is>
          <t>نام مرکز</t>
        </is>
      </c>
      <c r="E22" s="16" t="inlineStr">
        <is>
          <t>محرک تخصیص</t>
        </is>
      </c>
      <c r="F22" s="16" t="inlineStr">
        <is>
          <t>هزینه سالانهٔ پایه</t>
        </is>
      </c>
      <c r="G22" s="16" t="inlineStr">
        <is>
          <t>رفتار</t>
        </is>
      </c>
      <c r="H22" s="16" t="inlineStr">
        <is>
          <t>ترتیب</t>
        </is>
      </c>
    </row>
    <row r="23">
      <c r="A23" t="inlineStr">
        <is>
          <t>نگهداری و تعمیرات مرکزی</t>
        </is>
      </c>
      <c r="B23" s="8" t="inlineStr">
        <is>
          <t>SC1</t>
        </is>
      </c>
      <c r="D23" s="20" t="inlineStr">
        <is>
          <t>نگهداری و تعمیرات مرکزی</t>
        </is>
      </c>
      <c r="E23" s="20" t="inlineStr">
        <is>
          <t>MACHINE_HOURS</t>
        </is>
      </c>
      <c r="F23" s="18" t="n">
        <v>300000</v>
      </c>
      <c r="G23" s="20" t="inlineStr">
        <is>
          <t>F</t>
        </is>
      </c>
      <c r="H23" s="20" t="n">
        <v>1</v>
      </c>
    </row>
    <row r="24">
      <c r="A24" t="inlineStr">
        <is>
          <t>منابع انسانی و خدمات پشتیبانی</t>
        </is>
      </c>
      <c r="B24" s="8" t="inlineStr">
        <is>
          <t>SC2</t>
        </is>
      </c>
      <c r="D24" s="20" t="inlineStr">
        <is>
          <t>منابع انسانی و خدمات پشتیبانی</t>
        </is>
      </c>
      <c r="E24" s="20" t="inlineStr">
        <is>
          <t>HEADCOUNT</t>
        </is>
      </c>
      <c r="F24" s="18" t="n">
        <v>100000</v>
      </c>
      <c r="G24" s="20" t="inlineStr">
        <is>
          <t>F</t>
        </is>
      </c>
      <c r="H24" s="20" t="n">
        <v>2</v>
      </c>
    </row>
    <row r="25">
      <c r="A25" t="inlineStr">
        <is>
          <t>لجستیک و انبارداری</t>
        </is>
      </c>
      <c r="B25" s="8" t="inlineStr">
        <is>
          <t>SC3</t>
        </is>
      </c>
      <c r="D25" s="20" t="inlineStr">
        <is>
          <t>لجستیک و انبارداری</t>
        </is>
      </c>
      <c r="E25" s="20" t="inlineStr">
        <is>
          <t>THROUGHPUT</t>
        </is>
      </c>
      <c r="F25" s="18" t="n">
        <v>150000</v>
      </c>
      <c r="G25" s="20" t="inlineStr">
        <is>
          <t>F</t>
        </is>
      </c>
      <c r="H25" s="20" t="n">
        <v>3</v>
      </c>
    </row>
    <row r="26">
      <c r="A26" t="inlineStr">
        <is>
          <t>تصفیه‌خانه و محیط‌زیست</t>
        </is>
      </c>
      <c r="B26" s="8" t="inlineStr">
        <is>
          <t>SC4</t>
        </is>
      </c>
      <c r="D26" s="20" t="inlineStr">
        <is>
          <t>تصفیه‌خانه و محیط‌زیست</t>
        </is>
      </c>
      <c r="E26" s="20" t="inlineStr">
        <is>
          <t>WATER</t>
        </is>
      </c>
      <c r="F26" s="18" t="n">
        <v>250000</v>
      </c>
      <c r="G26" s="20" t="inlineStr">
        <is>
          <t>V</t>
        </is>
      </c>
      <c r="H26" s="20" t="n">
        <v>4</v>
      </c>
    </row>
    <row r="27">
      <c r="A27" t="inlineStr">
        <is>
          <t>آزمایشگاه و کنترل کیفیت</t>
        </is>
      </c>
      <c r="B27" s="8" t="inlineStr">
        <is>
          <t>SC5</t>
        </is>
      </c>
      <c r="D27" s="20" t="inlineStr">
        <is>
          <t>آزمایشگاه و کنترل کیفیت</t>
        </is>
      </c>
      <c r="E27" s="20" t="inlineStr">
        <is>
          <t>THROUGHPUT</t>
        </is>
      </c>
      <c r="F27" s="18" t="n">
        <v>80000</v>
      </c>
      <c r="G27" s="20" t="inlineStr">
        <is>
          <t>V</t>
        </is>
      </c>
      <c r="H27" s="20" t="n">
        <v>5</v>
      </c>
    </row>
    <row r="28"/>
    <row r="29">
      <c r="A29" s="15" t="inlineStr">
        <is>
          <t>رفتار هزینه: V = متغیر (تابع حجم)، F = ثابت (سالانه).</t>
        </is>
      </c>
    </row>
    <row r="30"/>
    <row r="31">
      <c r="A31" s="6" t="inlineStr">
        <is>
          <t>د) ماتریس اقلام هزینه (مبنای محاسبه، تعدیل و تخصیص)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</row>
    <row r="32">
      <c r="D32" s="16" t="inlineStr">
        <is>
          <t>طبقه</t>
        </is>
      </c>
      <c r="E32" s="16" t="inlineStr">
        <is>
          <t>مبنای محاسبه</t>
        </is>
      </c>
      <c r="F32" s="16" t="inlineStr">
        <is>
          <t>پارامتر / مرجع</t>
        </is>
      </c>
      <c r="G32" s="16" t="inlineStr">
        <is>
          <t>شاخص تعدیل</t>
        </is>
      </c>
      <c r="H32" s="16" t="inlineStr">
        <is>
          <t>مبنای تخصیص</t>
        </is>
      </c>
      <c r="I32" s="16" t="inlineStr">
        <is>
          <t>رفتار</t>
        </is>
      </c>
    </row>
    <row r="33">
      <c r="A33" t="inlineStr">
        <is>
          <t>باتری ضایعاتی (مواد اولیه اصلی)</t>
        </is>
      </c>
      <c r="B33" s="8" t="inlineStr">
        <is>
          <t>DPC-01</t>
        </is>
      </c>
      <c r="C33" s="19" t="inlineStr">
        <is>
          <t>میلیون ریال/تن</t>
        </is>
      </c>
      <c r="D33" s="20" t="inlineStr">
        <is>
          <t>DPC</t>
        </is>
      </c>
      <c r="E33" s="20" t="inlineStr">
        <is>
          <t>SCRAP_LME</t>
        </is>
      </c>
      <c r="F33" s="18" t="n">
        <v>348</v>
      </c>
      <c r="G33" s="20" t="inlineStr">
        <is>
          <t>NONE</t>
        </is>
      </c>
      <c r="H33" s="20" t="inlineStr">
        <is>
          <t>THROUGHPUT</t>
        </is>
      </c>
      <c r="I33" s="20" t="inlineStr">
        <is>
          <t>V</t>
        </is>
      </c>
    </row>
    <row r="34">
      <c r="A34" t="inlineStr">
        <is>
          <t>مواد مصرفی و واکنشگرها</t>
        </is>
      </c>
      <c r="B34" s="8" t="inlineStr">
        <is>
          <t>DPC-02</t>
        </is>
      </c>
      <c r="C34" s="19" t="inlineStr">
        <is>
          <t>میلیون ریال/تن</t>
        </is>
      </c>
      <c r="D34" s="20" t="inlineStr">
        <is>
          <t>DPC</t>
        </is>
      </c>
      <c r="E34" s="20" t="inlineStr">
        <is>
          <t>PER_TON_BATT</t>
        </is>
      </c>
      <c r="F34" s="18" t="n">
        <v>15</v>
      </c>
      <c r="G34" s="20" t="inlineStr">
        <is>
          <t>CPI</t>
        </is>
      </c>
      <c r="H34" s="20" t="inlineStr">
        <is>
          <t>THROUGHPUT</t>
        </is>
      </c>
      <c r="I34" s="20" t="inlineStr">
        <is>
          <t>V</t>
        </is>
      </c>
    </row>
    <row r="35">
      <c r="A35" t="inlineStr">
        <is>
          <t>دستمزد مستقیم تولید</t>
        </is>
      </c>
      <c r="B35" s="8" t="inlineStr">
        <is>
          <t>DPC-03</t>
        </is>
      </c>
      <c r="C35" s="19" t="inlineStr">
        <is>
          <t>─</t>
        </is>
      </c>
      <c r="D35" s="20" t="inlineStr">
        <is>
          <t>DPC</t>
        </is>
      </c>
      <c r="E35" s="20" t="inlineStr">
        <is>
          <t>PAY</t>
        </is>
      </c>
      <c r="F35" s="20" t="inlineStr">
        <is>
          <t>PAY:1</t>
        </is>
      </c>
      <c r="G35" s="20" t="inlineStr">
        <is>
          <t>WAGE</t>
        </is>
      </c>
      <c r="H35" s="20" t="inlineStr">
        <is>
          <t>HEADCOUNT</t>
        </is>
      </c>
      <c r="I35" s="20" t="inlineStr">
        <is>
          <t>V</t>
        </is>
      </c>
    </row>
    <row r="36">
      <c r="A36" t="inlineStr">
        <is>
          <t>مواد بسته‌بندی</t>
        </is>
      </c>
      <c r="B36" s="8" t="inlineStr">
        <is>
          <t>DPC-04</t>
        </is>
      </c>
      <c r="C36" s="19" t="inlineStr">
        <is>
          <t>میلیون ریال/تن</t>
        </is>
      </c>
      <c r="D36" s="20" t="inlineStr">
        <is>
          <t>DPC</t>
        </is>
      </c>
      <c r="E36" s="20" t="inlineStr">
        <is>
          <t>PER_TON_PROD</t>
        </is>
      </c>
      <c r="F36" s="18" t="n">
        <v>4</v>
      </c>
      <c r="G36" s="20" t="inlineStr">
        <is>
          <t>CPI</t>
        </is>
      </c>
      <c r="H36" s="20" t="inlineStr">
        <is>
          <t>THROUGHPUT</t>
        </is>
      </c>
      <c r="I36" s="20" t="inlineStr">
        <is>
          <t>V</t>
        </is>
      </c>
    </row>
    <row r="37">
      <c r="A37" t="inlineStr">
        <is>
          <t>حمل‌ونقل ورودی مواد</t>
        </is>
      </c>
      <c r="B37" s="8" t="inlineStr">
        <is>
          <t>DPC-05</t>
        </is>
      </c>
      <c r="C37" s="19" t="inlineStr">
        <is>
          <t>میلیون ریال/تن</t>
        </is>
      </c>
      <c r="D37" s="20" t="inlineStr">
        <is>
          <t>DPC</t>
        </is>
      </c>
      <c r="E37" s="20" t="inlineStr">
        <is>
          <t>PER_TON_BATT</t>
        </is>
      </c>
      <c r="F37" s="18" t="n">
        <v>6</v>
      </c>
      <c r="G37" s="20" t="inlineStr">
        <is>
          <t>CPI</t>
        </is>
      </c>
      <c r="H37" s="20" t="inlineStr">
        <is>
          <t>THROUGHPUT</t>
        </is>
      </c>
      <c r="I37" s="20" t="inlineStr">
        <is>
          <t>V</t>
        </is>
      </c>
    </row>
    <row r="38">
      <c r="A38" t="inlineStr">
        <is>
          <t>انرژی الکتریکی فرآیندی</t>
        </is>
      </c>
      <c r="B38" s="8" t="inlineStr">
        <is>
          <t>DPC-06</t>
        </is>
      </c>
      <c r="C38" s="19" t="inlineStr">
        <is>
          <t>میلیون ریال/kWh</t>
        </is>
      </c>
      <c r="D38" s="20" t="inlineStr">
        <is>
          <t>DPC</t>
        </is>
      </c>
      <c r="E38" s="20" t="inlineStr">
        <is>
          <t>PER_KWH</t>
        </is>
      </c>
      <c r="F38" s="21" t="n">
        <v>0.006</v>
      </c>
      <c r="G38" s="20" t="inlineStr">
        <is>
          <t>ENERGY</t>
        </is>
      </c>
      <c r="H38" s="20" t="inlineStr">
        <is>
          <t>MACHINE_HOURS</t>
        </is>
      </c>
      <c r="I38" s="20" t="inlineStr">
        <is>
          <t>V</t>
        </is>
      </c>
    </row>
    <row r="39">
      <c r="A39" t="inlineStr">
        <is>
          <t>سوخت و مواد احیاکننده</t>
        </is>
      </c>
      <c r="B39" s="8" t="inlineStr">
        <is>
          <t>OPC-01</t>
        </is>
      </c>
      <c r="C39" s="19" t="inlineStr">
        <is>
          <t>میلیون ریال/تن</t>
        </is>
      </c>
      <c r="D39" s="20" t="inlineStr">
        <is>
          <t>OPC</t>
        </is>
      </c>
      <c r="E39" s="20" t="inlineStr">
        <is>
          <t>PER_TON_BATT</t>
        </is>
      </c>
      <c r="F39" s="18" t="n">
        <v>12.5</v>
      </c>
      <c r="G39" s="20" t="inlineStr">
        <is>
          <t>ENERGY</t>
        </is>
      </c>
      <c r="H39" s="20" t="inlineStr">
        <is>
          <t>THROUGHPUT</t>
        </is>
      </c>
      <c r="I39" s="20" t="inlineStr">
        <is>
          <t>V</t>
        </is>
      </c>
    </row>
    <row r="40">
      <c r="A40" t="inlineStr">
        <is>
          <t>آب و پساب</t>
        </is>
      </c>
      <c r="B40" s="8" t="inlineStr">
        <is>
          <t>OPC-02</t>
        </is>
      </c>
      <c r="C40" s="19" t="inlineStr">
        <is>
          <t>میلیون ریال/m3</t>
        </is>
      </c>
      <c r="D40" s="20" t="inlineStr">
        <is>
          <t>OPC</t>
        </is>
      </c>
      <c r="E40" s="20" t="inlineStr">
        <is>
          <t>PER_M3</t>
        </is>
      </c>
      <c r="F40" s="21" t="n">
        <v>0.25</v>
      </c>
      <c r="G40" s="20" t="inlineStr">
        <is>
          <t>CPI</t>
        </is>
      </c>
      <c r="H40" s="20" t="inlineStr">
        <is>
          <t>WATER</t>
        </is>
      </c>
      <c r="I40" s="20" t="inlineStr">
        <is>
          <t>V</t>
        </is>
      </c>
    </row>
    <row r="41">
      <c r="A41" t="inlineStr">
        <is>
          <t>دفع پسماند و لجن</t>
        </is>
      </c>
      <c r="B41" s="8" t="inlineStr">
        <is>
          <t>OPC-03</t>
        </is>
      </c>
      <c r="C41" s="19" t="inlineStr">
        <is>
          <t>میلیون ریال/تن</t>
        </is>
      </c>
      <c r="D41" s="20" t="inlineStr">
        <is>
          <t>OPC</t>
        </is>
      </c>
      <c r="E41" s="20" t="inlineStr">
        <is>
          <t>PER_TON_BATT</t>
        </is>
      </c>
      <c r="F41" s="18" t="n">
        <v>7.5</v>
      </c>
      <c r="G41" s="20" t="inlineStr">
        <is>
          <t>CPI</t>
        </is>
      </c>
      <c r="H41" s="20" t="inlineStr">
        <is>
          <t>THROUGHPUT</t>
        </is>
      </c>
      <c r="I41" s="20" t="inlineStr">
        <is>
          <t>V</t>
        </is>
      </c>
    </row>
    <row r="42">
      <c r="A42" t="inlineStr">
        <is>
          <t>نگهداری و تعمیرات متغیر</t>
        </is>
      </c>
      <c r="B42" s="8" t="inlineStr">
        <is>
          <t>OPC-04</t>
        </is>
      </c>
      <c r="C42" s="19" t="inlineStr">
        <is>
          <t>میلیون ریال/تن</t>
        </is>
      </c>
      <c r="D42" s="20" t="inlineStr">
        <is>
          <t>OPC</t>
        </is>
      </c>
      <c r="E42" s="20" t="inlineStr">
        <is>
          <t>PER_TON_BATT</t>
        </is>
      </c>
      <c r="F42" s="18" t="n">
        <v>9</v>
      </c>
      <c r="G42" s="20" t="inlineStr">
        <is>
          <t>CPI</t>
        </is>
      </c>
      <c r="H42" s="20" t="inlineStr">
        <is>
          <t>MACHINE_HOURS</t>
        </is>
      </c>
      <c r="I42" s="20" t="inlineStr">
        <is>
          <t>V</t>
        </is>
      </c>
    </row>
    <row r="43">
      <c r="A43" t="inlineStr">
        <is>
          <t>مرکز خدماتی: نگهداری و تعمیرات</t>
        </is>
      </c>
      <c r="B43" s="8" t="inlineStr">
        <is>
          <t>OPC-05</t>
        </is>
      </c>
      <c r="C43" s="19" t="inlineStr">
        <is>
          <t>─</t>
        </is>
      </c>
      <c r="D43" s="20" t="inlineStr">
        <is>
          <t>OPC</t>
        </is>
      </c>
      <c r="E43" s="20" t="inlineStr">
        <is>
          <t>SRV</t>
        </is>
      </c>
      <c r="F43" s="20" t="inlineStr">
        <is>
          <t>SRV:1</t>
        </is>
      </c>
      <c r="G43" s="20" t="inlineStr">
        <is>
          <t>CPI</t>
        </is>
      </c>
      <c r="H43" s="20" t="inlineStr">
        <is>
          <t>SRV</t>
        </is>
      </c>
      <c r="I43" s="20" t="inlineStr">
        <is>
          <t>F</t>
        </is>
      </c>
    </row>
    <row r="44">
      <c r="A44" t="inlineStr">
        <is>
          <t>مرکز خدماتی: لجستیک و انبارداری</t>
        </is>
      </c>
      <c r="B44" s="8" t="inlineStr">
        <is>
          <t>OPC-06</t>
        </is>
      </c>
      <c r="C44" s="19" t="inlineStr">
        <is>
          <t>─</t>
        </is>
      </c>
      <c r="D44" s="20" t="inlineStr">
        <is>
          <t>OPC</t>
        </is>
      </c>
      <c r="E44" s="20" t="inlineStr">
        <is>
          <t>SRV</t>
        </is>
      </c>
      <c r="F44" s="20" t="inlineStr">
        <is>
          <t>SRV:3</t>
        </is>
      </c>
      <c r="G44" s="20" t="inlineStr">
        <is>
          <t>CPI</t>
        </is>
      </c>
      <c r="H44" s="20" t="inlineStr">
        <is>
          <t>SRV</t>
        </is>
      </c>
      <c r="I44" s="20" t="inlineStr">
        <is>
          <t>F</t>
        </is>
      </c>
    </row>
    <row r="45">
      <c r="A45" t="inlineStr">
        <is>
          <t>مرکز خدماتی: تصفیه‌خانه</t>
        </is>
      </c>
      <c r="B45" s="8" t="inlineStr">
        <is>
          <t>OPC-07</t>
        </is>
      </c>
      <c r="C45" s="19" t="inlineStr">
        <is>
          <t>─</t>
        </is>
      </c>
      <c r="D45" s="20" t="inlineStr">
        <is>
          <t>OPC</t>
        </is>
      </c>
      <c r="E45" s="20" t="inlineStr">
        <is>
          <t>SRV</t>
        </is>
      </c>
      <c r="F45" s="20" t="inlineStr">
        <is>
          <t>SRV:4</t>
        </is>
      </c>
      <c r="G45" s="20" t="inlineStr">
        <is>
          <t>CPI</t>
        </is>
      </c>
      <c r="H45" s="20" t="inlineStr">
        <is>
          <t>SRV</t>
        </is>
      </c>
      <c r="I45" s="20" t="inlineStr">
        <is>
          <t>V</t>
        </is>
      </c>
    </row>
    <row r="46">
      <c r="A46" t="inlineStr">
        <is>
          <t>مرکز خدماتی: آزمایشگاه و QC</t>
        </is>
      </c>
      <c r="B46" s="8" t="inlineStr">
        <is>
          <t>OPC-08</t>
        </is>
      </c>
      <c r="C46" s="19" t="inlineStr">
        <is>
          <t>─</t>
        </is>
      </c>
      <c r="D46" s="20" t="inlineStr">
        <is>
          <t>OPC</t>
        </is>
      </c>
      <c r="E46" s="20" t="inlineStr">
        <is>
          <t>SRV</t>
        </is>
      </c>
      <c r="F46" s="20" t="inlineStr">
        <is>
          <t>SRV:5</t>
        </is>
      </c>
      <c r="G46" s="20" t="inlineStr">
        <is>
          <t>CPI</t>
        </is>
      </c>
      <c r="H46" s="20" t="inlineStr">
        <is>
          <t>SRV</t>
        </is>
      </c>
      <c r="I46" s="20" t="inlineStr">
        <is>
          <t>V</t>
        </is>
      </c>
    </row>
    <row r="47">
      <c r="A47" t="inlineStr">
        <is>
          <t>هزینه فروش، توزیع و کارمزد فروش</t>
        </is>
      </c>
      <c r="B47" s="8" t="inlineStr">
        <is>
          <t>OPC-09</t>
        </is>
      </c>
      <c r="C47" s="19" t="inlineStr">
        <is>
          <t>درصد از درآمد</t>
        </is>
      </c>
      <c r="D47" s="20" t="inlineStr">
        <is>
          <t>OPC</t>
        </is>
      </c>
      <c r="E47" s="20" t="inlineStr">
        <is>
          <t>PCT_REV</t>
        </is>
      </c>
      <c r="F47" s="21" t="n">
        <v>0.012</v>
      </c>
      <c r="G47" s="20" t="inlineStr">
        <is>
          <t>NONE</t>
        </is>
      </c>
      <c r="H47" s="20" t="inlineStr">
        <is>
          <t>THROUGHPUT</t>
        </is>
      </c>
      <c r="I47" s="20" t="inlineStr">
        <is>
          <t>V</t>
        </is>
      </c>
    </row>
    <row r="48">
      <c r="A48" t="inlineStr">
        <is>
          <t>استهلاک دارایی‌های ثابت</t>
        </is>
      </c>
      <c r="B48" s="8" t="inlineStr">
        <is>
          <t>FPC-01</t>
        </is>
      </c>
      <c r="C48" s="19" t="inlineStr">
        <is>
          <t>─</t>
        </is>
      </c>
      <c r="D48" s="20" t="inlineStr">
        <is>
          <t>FPC</t>
        </is>
      </c>
      <c r="E48" s="20" t="inlineStr">
        <is>
          <t>DEP</t>
        </is>
      </c>
      <c r="F48" s="20" t="inlineStr">
        <is>
          <t>DEP</t>
        </is>
      </c>
      <c r="G48" s="20" t="inlineStr">
        <is>
          <t>NONE</t>
        </is>
      </c>
      <c r="H48" s="20" t="inlineStr">
        <is>
          <t>POWER</t>
        </is>
      </c>
      <c r="I48" s="20" t="inlineStr">
        <is>
          <t>F</t>
        </is>
      </c>
    </row>
    <row r="49">
      <c r="A49" t="inlineStr">
        <is>
          <t>بیمه دارایی‌ها</t>
        </is>
      </c>
      <c r="B49" s="8" t="inlineStr">
        <is>
          <t>FPC-02</t>
        </is>
      </c>
      <c r="C49" s="19" t="inlineStr">
        <is>
          <t>درصد ارزش دفتری</t>
        </is>
      </c>
      <c r="D49" s="20" t="inlineStr">
        <is>
          <t>FPC</t>
        </is>
      </c>
      <c r="E49" s="20" t="inlineStr">
        <is>
          <t>PCT_ASSET</t>
        </is>
      </c>
      <c r="F49" s="21" t="n">
        <v>0.006</v>
      </c>
      <c r="G49" s="20" t="inlineStr">
        <is>
          <t>NONE</t>
        </is>
      </c>
      <c r="H49" s="20" t="inlineStr">
        <is>
          <t>POWER</t>
        </is>
      </c>
      <c r="I49" s="20" t="inlineStr">
        <is>
          <t>F</t>
        </is>
      </c>
    </row>
    <row r="50">
      <c r="A50" t="inlineStr">
        <is>
          <t>اجاره و حق‌الامتیاز</t>
        </is>
      </c>
      <c r="B50" s="8" t="inlineStr">
        <is>
          <t>FPC-03</t>
        </is>
      </c>
      <c r="C50" s="19" t="inlineStr">
        <is>
          <t>میلیون ریال/سال</t>
        </is>
      </c>
      <c r="D50" s="20" t="inlineStr">
        <is>
          <t>FPC</t>
        </is>
      </c>
      <c r="E50" s="20" t="inlineStr">
        <is>
          <t>ANNUAL</t>
        </is>
      </c>
      <c r="F50" s="18" t="n">
        <v>80000</v>
      </c>
      <c r="G50" s="20" t="inlineStr">
        <is>
          <t>CPI</t>
        </is>
      </c>
      <c r="H50" s="20" t="inlineStr">
        <is>
          <t>AREA</t>
        </is>
      </c>
      <c r="I50" s="20" t="inlineStr">
        <is>
          <t>F</t>
        </is>
      </c>
    </row>
    <row r="51">
      <c r="A51" t="inlineStr">
        <is>
          <t>حقوق غیرمستقیم تولید</t>
        </is>
      </c>
      <c r="B51" s="8" t="inlineStr">
        <is>
          <t>FPC-04</t>
        </is>
      </c>
      <c r="C51" s="19" t="inlineStr">
        <is>
          <t>─</t>
        </is>
      </c>
      <c r="D51" s="20" t="inlineStr">
        <is>
          <t>FPC</t>
        </is>
      </c>
      <c r="E51" s="20" t="inlineStr">
        <is>
          <t>PAY</t>
        </is>
      </c>
      <c r="F51" s="20" t="inlineStr">
        <is>
          <t>PAY:2</t>
        </is>
      </c>
      <c r="G51" s="20" t="inlineStr">
        <is>
          <t>WAGE</t>
        </is>
      </c>
      <c r="H51" s="20" t="inlineStr">
        <is>
          <t>HEADCOUNT</t>
        </is>
      </c>
      <c r="I51" s="20" t="inlineStr">
        <is>
          <t>F</t>
        </is>
      </c>
    </row>
    <row r="52">
      <c r="A52" t="inlineStr">
        <is>
          <t>حقوق نگهداری و تعمیرات</t>
        </is>
      </c>
      <c r="B52" s="8" t="inlineStr">
        <is>
          <t>FPC-05</t>
        </is>
      </c>
      <c r="C52" s="19" t="inlineStr">
        <is>
          <t>─</t>
        </is>
      </c>
      <c r="D52" s="20" t="inlineStr">
        <is>
          <t>FPC</t>
        </is>
      </c>
      <c r="E52" s="20" t="inlineStr">
        <is>
          <t>PAY</t>
        </is>
      </c>
      <c r="F52" s="20" t="inlineStr">
        <is>
          <t>PAY:3</t>
        </is>
      </c>
      <c r="G52" s="20" t="inlineStr">
        <is>
          <t>WAGE</t>
        </is>
      </c>
      <c r="H52" s="20" t="inlineStr">
        <is>
          <t>HEADCOUNT</t>
        </is>
      </c>
      <c r="I52" s="20" t="inlineStr">
        <is>
          <t>F</t>
        </is>
      </c>
    </row>
    <row r="53">
      <c r="A53" t="inlineStr">
        <is>
          <t>حقوق اداری و مالی</t>
        </is>
      </c>
      <c r="B53" s="8" t="inlineStr">
        <is>
          <t>FPC-06</t>
        </is>
      </c>
      <c r="C53" s="19" t="inlineStr">
        <is>
          <t>─</t>
        </is>
      </c>
      <c r="D53" s="20" t="inlineStr">
        <is>
          <t>FPC</t>
        </is>
      </c>
      <c r="E53" s="20" t="inlineStr">
        <is>
          <t>PAY</t>
        </is>
      </c>
      <c r="F53" s="20" t="inlineStr">
        <is>
          <t>PAY:4</t>
        </is>
      </c>
      <c r="G53" s="20" t="inlineStr">
        <is>
          <t>WAGE</t>
        </is>
      </c>
      <c r="H53" s="20" t="inlineStr">
        <is>
          <t>HEADCOUNT</t>
        </is>
      </c>
      <c r="I53" s="20" t="inlineStr">
        <is>
          <t>F</t>
        </is>
      </c>
    </row>
    <row r="54">
      <c r="A54" t="inlineStr">
        <is>
          <t>حقوق فروش و بازاریابی</t>
        </is>
      </c>
      <c r="B54" s="8" t="inlineStr">
        <is>
          <t>FPC-07</t>
        </is>
      </c>
      <c r="C54" s="19" t="inlineStr">
        <is>
          <t>─</t>
        </is>
      </c>
      <c r="D54" s="20" t="inlineStr">
        <is>
          <t>FPC</t>
        </is>
      </c>
      <c r="E54" s="20" t="inlineStr">
        <is>
          <t>PAY</t>
        </is>
      </c>
      <c r="F54" s="20" t="inlineStr">
        <is>
          <t>PAY:5</t>
        </is>
      </c>
      <c r="G54" s="20" t="inlineStr">
        <is>
          <t>WAGE</t>
        </is>
      </c>
      <c r="H54" s="20" t="inlineStr">
        <is>
          <t>HEADCOUNT</t>
        </is>
      </c>
      <c r="I54" s="20" t="inlineStr">
        <is>
          <t>F</t>
        </is>
      </c>
    </row>
    <row r="55">
      <c r="A55" t="inlineStr">
        <is>
          <t>هزینه‌های عمومی و اداری غیرپرسنلی</t>
        </is>
      </c>
      <c r="B55" s="8" t="inlineStr">
        <is>
          <t>FPC-08</t>
        </is>
      </c>
      <c r="C55" s="19" t="inlineStr">
        <is>
          <t>میلیون ریال/سال</t>
        </is>
      </c>
      <c r="D55" s="20" t="inlineStr">
        <is>
          <t>FPC</t>
        </is>
      </c>
      <c r="E55" s="20" t="inlineStr">
        <is>
          <t>ANNUAL</t>
        </is>
      </c>
      <c r="F55" s="18" t="n">
        <v>300000</v>
      </c>
      <c r="G55" s="20" t="inlineStr">
        <is>
          <t>CPI</t>
        </is>
      </c>
      <c r="H55" s="20" t="inlineStr">
        <is>
          <t>HEADCOUNT</t>
        </is>
      </c>
      <c r="I55" s="20" t="inlineStr">
        <is>
          <t>F</t>
        </is>
      </c>
    </row>
    <row r="56">
      <c r="A56" t="inlineStr">
        <is>
          <t>تبلیغات و بازاریابی ثابت</t>
        </is>
      </c>
      <c r="B56" s="8" t="inlineStr">
        <is>
          <t>FPC-09</t>
        </is>
      </c>
      <c r="C56" s="19" t="inlineStr">
        <is>
          <t>میلیون ریال/سال</t>
        </is>
      </c>
      <c r="D56" s="20" t="inlineStr">
        <is>
          <t>FPC</t>
        </is>
      </c>
      <c r="E56" s="20" t="inlineStr">
        <is>
          <t>ANNUAL</t>
        </is>
      </c>
      <c r="F56" s="18" t="n">
        <v>120000</v>
      </c>
      <c r="G56" s="20" t="inlineStr">
        <is>
          <t>CPI</t>
        </is>
      </c>
      <c r="H56" s="20" t="inlineStr">
        <is>
          <t>AREA</t>
        </is>
      </c>
      <c r="I56" s="20" t="inlineStr">
        <is>
          <t>F</t>
        </is>
      </c>
    </row>
    <row r="57">
      <c r="A57" t="inlineStr">
        <is>
          <t>بار پایه انرژی</t>
        </is>
      </c>
      <c r="B57" s="8" t="inlineStr">
        <is>
          <t>FPC-10</t>
        </is>
      </c>
      <c r="C57" s="19" t="inlineStr">
        <is>
          <t>میلیون ریال/سال</t>
        </is>
      </c>
      <c r="D57" s="20" t="inlineStr">
        <is>
          <t>FPC</t>
        </is>
      </c>
      <c r="E57" s="20" t="inlineStr">
        <is>
          <t>ANNUAL</t>
        </is>
      </c>
      <c r="F57" s="18" t="n">
        <v>400000</v>
      </c>
      <c r="G57" s="20" t="inlineStr">
        <is>
          <t>ENERGY</t>
        </is>
      </c>
      <c r="H57" s="20" t="inlineStr">
        <is>
          <t>POWER</t>
        </is>
      </c>
      <c r="I57" s="20" t="inlineStr">
        <is>
          <t>F</t>
        </is>
      </c>
    </row>
    <row r="58">
      <c r="A58" t="inlineStr">
        <is>
          <t>مرکز خدماتی: منابع انسانی</t>
        </is>
      </c>
      <c r="B58" s="8" t="inlineStr">
        <is>
          <t>FPC-11</t>
        </is>
      </c>
      <c r="C58" s="19" t="inlineStr">
        <is>
          <t>─</t>
        </is>
      </c>
      <c r="D58" s="20" t="inlineStr">
        <is>
          <t>FPC</t>
        </is>
      </c>
      <c r="E58" s="20" t="inlineStr">
        <is>
          <t>SRV</t>
        </is>
      </c>
      <c r="F58" s="20" t="inlineStr">
        <is>
          <t>SRV:2</t>
        </is>
      </c>
      <c r="G58" s="20" t="inlineStr">
        <is>
          <t>CPI</t>
        </is>
      </c>
      <c r="H58" s="20" t="inlineStr">
        <is>
          <t>SRV</t>
        </is>
      </c>
      <c r="I58" s="20" t="inlineStr">
        <is>
          <t>F</t>
        </is>
      </c>
    </row>
    <row r="59">
      <c r="A59" t="inlineStr">
        <is>
          <t>سایر هزینه‌های ثابت</t>
        </is>
      </c>
      <c r="B59" s="8" t="inlineStr">
        <is>
          <t>FPC-12</t>
        </is>
      </c>
      <c r="C59" s="19" t="inlineStr">
        <is>
          <t>میلیون ریال/سال</t>
        </is>
      </c>
      <c r="D59" s="20" t="inlineStr">
        <is>
          <t>FPC</t>
        </is>
      </c>
      <c r="E59" s="20" t="inlineStr">
        <is>
          <t>ANNUAL</t>
        </is>
      </c>
      <c r="F59" s="18" t="n">
        <v>150000</v>
      </c>
      <c r="G59" s="20" t="inlineStr">
        <is>
          <t>CPI</t>
        </is>
      </c>
      <c r="H59" s="20" t="inlineStr">
        <is>
          <t>AREA</t>
        </is>
      </c>
      <c r="I59" s="20" t="inlineStr">
        <is>
          <t>F</t>
        </is>
      </c>
    </row>
    <row r="60"/>
    <row r="61">
      <c r="A61" s="15" t="inlineStr">
        <is>
          <t>راهنما: مبنای محاسبه ← SCRAP_LME (خرید مواد اولیه، پیوند به LME×ارز)، PER_TON_BATT، PER_TON_PROD،</t>
        </is>
      </c>
    </row>
    <row r="62">
      <c r="A62" s="15" t="inlineStr">
        <is>
          <t>PER_KWH، PER_M3، ANNUAL (مبلغ سالانه)، PCT_REV (درصد از درآمد)، PCT_ASSET (درصد ارزش دفتری)،</t>
        </is>
      </c>
    </row>
    <row r="63">
      <c r="A63" s="15" t="inlineStr">
        <is>
          <t>DEP (استهلاک از موتور دارایی‌ها)، PAY:n (طبقه حقوقی n)، SRV:n (مرکز خدماتی n).</t>
        </is>
      </c>
    </row>
    <row r="64">
      <c r="A64" s="15" t="inlineStr">
        <is>
          <t>شاخص تعدیل: CPI / WAGE / ENERGY / PPI / FX / NONE. مبنای تخصیص: THROUGHPUT / MACHINE_HOURS /</t>
        </is>
      </c>
    </row>
    <row r="65">
      <c r="A65" s="15" t="inlineStr">
        <is>
          <t>HEADCOUNT / POWER / AREA / WATER / SRV (تخصیص از جدول مراکز خدماتی).</t>
        </is>
      </c>
    </row>
  </sheetData>
  <dataValidations count="5">
    <dataValidation sqref="D33:D59" showDropDown="0" showInputMessage="0" showErrorMessage="0" allowBlank="1" errorTitle="ورودی نامعتبر" error="مقدار باید یکی از گزینه‌های مجاز باشد" type="list">
      <formula1>"DPC,OPC,FPC"</formula1>
    </dataValidation>
    <dataValidation sqref="E33:E59" showDropDown="0" showInputMessage="0" showErrorMessage="0" allowBlank="1" errorTitle="ورودی نامعتبر" error="مقدار باید یکی از گزینه‌های مجاز باشد" type="list">
      <formula1>"SCRAP_LME,PER_TON_BATT,PER_TON_PROD,PER_KWH,PER_M3,ANNUAL,PCT_REV,PCT_ASSET,DEP,PAY,SRV"</formula1>
    </dataValidation>
    <dataValidation sqref="G33:G59" showDropDown="0" showInputMessage="0" showErrorMessage="0" allowBlank="1" errorTitle="ورودی نامعتبر" error="مقدار باید یکی از گزینه‌های مجاز باشد" type="list">
      <formula1>"CPI,WAGE,ENERGY,PPI,FX,NONE"</formula1>
    </dataValidation>
    <dataValidation sqref="H33:H59" showDropDown="0" showInputMessage="0" showErrorMessage="0" allowBlank="1" errorTitle="ورودی نامعتبر" error="مقدار باید یکی از گزینه‌های مجاز باشد" type="list">
      <formula1>"THROUGHPUT,MACHINE_HOURS,HEADCOUNT,POWER,AREA,WATER,SRV"</formula1>
    </dataValidation>
    <dataValidation sqref="I33:I59" showDropDown="0" showInputMessage="0" showErrorMessage="0" allowBlank="1" errorTitle="ورودی نامعتبر" error="مقدار باید یکی از گزینه‌های مجاز باشد" type="list">
      <formula1>"V,F"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P20"/>
  <sheetViews>
    <sheetView rightToLeft="1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۵. سیاست‌های سرمایه در گردش و چرخه نقدینگی</t>
        </is>
      </c>
      <c r="B1" s="2" t="inlineStr">
        <is>
          <t>لایه ورودی</t>
        </is>
      </c>
    </row>
    <row r="2">
      <c r="A2" s="3" t="inlineStr">
        <is>
          <t>روزهای موجودی، دریافتنی و پرداختنی برای محاسبهٔ چرخهٔ تبدیل نقد (CCC).</t>
        </is>
      </c>
    </row>
    <row r="3"/>
    <row r="4"/>
    <row r="5"/>
    <row r="6"/>
    <row r="7">
      <c r="A7" s="6" t="inlineStr">
        <is>
          <t>الف) دوره‌های سرمایه در گردش (روز)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</row>
    <row r="8">
      <c r="A8" t="inlineStr">
        <is>
          <t>موجودی مواد اولیه (باتری ضایعاتی)</t>
        </is>
      </c>
      <c r="B8" s="8" t="inlineStr">
        <is>
          <t>WC.dio_rm</t>
        </is>
      </c>
      <c r="C8" s="9" t="inlineStr">
        <is>
          <t>روز</t>
        </is>
      </c>
      <c r="D8" s="14" t="n">
        <v>25</v>
      </c>
    </row>
    <row r="9">
      <c r="A9" t="inlineStr">
        <is>
          <t>موجودی کالای در جریان ساخت</t>
        </is>
      </c>
      <c r="B9" s="8" t="inlineStr">
        <is>
          <t>WC.dio_wip</t>
        </is>
      </c>
      <c r="C9" s="9" t="inlineStr">
        <is>
          <t>روز</t>
        </is>
      </c>
      <c r="D9" s="14" t="n">
        <v>8</v>
      </c>
    </row>
    <row r="10">
      <c r="A10" t="inlineStr">
        <is>
          <t>موجودی محصول نهایی</t>
        </is>
      </c>
      <c r="B10" s="8" t="inlineStr">
        <is>
          <t>WC.dio_fg</t>
        </is>
      </c>
      <c r="C10" s="9" t="inlineStr">
        <is>
          <t>روز</t>
        </is>
      </c>
      <c r="D10" s="14" t="n">
        <v>15</v>
      </c>
    </row>
    <row r="11">
      <c r="A11" t="inlineStr">
        <is>
          <t>موجودی مواد مصرفی و قطعات یدکی</t>
        </is>
      </c>
      <c r="B11" s="8" t="inlineStr">
        <is>
          <t>WC.dio_cons</t>
        </is>
      </c>
      <c r="C11" s="9" t="inlineStr">
        <is>
          <t>روز</t>
        </is>
      </c>
      <c r="D11" s="14" t="n">
        <v>30</v>
      </c>
    </row>
    <row r="12">
      <c r="A12" t="inlineStr">
        <is>
          <t>دوره وصول مطالبات (DSO)</t>
        </is>
      </c>
      <c r="B12" s="8" t="inlineStr">
        <is>
          <t>WC.dso</t>
        </is>
      </c>
      <c r="C12" s="9" t="inlineStr">
        <is>
          <t>روز</t>
        </is>
      </c>
      <c r="D12" s="14" t="n">
        <v>45</v>
      </c>
    </row>
    <row r="13">
      <c r="A13" t="inlineStr">
        <is>
          <t>دوره پرداخت بدهی‌ها (DPO)</t>
        </is>
      </c>
      <c r="B13" s="8" t="inlineStr">
        <is>
          <t>WC.dpo</t>
        </is>
      </c>
      <c r="C13" s="9" t="inlineStr">
        <is>
          <t>روز</t>
        </is>
      </c>
      <c r="D13" s="14" t="n">
        <v>40</v>
      </c>
    </row>
    <row r="14">
      <c r="A14" t="inlineStr">
        <is>
          <t>دوره پرداخت مالیات</t>
        </is>
      </c>
      <c r="B14" s="8" t="inlineStr">
        <is>
          <t>WC.dpo_tax</t>
        </is>
      </c>
      <c r="C14" s="9" t="inlineStr">
        <is>
          <t>روز</t>
        </is>
      </c>
      <c r="D14" s="14" t="n">
        <v>30</v>
      </c>
    </row>
    <row r="15">
      <c r="A15" t="inlineStr">
        <is>
          <t>ذخیره نقدی عملیاتی (روز هزینه نقدی)</t>
        </is>
      </c>
      <c r="B15" s="8" t="inlineStr">
        <is>
          <t>WC.cashdays</t>
        </is>
      </c>
      <c r="C15" s="9" t="inlineStr">
        <is>
          <t>روز</t>
        </is>
      </c>
      <c r="D15" s="14" t="n">
        <v>15</v>
      </c>
    </row>
    <row r="16"/>
    <row r="17">
      <c r="A17" s="6" t="inlineStr">
        <is>
          <t>ب) سیاست‌های تأمین مالی سرمایه در گردش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</row>
    <row r="18">
      <c r="A18" t="inlineStr">
        <is>
          <t>سهم سرمایه در گردش تأمین‌شده از تسهیلات کوتاه‌مدت</t>
        </is>
      </c>
      <c r="B18" s="8" t="inlineStr">
        <is>
          <t>WC.wc_loan_share</t>
        </is>
      </c>
      <c r="C18" s="9" t="inlineStr">
        <is>
          <t>درصد</t>
        </is>
      </c>
      <c r="D18" s="11" t="n">
        <v>0.3</v>
      </c>
    </row>
    <row r="19">
      <c r="A19" t="inlineStr">
        <is>
          <t>نرخ ذخیره مطالبات مشکوک‌الوصول</t>
        </is>
      </c>
      <c r="B19" s="8" t="inlineStr">
        <is>
          <t>WC.bad_debt</t>
        </is>
      </c>
      <c r="C19" s="9" t="inlineStr">
        <is>
          <t>درصد</t>
        </is>
      </c>
      <c r="D19" s="17" t="n">
        <v>0.01</v>
      </c>
    </row>
    <row r="20">
      <c r="A20" t="inlineStr">
        <is>
          <t>ضریب کاهش ارزش موجودی (کهنگی)</t>
        </is>
      </c>
      <c r="B20" s="8" t="inlineStr">
        <is>
          <t>WC.inv_obs</t>
        </is>
      </c>
      <c r="C20" s="9" t="inlineStr">
        <is>
          <t>درصد</t>
        </is>
      </c>
      <c r="D20" s="17" t="n">
        <v>0.005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P34"/>
  <sheetViews>
    <sheetView rightToLeft="1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۶. ساختار سرمایه، تأمین مالی و برنامه CAPEX</t>
        </is>
      </c>
      <c r="B1" s="2" t="inlineStr">
        <is>
          <t>لایه ورودی</t>
        </is>
      </c>
    </row>
    <row r="2">
      <c r="A2" s="3" t="inlineStr">
        <is>
          <t>درصد بدهی و حقوق صاحبان سهام، نرخ‌های بهره، دوره بازپرداخت، کارمزدها و برنامه تزریق سرمایه.</t>
        </is>
      </c>
    </row>
    <row r="3"/>
    <row r="4"/>
    <row r="5"/>
    <row r="6"/>
    <row r="7">
      <c r="A7" s="6" t="inlineStr">
        <is>
          <t>الف) برنامه سرمایه‌گذاری ثابت (CAPEX)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</row>
    <row r="8">
      <c r="D8" s="16" t="inlineStr">
        <is>
          <t>مبلغ کل</t>
        </is>
      </c>
      <c r="E8" s="16" t="inlineStr">
        <is>
          <t>سهم ارزی</t>
        </is>
      </c>
      <c r="F8" s="16" t="inlineStr">
        <is>
          <t>عمر مفید</t>
        </is>
      </c>
      <c r="G8" s="16" t="inlineStr">
        <is>
          <t>دوره جایگزینی</t>
        </is>
      </c>
      <c r="H8" s="16" t="inlineStr">
        <is>
          <t>درصد جایگزینی</t>
        </is>
      </c>
      <c r="I8" s="16" t="inlineStr">
        <is>
          <t>ارزش اسقاط</t>
        </is>
      </c>
      <c r="J8" s="16" t="inlineStr">
        <is>
          <t>تزریق t=0</t>
        </is>
      </c>
      <c r="K8" s="16" t="inlineStr">
        <is>
          <t>تزریق t=1</t>
        </is>
      </c>
      <c r="L8" s="16" t="inlineStr">
        <is>
          <t>تزریق t=2</t>
        </is>
      </c>
    </row>
    <row r="9">
      <c r="A9" t="inlineStr">
        <is>
          <t>زمین</t>
        </is>
      </c>
      <c r="B9" s="8" t="inlineStr">
        <is>
          <t>CAP-01</t>
        </is>
      </c>
      <c r="C9" s="19" t="inlineStr">
        <is>
          <t>میلیون ریال</t>
        </is>
      </c>
      <c r="D9" s="18" t="n">
        <v>300000</v>
      </c>
      <c r="E9" s="22" t="n">
        <v>0</v>
      </c>
      <c r="F9" s="18" t="n">
        <v>0</v>
      </c>
      <c r="G9" s="18" t="n">
        <v>0</v>
      </c>
      <c r="H9" s="22" t="n">
        <v>0</v>
      </c>
      <c r="I9" s="23" t="n">
        <v>1</v>
      </c>
      <c r="J9" s="22" t="n">
        <v>1</v>
      </c>
      <c r="K9" s="22" t="n">
        <v>0</v>
      </c>
      <c r="L9" s="22" t="n">
        <v>0</v>
      </c>
    </row>
    <row r="10">
      <c r="A10" t="inlineStr">
        <is>
          <t>محوطه‌سازی و ساختمان</t>
        </is>
      </c>
      <c r="B10" s="8" t="inlineStr">
        <is>
          <t>CAP-02</t>
        </is>
      </c>
      <c r="C10" s="19" t="inlineStr">
        <is>
          <t>میلیون ریال</t>
        </is>
      </c>
      <c r="D10" s="18" t="n">
        <v>1600000</v>
      </c>
      <c r="E10" s="22" t="n">
        <v>0.1</v>
      </c>
      <c r="F10" s="18" t="n">
        <v>30</v>
      </c>
      <c r="G10" s="18" t="n">
        <v>0</v>
      </c>
      <c r="H10" s="22" t="n">
        <v>0</v>
      </c>
      <c r="I10" s="23" t="n">
        <v>0.3</v>
      </c>
      <c r="J10" s="22" t="n">
        <v>0.75</v>
      </c>
      <c r="K10" s="22" t="n">
        <v>0.25</v>
      </c>
      <c r="L10" s="22" t="n">
        <v>0</v>
      </c>
    </row>
    <row r="11">
      <c r="A11" t="inlineStr">
        <is>
          <t>ماشین‌آلات وارداتی</t>
        </is>
      </c>
      <c r="B11" s="8" t="inlineStr">
        <is>
          <t>CAP-03</t>
        </is>
      </c>
      <c r="C11" s="19" t="inlineStr">
        <is>
          <t>میلیون ریال</t>
        </is>
      </c>
      <c r="D11" s="18" t="n">
        <v>4800000</v>
      </c>
      <c r="E11" s="22" t="n">
        <v>0.9</v>
      </c>
      <c r="F11" s="18" t="n">
        <v>15</v>
      </c>
      <c r="G11" s="18" t="n">
        <v>0</v>
      </c>
      <c r="H11" s="22" t="n">
        <v>0.6</v>
      </c>
      <c r="I11" s="23" t="n">
        <v>0.1</v>
      </c>
      <c r="J11" s="22" t="n">
        <v>0.75</v>
      </c>
      <c r="K11" s="22" t="n">
        <v>0.25</v>
      </c>
      <c r="L11" s="22" t="n">
        <v>0</v>
      </c>
    </row>
    <row r="12">
      <c r="A12" t="inlineStr">
        <is>
          <t>ماشین‌آلات داخلی</t>
        </is>
      </c>
      <c r="B12" s="8" t="inlineStr">
        <is>
          <t>CAP-04</t>
        </is>
      </c>
      <c r="C12" s="19" t="inlineStr">
        <is>
          <t>میلیون ریال</t>
        </is>
      </c>
      <c r="D12" s="18" t="n">
        <v>1900000</v>
      </c>
      <c r="E12" s="22" t="n">
        <v>0.25</v>
      </c>
      <c r="F12" s="18" t="n">
        <v>12</v>
      </c>
      <c r="G12" s="18" t="n">
        <v>12</v>
      </c>
      <c r="H12" s="22" t="n">
        <v>0.7</v>
      </c>
      <c r="I12" s="23" t="n">
        <v>0.1</v>
      </c>
      <c r="J12" s="22" t="n">
        <v>0.75</v>
      </c>
      <c r="K12" s="22" t="n">
        <v>0.25</v>
      </c>
      <c r="L12" s="22" t="n">
        <v>0</v>
      </c>
    </row>
    <row r="13">
      <c r="A13" t="inlineStr">
        <is>
          <t>تأسیسات و تجهیزات جانبی</t>
        </is>
      </c>
      <c r="B13" s="8" t="inlineStr">
        <is>
          <t>CAP-05</t>
        </is>
      </c>
      <c r="C13" s="19" t="inlineStr">
        <is>
          <t>میلیون ریال</t>
        </is>
      </c>
      <c r="D13" s="18" t="n">
        <v>1200000</v>
      </c>
      <c r="E13" s="22" t="n">
        <v>0.4</v>
      </c>
      <c r="F13" s="18" t="n">
        <v>15</v>
      </c>
      <c r="G13" s="18" t="n">
        <v>0</v>
      </c>
      <c r="H13" s="22" t="n">
        <v>0.5</v>
      </c>
      <c r="I13" s="23" t="n">
        <v>0.1</v>
      </c>
      <c r="J13" s="22" t="n">
        <v>0.75</v>
      </c>
      <c r="K13" s="22" t="n">
        <v>0.25</v>
      </c>
      <c r="L13" s="22" t="n">
        <v>0</v>
      </c>
    </row>
    <row r="14">
      <c r="A14" t="inlineStr">
        <is>
          <t>تصفیه‌خانه و تجهیزات زیست‌محیطی</t>
        </is>
      </c>
      <c r="B14" s="8" t="inlineStr">
        <is>
          <t>CAP-06</t>
        </is>
      </c>
      <c r="C14" s="19" t="inlineStr">
        <is>
          <t>میلیون ریال</t>
        </is>
      </c>
      <c r="D14" s="18" t="n">
        <v>1050000</v>
      </c>
      <c r="E14" s="22" t="n">
        <v>0.3</v>
      </c>
      <c r="F14" s="18" t="n">
        <v>12</v>
      </c>
      <c r="G14" s="18" t="n">
        <v>12</v>
      </c>
      <c r="H14" s="22" t="n">
        <v>0.7</v>
      </c>
      <c r="I14" s="23" t="n">
        <v>0.1</v>
      </c>
      <c r="J14" s="22" t="n">
        <v>0.75</v>
      </c>
      <c r="K14" s="22" t="n">
        <v>0.25</v>
      </c>
      <c r="L14" s="22" t="n">
        <v>0</v>
      </c>
    </row>
    <row r="15">
      <c r="A15" t="inlineStr">
        <is>
          <t>تجهیزات حمل‌ونقل داخلی</t>
        </is>
      </c>
      <c r="B15" s="8" t="inlineStr">
        <is>
          <t>CAP-07</t>
        </is>
      </c>
      <c r="C15" s="19" t="inlineStr">
        <is>
          <t>میلیون ریال</t>
        </is>
      </c>
      <c r="D15" s="18" t="n">
        <v>700000</v>
      </c>
      <c r="E15" s="22" t="n">
        <v>0.2</v>
      </c>
      <c r="F15" s="18" t="n">
        <v>8</v>
      </c>
      <c r="G15" s="18" t="n">
        <v>8</v>
      </c>
      <c r="H15" s="22" t="n">
        <v>0.8</v>
      </c>
      <c r="I15" s="23" t="n">
        <v>0.15</v>
      </c>
      <c r="J15" s="22" t="n">
        <v>0.6</v>
      </c>
      <c r="K15" s="22" t="n">
        <v>0.4</v>
      </c>
      <c r="L15" s="22" t="n">
        <v>0</v>
      </c>
    </row>
    <row r="16">
      <c r="A16" t="inlineStr">
        <is>
          <t>آزمایشگاه و ابزار دقیق</t>
        </is>
      </c>
      <c r="B16" s="8" t="inlineStr">
        <is>
          <t>CAP-08</t>
        </is>
      </c>
      <c r="C16" s="19" t="inlineStr">
        <is>
          <t>میلیون ریال</t>
        </is>
      </c>
      <c r="D16" s="18" t="n">
        <v>450000</v>
      </c>
      <c r="E16" s="22" t="n">
        <v>0.6</v>
      </c>
      <c r="F16" s="18" t="n">
        <v>10</v>
      </c>
      <c r="G16" s="18" t="n">
        <v>10</v>
      </c>
      <c r="H16" s="22" t="n">
        <v>0.6</v>
      </c>
      <c r="I16" s="23" t="n">
        <v>0.1</v>
      </c>
      <c r="J16" s="22" t="n">
        <v>0.5</v>
      </c>
      <c r="K16" s="22" t="n">
        <v>0.5</v>
      </c>
      <c r="L16" s="22" t="n">
        <v>0</v>
      </c>
    </row>
    <row r="17">
      <c r="A17" t="inlineStr">
        <is>
          <t>مهندسی، نصب و راه‌اندازی</t>
        </is>
      </c>
      <c r="B17" s="8" t="inlineStr">
        <is>
          <t>CAP-09</t>
        </is>
      </c>
      <c r="C17" s="19" t="inlineStr">
        <is>
          <t>میلیون ریال</t>
        </is>
      </c>
      <c r="D17" s="18" t="n">
        <v>900000</v>
      </c>
      <c r="E17" s="22" t="n">
        <v>0.1</v>
      </c>
      <c r="F17" s="18" t="n">
        <v>15</v>
      </c>
      <c r="G17" s="18" t="n">
        <v>0</v>
      </c>
      <c r="H17" s="22" t="n">
        <v>0</v>
      </c>
      <c r="I17" s="23" t="n">
        <v>0</v>
      </c>
      <c r="J17" s="22" t="n">
        <v>0.6</v>
      </c>
      <c r="K17" s="22" t="n">
        <v>0.4</v>
      </c>
      <c r="L17" s="22" t="n">
        <v>0</v>
      </c>
    </row>
    <row r="18">
      <c r="A18" t="inlineStr">
        <is>
          <t>هزینه‌های پیش از بهره‌برداری</t>
        </is>
      </c>
      <c r="B18" s="8" t="inlineStr">
        <is>
          <t>CAP-10</t>
        </is>
      </c>
      <c r="C18" s="19" t="inlineStr">
        <is>
          <t>میلیون ریال</t>
        </is>
      </c>
      <c r="D18" s="18" t="n">
        <v>420000</v>
      </c>
      <c r="E18" s="22" t="n">
        <v>0.05</v>
      </c>
      <c r="F18" s="18" t="n">
        <v>5</v>
      </c>
      <c r="G18" s="18" t="n">
        <v>5</v>
      </c>
      <c r="H18" s="22" t="n">
        <v>0.5</v>
      </c>
      <c r="I18" s="23" t="n">
        <v>0</v>
      </c>
      <c r="J18" s="22" t="n">
        <v>0.3</v>
      </c>
      <c r="K18" s="22" t="n">
        <v>0.5</v>
      </c>
      <c r="L18" s="22" t="n">
        <v>0.2</v>
      </c>
    </row>
    <row r="19">
      <c r="A19" t="inlineStr">
        <is>
          <t>ذخیره احتیاطی فیزیکی</t>
        </is>
      </c>
      <c r="B19" s="8" t="inlineStr">
        <is>
          <t>CAP-11</t>
        </is>
      </c>
      <c r="C19" s="19" t="inlineStr">
        <is>
          <t>میلیون ریال</t>
        </is>
      </c>
      <c r="D19" s="18" t="n">
        <v>1200000</v>
      </c>
      <c r="E19" s="22" t="n">
        <v>0.4</v>
      </c>
      <c r="F19" s="18" t="n">
        <v>15</v>
      </c>
      <c r="G19" s="18" t="n">
        <v>0</v>
      </c>
      <c r="H19" s="22" t="n">
        <v>0</v>
      </c>
      <c r="I19" s="23" t="n">
        <v>0.1</v>
      </c>
      <c r="J19" s="22" t="n">
        <v>0.4</v>
      </c>
      <c r="K19" s="22" t="n">
        <v>0.4</v>
      </c>
      <c r="L19" s="22" t="n">
        <v>0.2</v>
      </c>
    </row>
    <row r="20"/>
    <row r="21">
      <c r="A21" s="15" t="inlineStr">
        <is>
          <t>توضیح: عمر مفید صفر = مستهلک نمی‌شود (زمین). دوره جایگزینی صفر = جایگزینی در افق مدل ندارد.</t>
        </is>
      </c>
    </row>
    <row r="22"/>
    <row r="23">
      <c r="A23" s="6" t="inlineStr">
        <is>
          <t>ب) ساختار تأمین مالی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</row>
    <row r="24">
      <c r="A24" t="inlineStr">
        <is>
          <t>سهم تسهیلات بلندمدت از CAPEX</t>
        </is>
      </c>
      <c r="B24" s="8" t="inlineStr">
        <is>
          <t>FIN.debt_share</t>
        </is>
      </c>
      <c r="C24" s="9" t="inlineStr">
        <is>
          <t>درصد</t>
        </is>
      </c>
      <c r="D24" s="11" t="n">
        <v>0.6</v>
      </c>
    </row>
    <row r="25">
      <c r="A25" t="inlineStr">
        <is>
          <t>نرخ سود تسهیلات بلندمدت</t>
        </is>
      </c>
      <c r="B25" s="8" t="inlineStr">
        <is>
          <t>FIN.kd</t>
        </is>
      </c>
      <c r="C25" s="9" t="inlineStr">
        <is>
          <t>درصد</t>
        </is>
      </c>
      <c r="D25" s="11" t="n">
        <v>0.22</v>
      </c>
    </row>
    <row r="26">
      <c r="A26" t="inlineStr">
        <is>
          <t>کارمزد تخصیص/تعهد یکجا</t>
        </is>
      </c>
      <c r="B26" s="8" t="inlineStr">
        <is>
          <t>FIN.fee_arr</t>
        </is>
      </c>
      <c r="C26" s="9" t="inlineStr">
        <is>
          <t>درصد</t>
        </is>
      </c>
      <c r="D26" s="17" t="n">
        <v>0.015</v>
      </c>
    </row>
    <row r="27">
      <c r="A27" t="inlineStr">
        <is>
          <t>کارمزد تعهد روی مانده استفاده‌نشده</t>
        </is>
      </c>
      <c r="B27" s="8" t="inlineStr">
        <is>
          <t>FIN.fee_com</t>
        </is>
      </c>
      <c r="C27" s="9" t="inlineStr">
        <is>
          <t>درصد</t>
        </is>
      </c>
      <c r="D27" s="17" t="n">
        <v>0.005</v>
      </c>
    </row>
    <row r="28">
      <c r="A28" t="inlineStr">
        <is>
          <t>شاخص سال شروع بازپرداخت (t)</t>
        </is>
      </c>
      <c r="B28" s="8" t="inlineStr">
        <is>
          <t>FIN.repay_start</t>
        </is>
      </c>
      <c r="C28" s="9" t="inlineStr">
        <is>
          <t>شاخص</t>
        </is>
      </c>
      <c r="D28" s="10" t="n">
        <v>2</v>
      </c>
    </row>
    <row r="29">
      <c r="A29" t="inlineStr">
        <is>
          <t>دوره بازپرداخت (سال)</t>
        </is>
      </c>
      <c r="B29" s="8" t="inlineStr">
        <is>
          <t>FIN.repay_years</t>
        </is>
      </c>
      <c r="C29" s="9" t="inlineStr">
        <is>
          <t>سال</t>
        </is>
      </c>
      <c r="D29" s="14" t="n">
        <v>8</v>
      </c>
    </row>
    <row r="30">
      <c r="A30" t="inlineStr">
        <is>
          <t>روش بازپرداخت (1=اقساط مساوی اصل / 2=آنویتی)</t>
        </is>
      </c>
      <c r="B30" s="8" t="inlineStr">
        <is>
          <t>FIN.repay_method</t>
        </is>
      </c>
      <c r="C30" s="9" t="inlineStr">
        <is>
          <t>1/2</t>
        </is>
      </c>
      <c r="D30" s="10" t="n">
        <v>1</v>
      </c>
    </row>
    <row r="31">
      <c r="A31" t="inlineStr">
        <is>
          <t>نرخ سود تسهیلات کوتاه‌مدت (سرمایه در گردش)</t>
        </is>
      </c>
      <c r="B31" s="8" t="inlineStr">
        <is>
          <t>FIN.kd_st</t>
        </is>
      </c>
      <c r="C31" s="9" t="inlineStr">
        <is>
          <t>درصد</t>
        </is>
      </c>
      <c r="D31" s="11" t="n">
        <v>0.24</v>
      </c>
    </row>
    <row r="32">
      <c r="A32" t="inlineStr">
        <is>
          <t>حداقل DSCR قراردادی</t>
        </is>
      </c>
      <c r="B32" s="8" t="inlineStr">
        <is>
          <t>FIN.min_dscr</t>
        </is>
      </c>
      <c r="C32" s="9" t="inlineStr">
        <is>
          <t>ضریب</t>
        </is>
      </c>
      <c r="D32" s="12" t="n">
        <v>1.3</v>
      </c>
    </row>
    <row r="33">
      <c r="A33" t="inlineStr">
        <is>
          <t>سیاست تقسیم سود (درصد از سود خالص)</t>
        </is>
      </c>
      <c r="B33" s="8" t="inlineStr">
        <is>
          <t>FIN.payout</t>
        </is>
      </c>
      <c r="C33" s="9" t="inlineStr">
        <is>
          <t>درصد</t>
        </is>
      </c>
      <c r="D33" s="11" t="n">
        <v>0.4</v>
      </c>
    </row>
    <row r="34">
      <c r="A34" t="inlineStr">
        <is>
          <t>نرخ سود سپرده/درآمد غیرعملیاتی نقد</t>
        </is>
      </c>
      <c r="B34" s="8" t="inlineStr">
        <is>
          <t>FIN.i_income</t>
        </is>
      </c>
      <c r="C34" s="9" t="inlineStr">
        <is>
          <t>درصد</t>
        </is>
      </c>
      <c r="D34" s="11" t="n">
        <v>0.1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31"/>
  <sheetViews>
    <sheetView rightToLeft="1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۷. تعریف سناریوها و محورهای حساسیت</t>
        </is>
      </c>
      <c r="B1" s="2" t="inlineStr">
        <is>
          <t>لایه ورودی</t>
        </is>
      </c>
    </row>
    <row r="2">
      <c r="A2" s="3" t="inlineStr">
        <is>
          <t>ضرایب تعدیل مفروضات کلیدی در سناریوهای پایه / خوش‌بینانه / بدبینانه و محورهای ماتریس حساسیت.</t>
        </is>
      </c>
    </row>
    <row r="3"/>
    <row r="4"/>
    <row r="5"/>
    <row r="6"/>
    <row r="7">
      <c r="A7" s="6" t="inlineStr">
        <is>
          <t>الف) انتخاب سناریوی فعال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</row>
    <row r="8">
      <c r="A8" t="inlineStr">
        <is>
          <t>سناریوی فعال (۱=پایه، ۲=خوش‌بینانه، ۳=بدبینانه)</t>
        </is>
      </c>
      <c r="B8" s="8" t="inlineStr">
        <is>
          <t>SCEN.active_in</t>
        </is>
      </c>
      <c r="C8" s="9" t="inlineStr">
        <is>
          <t>شاخص</t>
        </is>
      </c>
      <c r="D8" s="10" t="n">
        <v>1</v>
      </c>
    </row>
    <row r="9">
      <c r="A9" s="15" t="inlineStr">
        <is>
          <t>تغییر این سلول کل مدل را به‌صورت زنجیره‌ای به‌روزرسانی می‌کند (ورودی ← موتور ← خروجی).</t>
        </is>
      </c>
    </row>
    <row r="10"/>
    <row r="11">
      <c r="A11" s="6" t="inlineStr">
        <is>
          <t>ب) جدول ضرایب سناریوها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</row>
    <row r="12">
      <c r="D12" s="16" t="inlineStr">
        <is>
          <t>پایه</t>
        </is>
      </c>
      <c r="E12" s="16" t="inlineStr">
        <is>
          <t>خوش‌بینانه</t>
        </is>
      </c>
      <c r="F12" s="16" t="inlineStr">
        <is>
          <t>بدبینانه</t>
        </is>
      </c>
    </row>
    <row r="13">
      <c r="A13" t="inlineStr">
        <is>
          <t>ضریب حجم تولید و فروش</t>
        </is>
      </c>
      <c r="B13" s="8" t="inlineStr">
        <is>
          <t>VOL</t>
        </is>
      </c>
      <c r="C13" s="9" t="inlineStr">
        <is>
          <t>ضریب</t>
        </is>
      </c>
      <c r="D13" s="12" t="n">
        <v>1</v>
      </c>
      <c r="E13" s="12" t="n">
        <v>1.08</v>
      </c>
      <c r="F13" s="12" t="n">
        <v>0.88</v>
      </c>
    </row>
    <row r="14">
      <c r="A14" t="inlineStr">
        <is>
          <t>ضریب قیمت فروش محصولات</t>
        </is>
      </c>
      <c r="B14" s="8" t="inlineStr">
        <is>
          <t>PRICE</t>
        </is>
      </c>
      <c r="C14" s="9" t="inlineStr">
        <is>
          <t>ضریب</t>
        </is>
      </c>
      <c r="D14" s="12" t="n">
        <v>1</v>
      </c>
      <c r="E14" s="12" t="n">
        <v>1.1</v>
      </c>
      <c r="F14" s="12" t="n">
        <v>0.9</v>
      </c>
    </row>
    <row r="15">
      <c r="A15" t="inlineStr">
        <is>
          <t>ضریب قیمت خرید باتری ضایعاتی</t>
        </is>
      </c>
      <c r="B15" s="8" t="inlineStr">
        <is>
          <t>RM</t>
        </is>
      </c>
      <c r="C15" s="9" t="inlineStr">
        <is>
          <t>ضریب</t>
        </is>
      </c>
      <c r="D15" s="12" t="n">
        <v>1</v>
      </c>
      <c r="E15" s="12" t="n">
        <v>0.95</v>
      </c>
      <c r="F15" s="12" t="n">
        <v>1.08</v>
      </c>
    </row>
    <row r="16">
      <c r="A16" t="inlineStr">
        <is>
          <t>ضریب سایر هزینه‌های متغیر</t>
        </is>
      </c>
      <c r="B16" s="8" t="inlineStr">
        <is>
          <t>VAR</t>
        </is>
      </c>
      <c r="C16" s="9" t="inlineStr">
        <is>
          <t>ضریب</t>
        </is>
      </c>
      <c r="D16" s="12" t="n">
        <v>1</v>
      </c>
      <c r="E16" s="12" t="n">
        <v>0.97</v>
      </c>
      <c r="F16" s="12" t="n">
        <v>1.1</v>
      </c>
    </row>
    <row r="17">
      <c r="A17" t="inlineStr">
        <is>
          <t>ضریب هزینه‌های ثابت</t>
        </is>
      </c>
      <c r="B17" s="8" t="inlineStr">
        <is>
          <t>FIX</t>
        </is>
      </c>
      <c r="C17" s="9" t="inlineStr">
        <is>
          <t>ضریب</t>
        </is>
      </c>
      <c r="D17" s="12" t="n">
        <v>1</v>
      </c>
      <c r="E17" s="12" t="n">
        <v>0.95</v>
      </c>
      <c r="F17" s="12" t="n">
        <v>1.12</v>
      </c>
    </row>
    <row r="18">
      <c r="A18" t="inlineStr">
        <is>
          <t>ضریب سرمایه‌گذاری ثابت</t>
        </is>
      </c>
      <c r="B18" s="8" t="inlineStr">
        <is>
          <t>CAPEX</t>
        </is>
      </c>
      <c r="C18" s="9" t="inlineStr">
        <is>
          <t>ضریب</t>
        </is>
      </c>
      <c r="D18" s="12" t="n">
        <v>1</v>
      </c>
      <c r="E18" s="12" t="n">
        <v>0.95</v>
      </c>
      <c r="F18" s="12" t="n">
        <v>1.15</v>
      </c>
    </row>
    <row r="19">
      <c r="A19" t="inlineStr">
        <is>
          <t>ضریب نرخ ارز</t>
        </is>
      </c>
      <c r="B19" s="8" t="inlineStr">
        <is>
          <t>FX</t>
        </is>
      </c>
      <c r="C19" s="9" t="inlineStr">
        <is>
          <t>ضریب</t>
        </is>
      </c>
      <c r="D19" s="12" t="n">
        <v>1</v>
      </c>
      <c r="E19" s="12" t="n">
        <v>1.05</v>
      </c>
      <c r="F19" s="12" t="n">
        <v>0.95</v>
      </c>
    </row>
    <row r="20">
      <c r="A20" t="inlineStr">
        <is>
          <t>تعدیل نرخ تنزیل</t>
        </is>
      </c>
      <c r="B20" s="8" t="inlineStr">
        <is>
          <t>WACC</t>
        </is>
      </c>
      <c r="C20" s="9" t="inlineStr">
        <is>
          <t>واحد درصد</t>
        </is>
      </c>
      <c r="D20" s="11" t="n">
        <v>0</v>
      </c>
      <c r="E20" s="11" t="n">
        <v>-0.02</v>
      </c>
      <c r="F20" s="11" t="n">
        <v>0.03</v>
      </c>
    </row>
    <row r="21">
      <c r="A21" t="inlineStr">
        <is>
          <t>تعدیل نرخ سود تسهیلات</t>
        </is>
      </c>
      <c r="B21" s="8" t="inlineStr">
        <is>
          <t>KD</t>
        </is>
      </c>
      <c r="C21" s="9" t="inlineStr">
        <is>
          <t>واحد درصد</t>
        </is>
      </c>
      <c r="D21" s="11" t="n">
        <v>0</v>
      </c>
      <c r="E21" s="11" t="n">
        <v>-0.01</v>
      </c>
      <c r="F21" s="11" t="n">
        <v>0.03</v>
      </c>
    </row>
    <row r="22"/>
    <row r="23">
      <c r="A23" s="6" t="inlineStr">
        <is>
          <t>ج) محورهای ماتریس حساسیت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</row>
    <row r="24">
      <c r="A24" t="inlineStr">
        <is>
          <t>انحراف نرخ بهره/تنزیل</t>
        </is>
      </c>
      <c r="B24" s="8" t="inlineStr">
        <is>
          <t>SCEN.ax_rate</t>
        </is>
      </c>
      <c r="C24" s="9" t="inlineStr">
        <is>
          <t>درصد</t>
        </is>
      </c>
      <c r="D24" s="11" t="n">
        <v>-0.03</v>
      </c>
      <c r="E24" s="11" t="n">
        <v>-0.015</v>
      </c>
      <c r="F24" s="11" t="n">
        <v>0</v>
      </c>
      <c r="G24" s="11" t="n">
        <v>0.015</v>
      </c>
      <c r="H24" s="11" t="n">
        <v>0.03</v>
      </c>
    </row>
    <row r="25">
      <c r="A25" t="inlineStr">
        <is>
          <t>انحراف نرخ ارز</t>
        </is>
      </c>
      <c r="B25" s="8" t="inlineStr">
        <is>
          <t>SCEN.ax_fx</t>
        </is>
      </c>
      <c r="C25" s="9" t="inlineStr">
        <is>
          <t>درصد</t>
        </is>
      </c>
      <c r="D25" s="11" t="n">
        <v>-0.2</v>
      </c>
      <c r="E25" s="11" t="n">
        <v>-0.1</v>
      </c>
      <c r="F25" s="11" t="n">
        <v>0</v>
      </c>
      <c r="G25" s="11" t="n">
        <v>0.1</v>
      </c>
      <c r="H25" s="11" t="n">
        <v>0.2</v>
      </c>
    </row>
    <row r="26">
      <c r="A26" t="inlineStr">
        <is>
          <t>انحراف قیمت فروش</t>
        </is>
      </c>
      <c r="B26" s="8" t="inlineStr">
        <is>
          <t>SCEN.ax_price</t>
        </is>
      </c>
      <c r="C26" s="9" t="inlineStr">
        <is>
          <t>درصد</t>
        </is>
      </c>
      <c r="D26" s="11" t="n">
        <v>-0.15</v>
      </c>
      <c r="E26" s="11" t="n">
        <v>-0.075</v>
      </c>
      <c r="F26" s="11" t="n">
        <v>0</v>
      </c>
      <c r="G26" s="11" t="n">
        <v>0.075</v>
      </c>
      <c r="H26" s="11" t="n">
        <v>0.15</v>
      </c>
    </row>
    <row r="27"/>
    <row r="28">
      <c r="A28" s="6" t="inlineStr">
        <is>
          <t>د) شرح سناریوها</t>
        </is>
      </c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</row>
    <row r="29">
      <c r="A29" s="15" t="inlineStr">
        <is>
          <t>پایه: مفروضاتِ مندرج در شیت‌های ورودی بدون تعدیل (تمام ضرایب برابر یک یا صفر).</t>
        </is>
      </c>
    </row>
    <row r="30">
      <c r="A30" s="15" t="inlineStr">
        <is>
          <t>خوش‌بینانه: رشد حجم و قیمت، کنترل هزینه‌ها و دسترسی بهتر به تأمین مالی.</t>
        </is>
      </c>
    </row>
    <row r="31">
      <c r="A31" s="15" t="inlineStr">
        <is>
          <t>بدبینانه: افت حجم و قیمت، افزایش هزینه‌ها، افزایش CAPEX و نرخ تأمین مالی.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2026-10-07T09:13:01Z</dcterms:created>
  <dcterms:modified xsi:type="dcterms:W3CDTF">2026-10-07T09:13:01Z</dcterms:modified>
</cp:coreProperties>
</file>