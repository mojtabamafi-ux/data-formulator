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 name="ENG_ALLOC" sheetId="11" state="hidden"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@@ENG_COST|EC.rm|0@@*'IN_SCEN'!$D$13*'IN_SCEN'!$D$15</f>
        <v/>
      </c>
      <c r="E45" s="14">
        <f>@@ENG_COST|EC.rm|1@@*'IN_SCEN'!$D$13*'IN_SCEN'!$D$15</f>
        <v/>
      </c>
      <c r="F45" s="14">
        <f>@@ENG_COST|EC.rm|2@@*'IN_SCEN'!$D$13*'IN_SCEN'!$D$15</f>
        <v/>
      </c>
      <c r="G45" s="14">
        <f>@@ENG_COST|EC.rm|3@@*'IN_SCEN'!$D$13*'IN_SCEN'!$D$15</f>
        <v/>
      </c>
      <c r="H45" s="14">
        <f>@@ENG_COST|EC.rm|4@@*'IN_SCEN'!$D$13*'IN_SCEN'!$D$15</f>
        <v/>
      </c>
      <c r="I45" s="14">
        <f>@@ENG_COST|EC.rm|5@@*'IN_SCEN'!$D$13*'IN_SCEN'!$D$15</f>
        <v/>
      </c>
      <c r="J45" s="14">
        <f>@@ENG_COST|EC.rm|6@@*'IN_SCEN'!$D$13*'IN_SCEN'!$D$15</f>
        <v/>
      </c>
      <c r="K45" s="14">
        <f>@@ENG_COST|EC.rm|7@@*'IN_SCEN'!$D$13*'IN_SCEN'!$D$15</f>
        <v/>
      </c>
      <c r="L45" s="14">
        <f>@@ENG_COST|EC.rm|8@@*'IN_SCEN'!$D$13*'IN_SCEN'!$D$15</f>
        <v/>
      </c>
      <c r="M45" s="14">
        <f>@@ENG_COST|EC.rm|9@@*'IN_SCEN'!$D$13*'IN_SCEN'!$D$15</f>
        <v/>
      </c>
      <c r="N45" s="14">
        <f>@@ENG_COST|EC.rm|10@@*'IN_SCEN'!$D$13*'IN_SCEN'!$D$15</f>
        <v/>
      </c>
      <c r="O45" s="14">
        <f>@@ENG_COST|EC.rm|11@@*'IN_SCEN'!$D$13*'IN_SCEN'!$D$15</f>
        <v/>
      </c>
      <c r="P45" s="14">
        <f>@@ENG_COST|EC.rm|12@@*'IN_SCEN'!$D$13*'IN_SCEN'!$D$15</f>
        <v/>
      </c>
    </row>
    <row r="46">
      <c r="A46" t="inlineStr">
        <is>
          <t>[1] سایر هزینه‌های متغیر</t>
        </is>
      </c>
      <c r="B46" s="8" t="inlineStr">
        <is>
          <t>SB1.var</t>
        </is>
      </c>
      <c r="C46" s="9" t="inlineStr">
        <is>
          <t>میلیون ریال</t>
        </is>
      </c>
      <c r="D46" s="14">
        <f>@@ENG_COST|EC.var_ex_rm|0@@*'IN_SCEN'!$D$13*'IN_SCEN'!$D$16</f>
        <v/>
      </c>
      <c r="E46" s="14">
        <f>@@ENG_COST|EC.var_ex_rm|1@@*'IN_SCEN'!$D$13*'IN_SCEN'!$D$16</f>
        <v/>
      </c>
      <c r="F46" s="14">
        <f>@@ENG_COST|EC.var_ex_rm|2@@*'IN_SCEN'!$D$13*'IN_SCEN'!$D$16</f>
        <v/>
      </c>
      <c r="G46" s="14">
        <f>@@ENG_COST|EC.var_ex_rm|3@@*'IN_SCEN'!$D$13*'IN_SCEN'!$D$16</f>
        <v/>
      </c>
      <c r="H46" s="14">
        <f>@@ENG_COST|EC.var_ex_rm|4@@*'IN_SCEN'!$D$13*'IN_SCEN'!$D$16</f>
        <v/>
      </c>
      <c r="I46" s="14">
        <f>@@ENG_COST|EC.var_ex_rm|5@@*'IN_SCEN'!$D$13*'IN_SCEN'!$D$16</f>
        <v/>
      </c>
      <c r="J46" s="14">
        <f>@@ENG_COST|EC.var_ex_rm|6@@*'IN_SCEN'!$D$13*'IN_SCEN'!$D$16</f>
        <v/>
      </c>
      <c r="K46" s="14">
        <f>@@ENG_COST|EC.var_ex_rm|7@@*'IN_SCEN'!$D$13*'IN_SCEN'!$D$16</f>
        <v/>
      </c>
      <c r="L46" s="14">
        <f>@@ENG_COST|EC.var_ex_rm|8@@*'IN_SCEN'!$D$13*'IN_SCEN'!$D$16</f>
        <v/>
      </c>
      <c r="M46" s="14">
        <f>@@ENG_COST|EC.var_ex_rm|9@@*'IN_SCEN'!$D$13*'IN_SCEN'!$D$16</f>
        <v/>
      </c>
      <c r="N46" s="14">
        <f>@@ENG_COST|EC.var_ex_rm|10@@*'IN_SCEN'!$D$13*'IN_SCEN'!$D$16</f>
        <v/>
      </c>
      <c r="O46" s="14">
        <f>@@ENG_COST|EC.var_ex_rm|11@@*'IN_SCEN'!$D$13*'IN_SCEN'!$D$16</f>
        <v/>
      </c>
      <c r="P46" s="14">
        <f>@@ENG_COST|EC.var_ex_rm|12@@*'IN_SCEN'!$D$13*'IN_SCEN'!$D$16</f>
        <v/>
      </c>
    </row>
    <row r="47">
      <c r="A47" t="inlineStr">
        <is>
          <t>[1] هزینه‌های ثابت نقدی</t>
        </is>
      </c>
      <c r="B47" s="8" t="inlineStr">
        <is>
          <t>SB1.fix</t>
        </is>
      </c>
      <c r="C47" s="9" t="inlineStr">
        <is>
          <t>میلیون ریال</t>
        </is>
      </c>
      <c r="D47" s="14">
        <f>@@ENG_COST|EC.fixed_cash|0@@*'IN_SCEN'!$D$17</f>
        <v/>
      </c>
      <c r="E47" s="14">
        <f>@@ENG_COST|EC.fixed_cash|1@@*'IN_SCEN'!$D$17</f>
        <v/>
      </c>
      <c r="F47" s="14">
        <f>@@ENG_COST|EC.fixed_cash|2@@*'IN_SCEN'!$D$17</f>
        <v/>
      </c>
      <c r="G47" s="14">
        <f>@@ENG_COST|EC.fixed_cash|3@@*'IN_SCEN'!$D$17</f>
        <v/>
      </c>
      <c r="H47" s="14">
        <f>@@ENG_COST|EC.fixed_cash|4@@*'IN_SCEN'!$D$17</f>
        <v/>
      </c>
      <c r="I47" s="14">
        <f>@@ENG_COST|EC.fixed_cash|5@@*'IN_SCEN'!$D$17</f>
        <v/>
      </c>
      <c r="J47" s="14">
        <f>@@ENG_COST|EC.fixed_cash|6@@*'IN_SCEN'!$D$17</f>
        <v/>
      </c>
      <c r="K47" s="14">
        <f>@@ENG_COST|EC.fixed_cash|7@@*'IN_SCEN'!$D$17</f>
        <v/>
      </c>
      <c r="L47" s="14">
        <f>@@ENG_COST|EC.fixed_cash|8@@*'IN_SCEN'!$D$17</f>
        <v/>
      </c>
      <c r="M47" s="14">
        <f>@@ENG_COST|EC.fixed_cash|9@@*'IN_SCEN'!$D$17</f>
        <v/>
      </c>
      <c r="N47" s="14">
        <f>@@ENG_COST|EC.fixed_cash|10@@*'IN_SCEN'!$D$17</f>
        <v/>
      </c>
      <c r="O47" s="14">
        <f>@@ENG_COST|EC.fixed_cash|11@@*'IN_SCEN'!$D$17</f>
        <v/>
      </c>
      <c r="P47" s="14">
        <f>@@ENG_COST|EC.fixed_cash|12@@*'IN_SCEN'!$D$17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@@ENG_WC|WC.dwc|0@@*'IN_SCEN'!$D$13*'IN_SCEN'!$D$14</f>
        <v/>
      </c>
      <c r="E54" s="14">
        <f>@@ENG_WC|WC.dwc|1@@*'IN_SCEN'!$D$13*'IN_SCEN'!$D$14</f>
        <v/>
      </c>
      <c r="F54" s="14">
        <f>@@ENG_WC|WC.dwc|2@@*'IN_SCEN'!$D$13*'IN_SCEN'!$D$14</f>
        <v/>
      </c>
      <c r="G54" s="14">
        <f>@@ENG_WC|WC.dwc|3@@*'IN_SCEN'!$D$13*'IN_SCEN'!$D$14</f>
        <v/>
      </c>
      <c r="H54" s="14">
        <f>@@ENG_WC|WC.dwc|4@@*'IN_SCEN'!$D$13*'IN_SCEN'!$D$14</f>
        <v/>
      </c>
      <c r="I54" s="14">
        <f>@@ENG_WC|WC.dwc|5@@*'IN_SCEN'!$D$13*'IN_SCEN'!$D$14</f>
        <v/>
      </c>
      <c r="J54" s="14">
        <f>@@ENG_WC|WC.dwc|6@@*'IN_SCEN'!$D$13*'IN_SCEN'!$D$14</f>
        <v/>
      </c>
      <c r="K54" s="14">
        <f>@@ENG_WC|WC.dwc|7@@*'IN_SCEN'!$D$13*'IN_SCEN'!$D$14</f>
        <v/>
      </c>
      <c r="L54" s="14">
        <f>@@ENG_WC|WC.dwc|8@@*'IN_SCEN'!$D$13*'IN_SCEN'!$D$14</f>
        <v/>
      </c>
      <c r="M54" s="14">
        <f>@@ENG_WC|WC.dwc|9@@*'IN_SCEN'!$D$13*'IN_SCEN'!$D$14</f>
        <v/>
      </c>
      <c r="N54" s="14">
        <f>@@ENG_WC|WC.dwc|10@@*'IN_SCEN'!$D$13*'IN_SCEN'!$D$14</f>
        <v/>
      </c>
      <c r="O54" s="14">
        <f>@@ENG_WC|WC.dwc|11@@*'IN_SCEN'!$D$13*'IN_SCEN'!$D$14</f>
        <v/>
      </c>
      <c r="P54" s="14">
        <f>@@ENG_WC|WC.dwc|12@@*'IN_SCEN'!$D$13*'IN_SCEN'!$D$14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@@ENG_DCF|DCF.wacc|0@@+'IN_SCEN'!$D$20</f>
        <v/>
      </c>
      <c r="E58" s="11">
        <f>@@ENG_DCF|DCF.wacc|1@@+'IN_SCEN'!$D$20</f>
        <v/>
      </c>
      <c r="F58" s="11">
        <f>@@ENG_DCF|DCF.wacc|2@@+'IN_SCEN'!$D$20</f>
        <v/>
      </c>
      <c r="G58" s="11">
        <f>@@ENG_DCF|DCF.wacc|3@@+'IN_SCEN'!$D$20</f>
        <v/>
      </c>
      <c r="H58" s="11">
        <f>@@ENG_DCF|DCF.wacc|4@@+'IN_SCEN'!$D$20</f>
        <v/>
      </c>
      <c r="I58" s="11">
        <f>@@ENG_DCF|DCF.wacc|5@@+'IN_SCEN'!$D$20</f>
        <v/>
      </c>
      <c r="J58" s="11">
        <f>@@ENG_DCF|DCF.wacc|6@@+'IN_SCEN'!$D$20</f>
        <v/>
      </c>
      <c r="K58" s="11">
        <f>@@ENG_DCF|DCF.wacc|7@@+'IN_SCEN'!$D$20</f>
        <v/>
      </c>
      <c r="L58" s="11">
        <f>@@ENG_DCF|DCF.wacc|8@@+'IN_SCEN'!$D$20</f>
        <v/>
      </c>
      <c r="M58" s="11">
        <f>@@ENG_DCF|DCF.wacc|9@@+'IN_SCEN'!$D$20</f>
        <v/>
      </c>
      <c r="N58" s="11">
        <f>@@ENG_DCF|DCF.wacc|10@@+'IN_SCEN'!$D$20</f>
        <v/>
      </c>
      <c r="O58" s="11">
        <f>@@ENG_DCF|DCF.wacc|11@@+'IN_SCEN'!$D$20</f>
        <v/>
      </c>
      <c r="P58" s="11">
        <f>@@ENG_DCF|DCF.wacc|12@@+'IN_SCEN'!$D$20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'ENG_SCEN'!$D$49-MAX(0,'ENG_SCEN'!$D$50-(@@ENG_FCF|FCF.int_lt|0@@*('IN_FIN'!$D$25+'IN_SCEN'!$D$21)/('IN_FIN'!$D$25+'ENG_SCEN'!$G$19)+@@ENG_FCF|FCF.fees|0@@+@@ENG_FCF|FCF.int_st|0@@-@@ENG_FCF|FCF.int_inc|0@@))*'IN_MACRO'!$D$14-'ENG_SCEN'!$D$54</f>
        <v/>
      </c>
      <c r="E65" s="14">
        <f>'ENG_SCEN'!$E$49-MAX(0,'ENG_SCEN'!$E$50-(@@ENG_FCF|FCF.int_lt|1@@*('IN_FIN'!$D$25+'IN_SCEN'!$D$21)/('IN_FIN'!$D$25+'ENG_SCEN'!$G$19)+@@ENG_FCF|FCF.fees|1@@+@@ENG_FCF|FCF.int_st|1@@-@@ENG_FCF|FCF.int_inc|1@@))*'IN_MACRO'!$D$14-'ENG_SCEN'!$E$54</f>
        <v/>
      </c>
      <c r="F65" s="14">
        <f>'ENG_SCEN'!$F$49-MAX(0,'ENG_SCEN'!$F$50-(@@ENG_FCF|FCF.int_lt|2@@*('IN_FIN'!$D$25+'IN_SCEN'!$D$21)/('IN_FIN'!$D$25+'ENG_SCEN'!$G$19)+@@ENG_FCF|FCF.fees|2@@+@@ENG_FCF|FCF.int_st|2@@-@@ENG_FCF|FCF.int_inc|2@@))*'IN_MACRO'!$D$14-'ENG_SCEN'!$F$54</f>
        <v/>
      </c>
      <c r="G65" s="14">
        <f>'ENG_SCEN'!$G$49-MAX(0,'ENG_SCEN'!$G$50-(@@ENG_FCF|FCF.int_lt|3@@*('IN_FIN'!$D$25+'IN_SCEN'!$D$21)/('IN_FIN'!$D$25+'ENG_SCEN'!$G$19)+@@ENG_FCF|FCF.fees|3@@+@@ENG_FCF|FCF.int_st|3@@-@@ENG_FCF|FCF.int_inc|3@@))*'IN_MACRO'!$D$14-'ENG_SCEN'!$G$54</f>
        <v/>
      </c>
      <c r="H65" s="14">
        <f>'ENG_SCEN'!$H$49-MAX(0,'ENG_SCEN'!$H$50-(@@ENG_FCF|FCF.int_lt|4@@*('IN_FIN'!$D$25+'IN_SCEN'!$D$21)/('IN_FIN'!$D$25+'ENG_SCEN'!$G$19)+@@ENG_FCF|FCF.fees|4@@+@@ENG_FCF|FCF.int_st|4@@-@@ENG_FCF|FCF.int_inc|4@@))*'IN_MACRO'!$D$14-'ENG_SCEN'!$H$54</f>
        <v/>
      </c>
      <c r="I65" s="14">
        <f>'ENG_SCEN'!$I$49-MAX(0,'ENG_SCEN'!$I$50-(@@ENG_FCF|FCF.int_lt|5@@*('IN_FIN'!$D$25+'IN_SCEN'!$D$21)/('IN_FIN'!$D$25+'ENG_SCEN'!$G$19)+@@ENG_FCF|FCF.fees|5@@+@@ENG_FCF|FCF.int_st|5@@-@@ENG_FCF|FCF.int_inc|5@@))*'IN_MACRO'!$D$14-'ENG_SCEN'!$I$54</f>
        <v/>
      </c>
      <c r="J65" s="14">
        <f>'ENG_SCEN'!$J$49-MAX(0,'ENG_SCEN'!$J$50-(@@ENG_FCF|FCF.int_lt|6@@*('IN_FIN'!$D$25+'IN_SCEN'!$D$21)/('IN_FIN'!$D$25+'ENG_SCEN'!$G$19)+@@ENG_FCF|FCF.fees|6@@+@@ENG_FCF|FCF.int_st|6@@-@@ENG_FCF|FCF.int_inc|6@@))*'IN_MACRO'!$D$14-'ENG_SCEN'!$J$54</f>
        <v/>
      </c>
      <c r="K65" s="14">
        <f>'ENG_SCEN'!$K$49-MAX(0,'ENG_SCEN'!$K$50-(@@ENG_FCF|FCF.int_lt|7@@*('IN_FIN'!$D$25+'IN_SCEN'!$D$21)/('IN_FIN'!$D$25+'ENG_SCEN'!$G$19)+@@ENG_FCF|FCF.fees|7@@+@@ENG_FCF|FCF.int_st|7@@-@@ENG_FCF|FCF.int_inc|7@@))*'IN_MACRO'!$D$14-'ENG_SCEN'!$K$54</f>
        <v/>
      </c>
      <c r="L65" s="14">
        <f>'ENG_SCEN'!$L$49-MAX(0,'ENG_SCEN'!$L$50-(@@ENG_FCF|FCF.int_lt|8@@*('IN_FIN'!$D$25+'IN_SCEN'!$D$21)/('IN_FIN'!$D$25+'ENG_SCEN'!$G$19)+@@ENG_FCF|FCF.fees|8@@+@@ENG_FCF|FCF.int_st|8@@-@@ENG_FCF|FCF.int_inc|8@@))*'IN_MACRO'!$D$14-'ENG_SCEN'!$L$54</f>
        <v/>
      </c>
      <c r="M65" s="14">
        <f>'ENG_SCEN'!$M$49-MAX(0,'ENG_SCEN'!$M$50-(@@ENG_FCF|FCF.int_lt|9@@*('IN_FIN'!$D$25+'IN_SCEN'!$D$21)/('IN_FIN'!$D$25+'ENG_SCEN'!$G$19)+@@ENG_FCF|FCF.fees|9@@+@@ENG_FCF|FCF.int_st|9@@-@@ENG_FCF|FCF.int_inc|9@@))*'IN_MACRO'!$D$14-'ENG_SCEN'!$M$54</f>
        <v/>
      </c>
      <c r="N65" s="14">
        <f>'ENG_SCEN'!$N$49-MAX(0,'ENG_SCEN'!$N$50-(@@ENG_FCF|FCF.int_lt|10@@*('IN_FIN'!$D$25+'IN_SCEN'!$D$21)/('IN_FIN'!$D$25+'ENG_SCEN'!$G$19)+@@ENG_FCF|FCF.fees|10@@+@@ENG_FCF|FCF.int_st|10@@-@@ENG_FCF|FCF.int_inc|10@@))*'IN_MACRO'!$D$14-'ENG_SCEN'!$N$54</f>
        <v/>
      </c>
      <c r="O65" s="14">
        <f>'ENG_SCEN'!$O$49-MAX(0,'ENG_SCEN'!$O$50-(@@ENG_FCF|FCF.int_lt|11@@*('IN_FIN'!$D$25+'IN_SCEN'!$D$21)/('IN_FIN'!$D$25+'ENG_SCEN'!$G$19)+@@ENG_FCF|FCF.fees|11@@+@@ENG_FCF|FCF.int_st|11@@-@@ENG_FCF|FCF.int_inc|11@@))*'IN_MACRO'!$D$14-'ENG_SCEN'!$O$54</f>
        <v/>
      </c>
      <c r="P65" s="14">
        <f>'ENG_SCEN'!$P$49-MAX(0,'ENG_SCEN'!$P$50-(@@ENG_FCF|FCF.int_lt|12@@*('IN_FIN'!$D$25+'IN_SCEN'!$D$21)/('IN_FIN'!$D$25+'ENG_SCEN'!$G$19)+@@ENG_FCF|FCF.fees|12@@+@@ENG_FCF|FCF.int_st|12@@-@@ENG_FCF|FCF.int_inc|12@@))*'IN_MACRO'!$D$14-'ENG_SCEN'!$P$54</f>
        <v/>
      </c>
    </row>
    <row r="66">
      <c r="A66" t="inlineStr">
        <is>
          <t>[1] خدمت دین</t>
        </is>
      </c>
      <c r="B66" s="8" t="inlineStr">
        <is>
          <t>SB1.debt_service</t>
        </is>
      </c>
      <c r="C66" s="9" t="inlineStr">
        <is>
          <t>میلیون ریال</t>
        </is>
      </c>
      <c r="D66" s="14">
        <f>@@ENG_FCF|FCF.principal|0@@+@@ENG_FCF|FCF.int_lt|0@@*('IN_FIN'!$D$25+'IN_SCEN'!$D$21)/('IN_FIN'!$D$25+'ENG_SCEN'!$G$19)+@@ENG_FCF|FCF.fees|0@@+@@ENG_FCF|FCF.int_st|0@@</f>
        <v/>
      </c>
      <c r="E66" s="14">
        <f>@@ENG_FCF|FCF.principal|1@@+@@ENG_FCF|FCF.int_lt|1@@*('IN_FIN'!$D$25+'IN_SCEN'!$D$21)/('IN_FIN'!$D$25+'ENG_SCEN'!$G$19)+@@ENG_FCF|FCF.fees|1@@+@@ENG_FCF|FCF.int_st|1@@</f>
        <v/>
      </c>
      <c r="F66" s="14">
        <f>@@ENG_FCF|FCF.principal|2@@+@@ENG_FCF|FCF.int_lt|2@@*('IN_FIN'!$D$25+'IN_SCEN'!$D$21)/('IN_FIN'!$D$25+'ENG_SCEN'!$G$19)+@@ENG_FCF|FCF.fees|2@@+@@ENG_FCF|FCF.int_st|2@@</f>
        <v/>
      </c>
      <c r="G66" s="14">
        <f>@@ENG_FCF|FCF.principal|3@@+@@ENG_FCF|FCF.int_lt|3@@*('IN_FIN'!$D$25+'IN_SCEN'!$D$21)/('IN_FIN'!$D$25+'ENG_SCEN'!$G$19)+@@ENG_FCF|FCF.fees|3@@+@@ENG_FCF|FCF.int_st|3@@</f>
        <v/>
      </c>
      <c r="H66" s="14">
        <f>@@ENG_FCF|FCF.principal|4@@+@@ENG_FCF|FCF.int_lt|4@@*('IN_FIN'!$D$25+'IN_SCEN'!$D$21)/('IN_FIN'!$D$25+'ENG_SCEN'!$G$19)+@@ENG_FCF|FCF.fees|4@@+@@ENG_FCF|FCF.int_st|4@@</f>
        <v/>
      </c>
      <c r="I66" s="14">
        <f>@@ENG_FCF|FCF.principal|5@@+@@ENG_FCF|FCF.int_lt|5@@*('IN_FIN'!$D$25+'IN_SCEN'!$D$21)/('IN_FIN'!$D$25+'ENG_SCEN'!$G$19)+@@ENG_FCF|FCF.fees|5@@+@@ENG_FCF|FCF.int_st|5@@</f>
        <v/>
      </c>
      <c r="J66" s="14">
        <f>@@ENG_FCF|FCF.principal|6@@+@@ENG_FCF|FCF.int_lt|6@@*('IN_FIN'!$D$25+'IN_SCEN'!$D$21)/('IN_FIN'!$D$25+'ENG_SCEN'!$G$19)+@@ENG_FCF|FCF.fees|6@@+@@ENG_FCF|FCF.int_st|6@@</f>
        <v/>
      </c>
      <c r="K66" s="14">
        <f>@@ENG_FCF|FCF.principal|7@@+@@ENG_FCF|FCF.int_lt|7@@*('IN_FIN'!$D$25+'IN_SCEN'!$D$21)/('IN_FIN'!$D$25+'ENG_SCEN'!$G$19)+@@ENG_FCF|FCF.fees|7@@+@@ENG_FCF|FCF.int_st|7@@</f>
        <v/>
      </c>
      <c r="L66" s="14">
        <f>@@ENG_FCF|FCF.principal|8@@+@@ENG_FCF|FCF.int_lt|8@@*('IN_FIN'!$D$25+'IN_SCEN'!$D$21)/('IN_FIN'!$D$25+'ENG_SCEN'!$G$19)+@@ENG_FCF|FCF.fees|8@@+@@ENG_FCF|FCF.int_st|8@@</f>
        <v/>
      </c>
      <c r="M66" s="14">
        <f>@@ENG_FCF|FCF.principal|9@@+@@ENG_FCF|FCF.int_lt|9@@*('IN_FIN'!$D$25+'IN_SCEN'!$D$21)/('IN_FIN'!$D$25+'ENG_SCEN'!$G$19)+@@ENG_FCF|FCF.fees|9@@+@@ENG_FCF|FCF.int_st|9@@</f>
        <v/>
      </c>
      <c r="N66" s="14">
        <f>@@ENG_FCF|FCF.principal|10@@+@@ENG_FCF|FCF.int_lt|10@@*('IN_FIN'!$D$25+'IN_SCEN'!$D$21)/('IN_FIN'!$D$25+'ENG_SCEN'!$G$19)+@@ENG_FCF|FCF.fees|10@@+@@ENG_FCF|FCF.int_st|10@@</f>
        <v/>
      </c>
      <c r="O66" s="14">
        <f>@@ENG_FCF|FCF.principal|11@@+@@ENG_FCF|FCF.int_lt|11@@*('IN_FIN'!$D$25+'IN_SCEN'!$D$21)/('IN_FIN'!$D$25+'ENG_SCEN'!$G$19)+@@ENG_FCF|FCF.fees|11@@+@@ENG_FCF|FCF.int_st|11@@</f>
        <v/>
      </c>
      <c r="P66" s="14">
        <f>@@ENG_FCF|FCF.principal|12@@+@@ENG_FCF|FCF.int_lt|12@@*('IN_FIN'!$D$25+'IN_SCEN'!$D$21)/('IN_FIN'!$D$25+'ENG_SCEN'!$G$19)+@@ENG_FCF|FCF.fees|12@@+@@ENG_FCF|FCF.int_st|12@@</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@@ENG_COST|EC.rm|0@@*'IN_SCEN'!$E$13*'IN_SCEN'!$E$15</f>
        <v/>
      </c>
      <c r="E79" s="14">
        <f>@@ENG_COST|EC.rm|1@@*'IN_SCEN'!$E$13*'IN_SCEN'!$E$15</f>
        <v/>
      </c>
      <c r="F79" s="14">
        <f>@@ENG_COST|EC.rm|2@@*'IN_SCEN'!$E$13*'IN_SCEN'!$E$15</f>
        <v/>
      </c>
      <c r="G79" s="14">
        <f>@@ENG_COST|EC.rm|3@@*'IN_SCEN'!$E$13*'IN_SCEN'!$E$15</f>
        <v/>
      </c>
      <c r="H79" s="14">
        <f>@@ENG_COST|EC.rm|4@@*'IN_SCEN'!$E$13*'IN_SCEN'!$E$15</f>
        <v/>
      </c>
      <c r="I79" s="14">
        <f>@@ENG_COST|EC.rm|5@@*'IN_SCEN'!$E$13*'IN_SCEN'!$E$15</f>
        <v/>
      </c>
      <c r="J79" s="14">
        <f>@@ENG_COST|EC.rm|6@@*'IN_SCEN'!$E$13*'IN_SCEN'!$E$15</f>
        <v/>
      </c>
      <c r="K79" s="14">
        <f>@@ENG_COST|EC.rm|7@@*'IN_SCEN'!$E$13*'IN_SCEN'!$E$15</f>
        <v/>
      </c>
      <c r="L79" s="14">
        <f>@@ENG_COST|EC.rm|8@@*'IN_SCEN'!$E$13*'IN_SCEN'!$E$15</f>
        <v/>
      </c>
      <c r="M79" s="14">
        <f>@@ENG_COST|EC.rm|9@@*'IN_SCEN'!$E$13*'IN_SCEN'!$E$15</f>
        <v/>
      </c>
      <c r="N79" s="14">
        <f>@@ENG_COST|EC.rm|10@@*'IN_SCEN'!$E$13*'IN_SCEN'!$E$15</f>
        <v/>
      </c>
      <c r="O79" s="14">
        <f>@@ENG_COST|EC.rm|11@@*'IN_SCEN'!$E$13*'IN_SCEN'!$E$15</f>
        <v/>
      </c>
      <c r="P79" s="14">
        <f>@@ENG_COST|EC.rm|12@@*'IN_SCEN'!$E$13*'IN_SCEN'!$E$15</f>
        <v/>
      </c>
    </row>
    <row r="80">
      <c r="A80" t="inlineStr">
        <is>
          <t>[2] سایر هزینه‌های متغیر</t>
        </is>
      </c>
      <c r="B80" s="8" t="inlineStr">
        <is>
          <t>SB2.var</t>
        </is>
      </c>
      <c r="C80" s="9" t="inlineStr">
        <is>
          <t>میلیون ریال</t>
        </is>
      </c>
      <c r="D80" s="14">
        <f>@@ENG_COST|EC.var_ex_rm|0@@*'IN_SCEN'!$E$13*'IN_SCEN'!$E$16</f>
        <v/>
      </c>
      <c r="E80" s="14">
        <f>@@ENG_COST|EC.var_ex_rm|1@@*'IN_SCEN'!$E$13*'IN_SCEN'!$E$16</f>
        <v/>
      </c>
      <c r="F80" s="14">
        <f>@@ENG_COST|EC.var_ex_rm|2@@*'IN_SCEN'!$E$13*'IN_SCEN'!$E$16</f>
        <v/>
      </c>
      <c r="G80" s="14">
        <f>@@ENG_COST|EC.var_ex_rm|3@@*'IN_SCEN'!$E$13*'IN_SCEN'!$E$16</f>
        <v/>
      </c>
      <c r="H80" s="14">
        <f>@@ENG_COST|EC.var_ex_rm|4@@*'IN_SCEN'!$E$13*'IN_SCEN'!$E$16</f>
        <v/>
      </c>
      <c r="I80" s="14">
        <f>@@ENG_COST|EC.var_ex_rm|5@@*'IN_SCEN'!$E$13*'IN_SCEN'!$E$16</f>
        <v/>
      </c>
      <c r="J80" s="14">
        <f>@@ENG_COST|EC.var_ex_rm|6@@*'IN_SCEN'!$E$13*'IN_SCEN'!$E$16</f>
        <v/>
      </c>
      <c r="K80" s="14">
        <f>@@ENG_COST|EC.var_ex_rm|7@@*'IN_SCEN'!$E$13*'IN_SCEN'!$E$16</f>
        <v/>
      </c>
      <c r="L80" s="14">
        <f>@@ENG_COST|EC.var_ex_rm|8@@*'IN_SCEN'!$E$13*'IN_SCEN'!$E$16</f>
        <v/>
      </c>
      <c r="M80" s="14">
        <f>@@ENG_COST|EC.var_ex_rm|9@@*'IN_SCEN'!$E$13*'IN_SCEN'!$E$16</f>
        <v/>
      </c>
      <c r="N80" s="14">
        <f>@@ENG_COST|EC.var_ex_rm|10@@*'IN_SCEN'!$E$13*'IN_SCEN'!$E$16</f>
        <v/>
      </c>
      <c r="O80" s="14">
        <f>@@ENG_COST|EC.var_ex_rm|11@@*'IN_SCEN'!$E$13*'IN_SCEN'!$E$16</f>
        <v/>
      </c>
      <c r="P80" s="14">
        <f>@@ENG_COST|EC.var_ex_rm|12@@*'IN_SCEN'!$E$13*'IN_SCEN'!$E$16</f>
        <v/>
      </c>
    </row>
    <row r="81">
      <c r="A81" t="inlineStr">
        <is>
          <t>[2] هزینه‌های ثابت نقدی</t>
        </is>
      </c>
      <c r="B81" s="8" t="inlineStr">
        <is>
          <t>SB2.fix</t>
        </is>
      </c>
      <c r="C81" s="9" t="inlineStr">
        <is>
          <t>میلیون ریال</t>
        </is>
      </c>
      <c r="D81" s="14">
        <f>@@ENG_COST|EC.fixed_cash|0@@*'IN_SCEN'!$E$17</f>
        <v/>
      </c>
      <c r="E81" s="14">
        <f>@@ENG_COST|EC.fixed_cash|1@@*'IN_SCEN'!$E$17</f>
        <v/>
      </c>
      <c r="F81" s="14">
        <f>@@ENG_COST|EC.fixed_cash|2@@*'IN_SCEN'!$E$17</f>
        <v/>
      </c>
      <c r="G81" s="14">
        <f>@@ENG_COST|EC.fixed_cash|3@@*'IN_SCEN'!$E$17</f>
        <v/>
      </c>
      <c r="H81" s="14">
        <f>@@ENG_COST|EC.fixed_cash|4@@*'IN_SCEN'!$E$17</f>
        <v/>
      </c>
      <c r="I81" s="14">
        <f>@@ENG_COST|EC.fixed_cash|5@@*'IN_SCEN'!$E$17</f>
        <v/>
      </c>
      <c r="J81" s="14">
        <f>@@ENG_COST|EC.fixed_cash|6@@*'IN_SCEN'!$E$17</f>
        <v/>
      </c>
      <c r="K81" s="14">
        <f>@@ENG_COST|EC.fixed_cash|7@@*'IN_SCEN'!$E$17</f>
        <v/>
      </c>
      <c r="L81" s="14">
        <f>@@ENG_COST|EC.fixed_cash|8@@*'IN_SCEN'!$E$17</f>
        <v/>
      </c>
      <c r="M81" s="14">
        <f>@@ENG_COST|EC.fixed_cash|9@@*'IN_SCEN'!$E$17</f>
        <v/>
      </c>
      <c r="N81" s="14">
        <f>@@ENG_COST|EC.fixed_cash|10@@*'IN_SCEN'!$E$17</f>
        <v/>
      </c>
      <c r="O81" s="14">
        <f>@@ENG_COST|EC.fixed_cash|11@@*'IN_SCEN'!$E$17</f>
        <v/>
      </c>
      <c r="P81" s="14">
        <f>@@ENG_COST|EC.fixed_cash|12@@*'IN_SCEN'!$E$17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@@ENG_WC|WC.dwc|0@@*'IN_SCEN'!$E$13*'IN_SCEN'!$E$14</f>
        <v/>
      </c>
      <c r="E88" s="14">
        <f>@@ENG_WC|WC.dwc|1@@*'IN_SCEN'!$E$13*'IN_SCEN'!$E$14</f>
        <v/>
      </c>
      <c r="F88" s="14">
        <f>@@ENG_WC|WC.dwc|2@@*'IN_SCEN'!$E$13*'IN_SCEN'!$E$14</f>
        <v/>
      </c>
      <c r="G88" s="14">
        <f>@@ENG_WC|WC.dwc|3@@*'IN_SCEN'!$E$13*'IN_SCEN'!$E$14</f>
        <v/>
      </c>
      <c r="H88" s="14">
        <f>@@ENG_WC|WC.dwc|4@@*'IN_SCEN'!$E$13*'IN_SCEN'!$E$14</f>
        <v/>
      </c>
      <c r="I88" s="14">
        <f>@@ENG_WC|WC.dwc|5@@*'IN_SCEN'!$E$13*'IN_SCEN'!$E$14</f>
        <v/>
      </c>
      <c r="J88" s="14">
        <f>@@ENG_WC|WC.dwc|6@@*'IN_SCEN'!$E$13*'IN_SCEN'!$E$14</f>
        <v/>
      </c>
      <c r="K88" s="14">
        <f>@@ENG_WC|WC.dwc|7@@*'IN_SCEN'!$E$13*'IN_SCEN'!$E$14</f>
        <v/>
      </c>
      <c r="L88" s="14">
        <f>@@ENG_WC|WC.dwc|8@@*'IN_SCEN'!$E$13*'IN_SCEN'!$E$14</f>
        <v/>
      </c>
      <c r="M88" s="14">
        <f>@@ENG_WC|WC.dwc|9@@*'IN_SCEN'!$E$13*'IN_SCEN'!$E$14</f>
        <v/>
      </c>
      <c r="N88" s="14">
        <f>@@ENG_WC|WC.dwc|10@@*'IN_SCEN'!$E$13*'IN_SCEN'!$E$14</f>
        <v/>
      </c>
      <c r="O88" s="14">
        <f>@@ENG_WC|WC.dwc|11@@*'IN_SCEN'!$E$13*'IN_SCEN'!$E$14</f>
        <v/>
      </c>
      <c r="P88" s="14">
        <f>@@ENG_WC|WC.dwc|12@@*'IN_SCEN'!$E$13*'IN_SCEN'!$E$14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@@ENG_DCF|DCF.wacc|0@@+'IN_SCEN'!$E$20</f>
        <v/>
      </c>
      <c r="E92" s="11">
        <f>@@ENG_DCF|DCF.wacc|1@@+'IN_SCEN'!$E$20</f>
        <v/>
      </c>
      <c r="F92" s="11">
        <f>@@ENG_DCF|DCF.wacc|2@@+'IN_SCEN'!$E$20</f>
        <v/>
      </c>
      <c r="G92" s="11">
        <f>@@ENG_DCF|DCF.wacc|3@@+'IN_SCEN'!$E$20</f>
        <v/>
      </c>
      <c r="H92" s="11">
        <f>@@ENG_DCF|DCF.wacc|4@@+'IN_SCEN'!$E$20</f>
        <v/>
      </c>
      <c r="I92" s="11">
        <f>@@ENG_DCF|DCF.wacc|5@@+'IN_SCEN'!$E$20</f>
        <v/>
      </c>
      <c r="J92" s="11">
        <f>@@ENG_DCF|DCF.wacc|6@@+'IN_SCEN'!$E$20</f>
        <v/>
      </c>
      <c r="K92" s="11">
        <f>@@ENG_DCF|DCF.wacc|7@@+'IN_SCEN'!$E$20</f>
        <v/>
      </c>
      <c r="L92" s="11">
        <f>@@ENG_DCF|DCF.wacc|8@@+'IN_SCEN'!$E$20</f>
        <v/>
      </c>
      <c r="M92" s="11">
        <f>@@ENG_DCF|DCF.wacc|9@@+'IN_SCEN'!$E$20</f>
        <v/>
      </c>
      <c r="N92" s="11">
        <f>@@ENG_DCF|DCF.wacc|10@@+'IN_SCEN'!$E$20</f>
        <v/>
      </c>
      <c r="O92" s="11">
        <f>@@ENG_DCF|DCF.wacc|11@@+'IN_SCEN'!$E$20</f>
        <v/>
      </c>
      <c r="P92" s="11">
        <f>@@ENG_DCF|DCF.wacc|12@@+'IN_SCEN'!$E$20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'ENG_SCEN'!$D$83-MAX(0,'ENG_SCEN'!$D$84-(@@ENG_FCF|FCF.int_lt|0@@*('IN_FIN'!$D$25+'IN_SCEN'!$E$21)/('IN_FIN'!$D$25+'ENG_SCEN'!$G$19)+@@ENG_FCF|FCF.fees|0@@+@@ENG_FCF|FCF.int_st|0@@-@@ENG_FCF|FCF.int_inc|0@@))*'IN_MACRO'!$D$14-'ENG_SCEN'!$D$88</f>
        <v/>
      </c>
      <c r="E99" s="14">
        <f>'ENG_SCEN'!$E$83-MAX(0,'ENG_SCEN'!$E$84-(@@ENG_FCF|FCF.int_lt|1@@*('IN_FIN'!$D$25+'IN_SCEN'!$E$21)/('IN_FIN'!$D$25+'ENG_SCEN'!$G$19)+@@ENG_FCF|FCF.fees|1@@+@@ENG_FCF|FCF.int_st|1@@-@@ENG_FCF|FCF.int_inc|1@@))*'IN_MACRO'!$D$14-'ENG_SCEN'!$E$88</f>
        <v/>
      </c>
      <c r="F99" s="14">
        <f>'ENG_SCEN'!$F$83-MAX(0,'ENG_SCEN'!$F$84-(@@ENG_FCF|FCF.int_lt|2@@*('IN_FIN'!$D$25+'IN_SCEN'!$E$21)/('IN_FIN'!$D$25+'ENG_SCEN'!$G$19)+@@ENG_FCF|FCF.fees|2@@+@@ENG_FCF|FCF.int_st|2@@-@@ENG_FCF|FCF.int_inc|2@@))*'IN_MACRO'!$D$14-'ENG_SCEN'!$F$88</f>
        <v/>
      </c>
      <c r="G99" s="14">
        <f>'ENG_SCEN'!$G$83-MAX(0,'ENG_SCEN'!$G$84-(@@ENG_FCF|FCF.int_lt|3@@*('IN_FIN'!$D$25+'IN_SCEN'!$E$21)/('IN_FIN'!$D$25+'ENG_SCEN'!$G$19)+@@ENG_FCF|FCF.fees|3@@+@@ENG_FCF|FCF.int_st|3@@-@@ENG_FCF|FCF.int_inc|3@@))*'IN_MACRO'!$D$14-'ENG_SCEN'!$G$88</f>
        <v/>
      </c>
      <c r="H99" s="14">
        <f>'ENG_SCEN'!$H$83-MAX(0,'ENG_SCEN'!$H$84-(@@ENG_FCF|FCF.int_lt|4@@*('IN_FIN'!$D$25+'IN_SCEN'!$E$21)/('IN_FIN'!$D$25+'ENG_SCEN'!$G$19)+@@ENG_FCF|FCF.fees|4@@+@@ENG_FCF|FCF.int_st|4@@-@@ENG_FCF|FCF.int_inc|4@@))*'IN_MACRO'!$D$14-'ENG_SCEN'!$H$88</f>
        <v/>
      </c>
      <c r="I99" s="14">
        <f>'ENG_SCEN'!$I$83-MAX(0,'ENG_SCEN'!$I$84-(@@ENG_FCF|FCF.int_lt|5@@*('IN_FIN'!$D$25+'IN_SCEN'!$E$21)/('IN_FIN'!$D$25+'ENG_SCEN'!$G$19)+@@ENG_FCF|FCF.fees|5@@+@@ENG_FCF|FCF.int_st|5@@-@@ENG_FCF|FCF.int_inc|5@@))*'IN_MACRO'!$D$14-'ENG_SCEN'!$I$88</f>
        <v/>
      </c>
      <c r="J99" s="14">
        <f>'ENG_SCEN'!$J$83-MAX(0,'ENG_SCEN'!$J$84-(@@ENG_FCF|FCF.int_lt|6@@*('IN_FIN'!$D$25+'IN_SCEN'!$E$21)/('IN_FIN'!$D$25+'ENG_SCEN'!$G$19)+@@ENG_FCF|FCF.fees|6@@+@@ENG_FCF|FCF.int_st|6@@-@@ENG_FCF|FCF.int_inc|6@@))*'IN_MACRO'!$D$14-'ENG_SCEN'!$J$88</f>
        <v/>
      </c>
      <c r="K99" s="14">
        <f>'ENG_SCEN'!$K$83-MAX(0,'ENG_SCEN'!$K$84-(@@ENG_FCF|FCF.int_lt|7@@*('IN_FIN'!$D$25+'IN_SCEN'!$E$21)/('IN_FIN'!$D$25+'ENG_SCEN'!$G$19)+@@ENG_FCF|FCF.fees|7@@+@@ENG_FCF|FCF.int_st|7@@-@@ENG_FCF|FCF.int_inc|7@@))*'IN_MACRO'!$D$14-'ENG_SCEN'!$K$88</f>
        <v/>
      </c>
      <c r="L99" s="14">
        <f>'ENG_SCEN'!$L$83-MAX(0,'ENG_SCEN'!$L$84-(@@ENG_FCF|FCF.int_lt|8@@*('IN_FIN'!$D$25+'IN_SCEN'!$E$21)/('IN_FIN'!$D$25+'ENG_SCEN'!$G$19)+@@ENG_FCF|FCF.fees|8@@+@@ENG_FCF|FCF.int_st|8@@-@@ENG_FCF|FCF.int_inc|8@@))*'IN_MACRO'!$D$14-'ENG_SCEN'!$L$88</f>
        <v/>
      </c>
      <c r="M99" s="14">
        <f>'ENG_SCEN'!$M$83-MAX(0,'ENG_SCEN'!$M$84-(@@ENG_FCF|FCF.int_lt|9@@*('IN_FIN'!$D$25+'IN_SCEN'!$E$21)/('IN_FIN'!$D$25+'ENG_SCEN'!$G$19)+@@ENG_FCF|FCF.fees|9@@+@@ENG_FCF|FCF.int_st|9@@-@@ENG_FCF|FCF.int_inc|9@@))*'IN_MACRO'!$D$14-'ENG_SCEN'!$M$88</f>
        <v/>
      </c>
      <c r="N99" s="14">
        <f>'ENG_SCEN'!$N$83-MAX(0,'ENG_SCEN'!$N$84-(@@ENG_FCF|FCF.int_lt|10@@*('IN_FIN'!$D$25+'IN_SCEN'!$E$21)/('IN_FIN'!$D$25+'ENG_SCEN'!$G$19)+@@ENG_FCF|FCF.fees|10@@+@@ENG_FCF|FCF.int_st|10@@-@@ENG_FCF|FCF.int_inc|10@@))*'IN_MACRO'!$D$14-'ENG_SCEN'!$N$88</f>
        <v/>
      </c>
      <c r="O99" s="14">
        <f>'ENG_SCEN'!$O$83-MAX(0,'ENG_SCEN'!$O$84-(@@ENG_FCF|FCF.int_lt|11@@*('IN_FIN'!$D$25+'IN_SCEN'!$E$21)/('IN_FIN'!$D$25+'ENG_SCEN'!$G$19)+@@ENG_FCF|FCF.fees|11@@+@@ENG_FCF|FCF.int_st|11@@-@@ENG_FCF|FCF.int_inc|11@@))*'IN_MACRO'!$D$14-'ENG_SCEN'!$O$88</f>
        <v/>
      </c>
      <c r="P99" s="14">
        <f>'ENG_SCEN'!$P$83-MAX(0,'ENG_SCEN'!$P$84-(@@ENG_FCF|FCF.int_lt|12@@*('IN_FIN'!$D$25+'IN_SCEN'!$E$21)/('IN_FIN'!$D$25+'ENG_SCEN'!$G$19)+@@ENG_FCF|FCF.fees|12@@+@@ENG_FCF|FCF.int_st|12@@-@@ENG_FCF|FCF.int_inc|12@@))*'IN_MACRO'!$D$14-'ENG_SCEN'!$P$88</f>
        <v/>
      </c>
    </row>
    <row r="100">
      <c r="A100" t="inlineStr">
        <is>
          <t>[2] خدمت دین</t>
        </is>
      </c>
      <c r="B100" s="8" t="inlineStr">
        <is>
          <t>SB2.debt_service</t>
        </is>
      </c>
      <c r="C100" s="9" t="inlineStr">
        <is>
          <t>میلیون ریال</t>
        </is>
      </c>
      <c r="D100" s="14">
        <f>@@ENG_FCF|FCF.principal|0@@+@@ENG_FCF|FCF.int_lt|0@@*('IN_FIN'!$D$25+'IN_SCEN'!$E$21)/('IN_FIN'!$D$25+'ENG_SCEN'!$G$19)+@@ENG_FCF|FCF.fees|0@@+@@ENG_FCF|FCF.int_st|0@@</f>
        <v/>
      </c>
      <c r="E100" s="14">
        <f>@@ENG_FCF|FCF.principal|1@@+@@ENG_FCF|FCF.int_lt|1@@*('IN_FIN'!$D$25+'IN_SCEN'!$E$21)/('IN_FIN'!$D$25+'ENG_SCEN'!$G$19)+@@ENG_FCF|FCF.fees|1@@+@@ENG_FCF|FCF.int_st|1@@</f>
        <v/>
      </c>
      <c r="F100" s="14">
        <f>@@ENG_FCF|FCF.principal|2@@+@@ENG_FCF|FCF.int_lt|2@@*('IN_FIN'!$D$25+'IN_SCEN'!$E$21)/('IN_FIN'!$D$25+'ENG_SCEN'!$G$19)+@@ENG_FCF|FCF.fees|2@@+@@ENG_FCF|FCF.int_st|2@@</f>
        <v/>
      </c>
      <c r="G100" s="14">
        <f>@@ENG_FCF|FCF.principal|3@@+@@ENG_FCF|FCF.int_lt|3@@*('IN_FIN'!$D$25+'IN_SCEN'!$E$21)/('IN_FIN'!$D$25+'ENG_SCEN'!$G$19)+@@ENG_FCF|FCF.fees|3@@+@@ENG_FCF|FCF.int_st|3@@</f>
        <v/>
      </c>
      <c r="H100" s="14">
        <f>@@ENG_FCF|FCF.principal|4@@+@@ENG_FCF|FCF.int_lt|4@@*('IN_FIN'!$D$25+'IN_SCEN'!$E$21)/('IN_FIN'!$D$25+'ENG_SCEN'!$G$19)+@@ENG_FCF|FCF.fees|4@@+@@ENG_FCF|FCF.int_st|4@@</f>
        <v/>
      </c>
      <c r="I100" s="14">
        <f>@@ENG_FCF|FCF.principal|5@@+@@ENG_FCF|FCF.int_lt|5@@*('IN_FIN'!$D$25+'IN_SCEN'!$E$21)/('IN_FIN'!$D$25+'ENG_SCEN'!$G$19)+@@ENG_FCF|FCF.fees|5@@+@@ENG_FCF|FCF.int_st|5@@</f>
        <v/>
      </c>
      <c r="J100" s="14">
        <f>@@ENG_FCF|FCF.principal|6@@+@@ENG_FCF|FCF.int_lt|6@@*('IN_FIN'!$D$25+'IN_SCEN'!$E$21)/('IN_FIN'!$D$25+'ENG_SCEN'!$G$19)+@@ENG_FCF|FCF.fees|6@@+@@ENG_FCF|FCF.int_st|6@@</f>
        <v/>
      </c>
      <c r="K100" s="14">
        <f>@@ENG_FCF|FCF.principal|7@@+@@ENG_FCF|FCF.int_lt|7@@*('IN_FIN'!$D$25+'IN_SCEN'!$E$21)/('IN_FIN'!$D$25+'ENG_SCEN'!$G$19)+@@ENG_FCF|FCF.fees|7@@+@@ENG_FCF|FCF.int_st|7@@</f>
        <v/>
      </c>
      <c r="L100" s="14">
        <f>@@ENG_FCF|FCF.principal|8@@+@@ENG_FCF|FCF.int_lt|8@@*('IN_FIN'!$D$25+'IN_SCEN'!$E$21)/('IN_FIN'!$D$25+'ENG_SCEN'!$G$19)+@@ENG_FCF|FCF.fees|8@@+@@ENG_FCF|FCF.int_st|8@@</f>
        <v/>
      </c>
      <c r="M100" s="14">
        <f>@@ENG_FCF|FCF.principal|9@@+@@ENG_FCF|FCF.int_lt|9@@*('IN_FIN'!$D$25+'IN_SCEN'!$E$21)/('IN_FIN'!$D$25+'ENG_SCEN'!$G$19)+@@ENG_FCF|FCF.fees|9@@+@@ENG_FCF|FCF.int_st|9@@</f>
        <v/>
      </c>
      <c r="N100" s="14">
        <f>@@ENG_FCF|FCF.principal|10@@+@@ENG_FCF|FCF.int_lt|10@@*('IN_FIN'!$D$25+'IN_SCEN'!$E$21)/('IN_FIN'!$D$25+'ENG_SCEN'!$G$19)+@@ENG_FCF|FCF.fees|10@@+@@ENG_FCF|FCF.int_st|10@@</f>
        <v/>
      </c>
      <c r="O100" s="14">
        <f>@@ENG_FCF|FCF.principal|11@@+@@ENG_FCF|FCF.int_lt|11@@*('IN_FIN'!$D$25+'IN_SCEN'!$E$21)/('IN_FIN'!$D$25+'ENG_SCEN'!$G$19)+@@ENG_FCF|FCF.fees|11@@+@@ENG_FCF|FCF.int_st|11@@</f>
        <v/>
      </c>
      <c r="P100" s="14">
        <f>@@ENG_FCF|FCF.principal|12@@+@@ENG_FCF|FCF.int_lt|12@@*('IN_FIN'!$D$25+'IN_SCEN'!$E$21)/('IN_FIN'!$D$25+'ENG_SCEN'!$G$19)+@@ENG_FCF|FCF.fees|12@@+@@ENG_FCF|FCF.int_st|12@@</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@@ENG_COST|EC.rm|0@@*'IN_SCEN'!$F$13*'IN_SCEN'!$F$15</f>
        <v/>
      </c>
      <c r="E113" s="14">
        <f>@@ENG_COST|EC.rm|1@@*'IN_SCEN'!$F$13*'IN_SCEN'!$F$15</f>
        <v/>
      </c>
      <c r="F113" s="14">
        <f>@@ENG_COST|EC.rm|2@@*'IN_SCEN'!$F$13*'IN_SCEN'!$F$15</f>
        <v/>
      </c>
      <c r="G113" s="14">
        <f>@@ENG_COST|EC.rm|3@@*'IN_SCEN'!$F$13*'IN_SCEN'!$F$15</f>
        <v/>
      </c>
      <c r="H113" s="14">
        <f>@@ENG_COST|EC.rm|4@@*'IN_SCEN'!$F$13*'IN_SCEN'!$F$15</f>
        <v/>
      </c>
      <c r="I113" s="14">
        <f>@@ENG_COST|EC.rm|5@@*'IN_SCEN'!$F$13*'IN_SCEN'!$F$15</f>
        <v/>
      </c>
      <c r="J113" s="14">
        <f>@@ENG_COST|EC.rm|6@@*'IN_SCEN'!$F$13*'IN_SCEN'!$F$15</f>
        <v/>
      </c>
      <c r="K113" s="14">
        <f>@@ENG_COST|EC.rm|7@@*'IN_SCEN'!$F$13*'IN_SCEN'!$F$15</f>
        <v/>
      </c>
      <c r="L113" s="14">
        <f>@@ENG_COST|EC.rm|8@@*'IN_SCEN'!$F$13*'IN_SCEN'!$F$15</f>
        <v/>
      </c>
      <c r="M113" s="14">
        <f>@@ENG_COST|EC.rm|9@@*'IN_SCEN'!$F$13*'IN_SCEN'!$F$15</f>
        <v/>
      </c>
      <c r="N113" s="14">
        <f>@@ENG_COST|EC.rm|10@@*'IN_SCEN'!$F$13*'IN_SCEN'!$F$15</f>
        <v/>
      </c>
      <c r="O113" s="14">
        <f>@@ENG_COST|EC.rm|11@@*'IN_SCEN'!$F$13*'IN_SCEN'!$F$15</f>
        <v/>
      </c>
      <c r="P113" s="14">
        <f>@@ENG_COST|EC.rm|12@@*'IN_SCEN'!$F$13*'IN_SCEN'!$F$15</f>
        <v/>
      </c>
    </row>
    <row r="114">
      <c r="A114" t="inlineStr">
        <is>
          <t>[3] سایر هزینه‌های متغیر</t>
        </is>
      </c>
      <c r="B114" s="8" t="inlineStr">
        <is>
          <t>SB3.var</t>
        </is>
      </c>
      <c r="C114" s="9" t="inlineStr">
        <is>
          <t>میلیون ریال</t>
        </is>
      </c>
      <c r="D114" s="14">
        <f>@@ENG_COST|EC.var_ex_rm|0@@*'IN_SCEN'!$F$13*'IN_SCEN'!$F$16</f>
        <v/>
      </c>
      <c r="E114" s="14">
        <f>@@ENG_COST|EC.var_ex_rm|1@@*'IN_SCEN'!$F$13*'IN_SCEN'!$F$16</f>
        <v/>
      </c>
      <c r="F114" s="14">
        <f>@@ENG_COST|EC.var_ex_rm|2@@*'IN_SCEN'!$F$13*'IN_SCEN'!$F$16</f>
        <v/>
      </c>
      <c r="G114" s="14">
        <f>@@ENG_COST|EC.var_ex_rm|3@@*'IN_SCEN'!$F$13*'IN_SCEN'!$F$16</f>
        <v/>
      </c>
      <c r="H114" s="14">
        <f>@@ENG_COST|EC.var_ex_rm|4@@*'IN_SCEN'!$F$13*'IN_SCEN'!$F$16</f>
        <v/>
      </c>
      <c r="I114" s="14">
        <f>@@ENG_COST|EC.var_ex_rm|5@@*'IN_SCEN'!$F$13*'IN_SCEN'!$F$16</f>
        <v/>
      </c>
      <c r="J114" s="14">
        <f>@@ENG_COST|EC.var_ex_rm|6@@*'IN_SCEN'!$F$13*'IN_SCEN'!$F$16</f>
        <v/>
      </c>
      <c r="K114" s="14">
        <f>@@ENG_COST|EC.var_ex_rm|7@@*'IN_SCEN'!$F$13*'IN_SCEN'!$F$16</f>
        <v/>
      </c>
      <c r="L114" s="14">
        <f>@@ENG_COST|EC.var_ex_rm|8@@*'IN_SCEN'!$F$13*'IN_SCEN'!$F$16</f>
        <v/>
      </c>
      <c r="M114" s="14">
        <f>@@ENG_COST|EC.var_ex_rm|9@@*'IN_SCEN'!$F$13*'IN_SCEN'!$F$16</f>
        <v/>
      </c>
      <c r="N114" s="14">
        <f>@@ENG_COST|EC.var_ex_rm|10@@*'IN_SCEN'!$F$13*'IN_SCEN'!$F$16</f>
        <v/>
      </c>
      <c r="O114" s="14">
        <f>@@ENG_COST|EC.var_ex_rm|11@@*'IN_SCEN'!$F$13*'IN_SCEN'!$F$16</f>
        <v/>
      </c>
      <c r="P114" s="14">
        <f>@@ENG_COST|EC.var_ex_rm|12@@*'IN_SCEN'!$F$13*'IN_SCEN'!$F$16</f>
        <v/>
      </c>
    </row>
    <row r="115">
      <c r="A115" t="inlineStr">
        <is>
          <t>[3] هزینه‌های ثابت نقدی</t>
        </is>
      </c>
      <c r="B115" s="8" t="inlineStr">
        <is>
          <t>SB3.fix</t>
        </is>
      </c>
      <c r="C115" s="9" t="inlineStr">
        <is>
          <t>میلیون ریال</t>
        </is>
      </c>
      <c r="D115" s="14">
        <f>@@ENG_COST|EC.fixed_cash|0@@*'IN_SCEN'!$F$17</f>
        <v/>
      </c>
      <c r="E115" s="14">
        <f>@@ENG_COST|EC.fixed_cash|1@@*'IN_SCEN'!$F$17</f>
        <v/>
      </c>
      <c r="F115" s="14">
        <f>@@ENG_COST|EC.fixed_cash|2@@*'IN_SCEN'!$F$17</f>
        <v/>
      </c>
      <c r="G115" s="14">
        <f>@@ENG_COST|EC.fixed_cash|3@@*'IN_SCEN'!$F$17</f>
        <v/>
      </c>
      <c r="H115" s="14">
        <f>@@ENG_COST|EC.fixed_cash|4@@*'IN_SCEN'!$F$17</f>
        <v/>
      </c>
      <c r="I115" s="14">
        <f>@@ENG_COST|EC.fixed_cash|5@@*'IN_SCEN'!$F$17</f>
        <v/>
      </c>
      <c r="J115" s="14">
        <f>@@ENG_COST|EC.fixed_cash|6@@*'IN_SCEN'!$F$17</f>
        <v/>
      </c>
      <c r="K115" s="14">
        <f>@@ENG_COST|EC.fixed_cash|7@@*'IN_SCEN'!$F$17</f>
        <v/>
      </c>
      <c r="L115" s="14">
        <f>@@ENG_COST|EC.fixed_cash|8@@*'IN_SCEN'!$F$17</f>
        <v/>
      </c>
      <c r="M115" s="14">
        <f>@@ENG_COST|EC.fixed_cash|9@@*'IN_SCEN'!$F$17</f>
        <v/>
      </c>
      <c r="N115" s="14">
        <f>@@ENG_COST|EC.fixed_cash|10@@*'IN_SCEN'!$F$17</f>
        <v/>
      </c>
      <c r="O115" s="14">
        <f>@@ENG_COST|EC.fixed_cash|11@@*'IN_SCEN'!$F$17</f>
        <v/>
      </c>
      <c r="P115" s="14">
        <f>@@ENG_COST|EC.fixed_cash|12@@*'IN_SCEN'!$F$17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@@ENG_WC|WC.dwc|0@@*'IN_SCEN'!$F$13*'IN_SCEN'!$F$14</f>
        <v/>
      </c>
      <c r="E122" s="14">
        <f>@@ENG_WC|WC.dwc|1@@*'IN_SCEN'!$F$13*'IN_SCEN'!$F$14</f>
        <v/>
      </c>
      <c r="F122" s="14">
        <f>@@ENG_WC|WC.dwc|2@@*'IN_SCEN'!$F$13*'IN_SCEN'!$F$14</f>
        <v/>
      </c>
      <c r="G122" s="14">
        <f>@@ENG_WC|WC.dwc|3@@*'IN_SCEN'!$F$13*'IN_SCEN'!$F$14</f>
        <v/>
      </c>
      <c r="H122" s="14">
        <f>@@ENG_WC|WC.dwc|4@@*'IN_SCEN'!$F$13*'IN_SCEN'!$F$14</f>
        <v/>
      </c>
      <c r="I122" s="14">
        <f>@@ENG_WC|WC.dwc|5@@*'IN_SCEN'!$F$13*'IN_SCEN'!$F$14</f>
        <v/>
      </c>
      <c r="J122" s="14">
        <f>@@ENG_WC|WC.dwc|6@@*'IN_SCEN'!$F$13*'IN_SCEN'!$F$14</f>
        <v/>
      </c>
      <c r="K122" s="14">
        <f>@@ENG_WC|WC.dwc|7@@*'IN_SCEN'!$F$13*'IN_SCEN'!$F$14</f>
        <v/>
      </c>
      <c r="L122" s="14">
        <f>@@ENG_WC|WC.dwc|8@@*'IN_SCEN'!$F$13*'IN_SCEN'!$F$14</f>
        <v/>
      </c>
      <c r="M122" s="14">
        <f>@@ENG_WC|WC.dwc|9@@*'IN_SCEN'!$F$13*'IN_SCEN'!$F$14</f>
        <v/>
      </c>
      <c r="N122" s="14">
        <f>@@ENG_WC|WC.dwc|10@@*'IN_SCEN'!$F$13*'IN_SCEN'!$F$14</f>
        <v/>
      </c>
      <c r="O122" s="14">
        <f>@@ENG_WC|WC.dwc|11@@*'IN_SCEN'!$F$13*'IN_SCEN'!$F$14</f>
        <v/>
      </c>
      <c r="P122" s="14">
        <f>@@ENG_WC|WC.dwc|12@@*'IN_SCEN'!$F$13*'IN_SCEN'!$F$14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@@ENG_DCF|DCF.wacc|0@@+'IN_SCEN'!$F$20</f>
        <v/>
      </c>
      <c r="E126" s="11">
        <f>@@ENG_DCF|DCF.wacc|1@@+'IN_SCEN'!$F$20</f>
        <v/>
      </c>
      <c r="F126" s="11">
        <f>@@ENG_DCF|DCF.wacc|2@@+'IN_SCEN'!$F$20</f>
        <v/>
      </c>
      <c r="G126" s="11">
        <f>@@ENG_DCF|DCF.wacc|3@@+'IN_SCEN'!$F$20</f>
        <v/>
      </c>
      <c r="H126" s="11">
        <f>@@ENG_DCF|DCF.wacc|4@@+'IN_SCEN'!$F$20</f>
        <v/>
      </c>
      <c r="I126" s="11">
        <f>@@ENG_DCF|DCF.wacc|5@@+'IN_SCEN'!$F$20</f>
        <v/>
      </c>
      <c r="J126" s="11">
        <f>@@ENG_DCF|DCF.wacc|6@@+'IN_SCEN'!$F$20</f>
        <v/>
      </c>
      <c r="K126" s="11">
        <f>@@ENG_DCF|DCF.wacc|7@@+'IN_SCEN'!$F$20</f>
        <v/>
      </c>
      <c r="L126" s="11">
        <f>@@ENG_DCF|DCF.wacc|8@@+'IN_SCEN'!$F$20</f>
        <v/>
      </c>
      <c r="M126" s="11">
        <f>@@ENG_DCF|DCF.wacc|9@@+'IN_SCEN'!$F$20</f>
        <v/>
      </c>
      <c r="N126" s="11">
        <f>@@ENG_DCF|DCF.wacc|10@@+'IN_SCEN'!$F$20</f>
        <v/>
      </c>
      <c r="O126" s="11">
        <f>@@ENG_DCF|DCF.wacc|11@@+'IN_SCEN'!$F$20</f>
        <v/>
      </c>
      <c r="P126" s="11">
        <f>@@ENG_DCF|DCF.wacc|12@@+'IN_SCEN'!$F$20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'ENG_SCEN'!$D$117-MAX(0,'ENG_SCEN'!$D$118-(@@ENG_FCF|FCF.int_lt|0@@*('IN_FIN'!$D$25+'IN_SCEN'!$F$21)/('IN_FIN'!$D$25+'ENG_SCEN'!$G$19)+@@ENG_FCF|FCF.fees|0@@+@@ENG_FCF|FCF.int_st|0@@-@@ENG_FCF|FCF.int_inc|0@@))*'IN_MACRO'!$D$14-'ENG_SCEN'!$D$122</f>
        <v/>
      </c>
      <c r="E133" s="14">
        <f>'ENG_SCEN'!$E$117-MAX(0,'ENG_SCEN'!$E$118-(@@ENG_FCF|FCF.int_lt|1@@*('IN_FIN'!$D$25+'IN_SCEN'!$F$21)/('IN_FIN'!$D$25+'ENG_SCEN'!$G$19)+@@ENG_FCF|FCF.fees|1@@+@@ENG_FCF|FCF.int_st|1@@-@@ENG_FCF|FCF.int_inc|1@@))*'IN_MACRO'!$D$14-'ENG_SCEN'!$E$122</f>
        <v/>
      </c>
      <c r="F133" s="14">
        <f>'ENG_SCEN'!$F$117-MAX(0,'ENG_SCEN'!$F$118-(@@ENG_FCF|FCF.int_lt|2@@*('IN_FIN'!$D$25+'IN_SCEN'!$F$21)/('IN_FIN'!$D$25+'ENG_SCEN'!$G$19)+@@ENG_FCF|FCF.fees|2@@+@@ENG_FCF|FCF.int_st|2@@-@@ENG_FCF|FCF.int_inc|2@@))*'IN_MACRO'!$D$14-'ENG_SCEN'!$F$122</f>
        <v/>
      </c>
      <c r="G133" s="14">
        <f>'ENG_SCEN'!$G$117-MAX(0,'ENG_SCEN'!$G$118-(@@ENG_FCF|FCF.int_lt|3@@*('IN_FIN'!$D$25+'IN_SCEN'!$F$21)/('IN_FIN'!$D$25+'ENG_SCEN'!$G$19)+@@ENG_FCF|FCF.fees|3@@+@@ENG_FCF|FCF.int_st|3@@-@@ENG_FCF|FCF.int_inc|3@@))*'IN_MACRO'!$D$14-'ENG_SCEN'!$G$122</f>
        <v/>
      </c>
      <c r="H133" s="14">
        <f>'ENG_SCEN'!$H$117-MAX(0,'ENG_SCEN'!$H$118-(@@ENG_FCF|FCF.int_lt|4@@*('IN_FIN'!$D$25+'IN_SCEN'!$F$21)/('IN_FIN'!$D$25+'ENG_SCEN'!$G$19)+@@ENG_FCF|FCF.fees|4@@+@@ENG_FCF|FCF.int_st|4@@-@@ENG_FCF|FCF.int_inc|4@@))*'IN_MACRO'!$D$14-'ENG_SCEN'!$H$122</f>
        <v/>
      </c>
      <c r="I133" s="14">
        <f>'ENG_SCEN'!$I$117-MAX(0,'ENG_SCEN'!$I$118-(@@ENG_FCF|FCF.int_lt|5@@*('IN_FIN'!$D$25+'IN_SCEN'!$F$21)/('IN_FIN'!$D$25+'ENG_SCEN'!$G$19)+@@ENG_FCF|FCF.fees|5@@+@@ENG_FCF|FCF.int_st|5@@-@@ENG_FCF|FCF.int_inc|5@@))*'IN_MACRO'!$D$14-'ENG_SCEN'!$I$122</f>
        <v/>
      </c>
      <c r="J133" s="14">
        <f>'ENG_SCEN'!$J$117-MAX(0,'ENG_SCEN'!$J$118-(@@ENG_FCF|FCF.int_lt|6@@*('IN_FIN'!$D$25+'IN_SCEN'!$F$21)/('IN_FIN'!$D$25+'ENG_SCEN'!$G$19)+@@ENG_FCF|FCF.fees|6@@+@@ENG_FCF|FCF.int_st|6@@-@@ENG_FCF|FCF.int_inc|6@@))*'IN_MACRO'!$D$14-'ENG_SCEN'!$J$122</f>
        <v/>
      </c>
      <c r="K133" s="14">
        <f>'ENG_SCEN'!$K$117-MAX(0,'ENG_SCEN'!$K$118-(@@ENG_FCF|FCF.int_lt|7@@*('IN_FIN'!$D$25+'IN_SCEN'!$F$21)/('IN_FIN'!$D$25+'ENG_SCEN'!$G$19)+@@ENG_FCF|FCF.fees|7@@+@@ENG_FCF|FCF.int_st|7@@-@@ENG_FCF|FCF.int_inc|7@@))*'IN_MACRO'!$D$14-'ENG_SCEN'!$K$122</f>
        <v/>
      </c>
      <c r="L133" s="14">
        <f>'ENG_SCEN'!$L$117-MAX(0,'ENG_SCEN'!$L$118-(@@ENG_FCF|FCF.int_lt|8@@*('IN_FIN'!$D$25+'IN_SCEN'!$F$21)/('IN_FIN'!$D$25+'ENG_SCEN'!$G$19)+@@ENG_FCF|FCF.fees|8@@+@@ENG_FCF|FCF.int_st|8@@-@@ENG_FCF|FCF.int_inc|8@@))*'IN_MACRO'!$D$14-'ENG_SCEN'!$L$122</f>
        <v/>
      </c>
      <c r="M133" s="14">
        <f>'ENG_SCEN'!$M$117-MAX(0,'ENG_SCEN'!$M$118-(@@ENG_FCF|FCF.int_lt|9@@*('IN_FIN'!$D$25+'IN_SCEN'!$F$21)/('IN_FIN'!$D$25+'ENG_SCEN'!$G$19)+@@ENG_FCF|FCF.fees|9@@+@@ENG_FCF|FCF.int_st|9@@-@@ENG_FCF|FCF.int_inc|9@@))*'IN_MACRO'!$D$14-'ENG_SCEN'!$M$122</f>
        <v/>
      </c>
      <c r="N133" s="14">
        <f>'ENG_SCEN'!$N$117-MAX(0,'ENG_SCEN'!$N$118-(@@ENG_FCF|FCF.int_lt|10@@*('IN_FIN'!$D$25+'IN_SCEN'!$F$21)/('IN_FIN'!$D$25+'ENG_SCEN'!$G$19)+@@ENG_FCF|FCF.fees|10@@+@@ENG_FCF|FCF.int_st|10@@-@@ENG_FCF|FCF.int_inc|10@@))*'IN_MACRO'!$D$14-'ENG_SCEN'!$N$122</f>
        <v/>
      </c>
      <c r="O133" s="14">
        <f>'ENG_SCEN'!$O$117-MAX(0,'ENG_SCEN'!$O$118-(@@ENG_FCF|FCF.int_lt|11@@*('IN_FIN'!$D$25+'IN_SCEN'!$F$21)/('IN_FIN'!$D$25+'ENG_SCEN'!$G$19)+@@ENG_FCF|FCF.fees|11@@+@@ENG_FCF|FCF.int_st|11@@-@@ENG_FCF|FCF.int_inc|11@@))*'IN_MACRO'!$D$14-'ENG_SCEN'!$O$122</f>
        <v/>
      </c>
      <c r="P133" s="14">
        <f>'ENG_SCEN'!$P$117-MAX(0,'ENG_SCEN'!$P$118-(@@ENG_FCF|FCF.int_lt|12@@*('IN_FIN'!$D$25+'IN_SCEN'!$F$21)/('IN_FIN'!$D$25+'ENG_SCEN'!$G$19)+@@ENG_FCF|FCF.fees|12@@+@@ENG_FCF|FCF.int_st|12@@-@@ENG_FCF|FCF.int_inc|12@@))*'IN_MACRO'!$D$14-'ENG_SCEN'!$P$122</f>
        <v/>
      </c>
    </row>
    <row r="134">
      <c r="A134" t="inlineStr">
        <is>
          <t>[3] خدمت دین</t>
        </is>
      </c>
      <c r="B134" s="8" t="inlineStr">
        <is>
          <t>SB3.debt_service</t>
        </is>
      </c>
      <c r="C134" s="9" t="inlineStr">
        <is>
          <t>میلیون ریال</t>
        </is>
      </c>
      <c r="D134" s="14">
        <f>@@ENG_FCF|FCF.principal|0@@+@@ENG_FCF|FCF.int_lt|0@@*('IN_FIN'!$D$25+'IN_SCEN'!$F$21)/('IN_FIN'!$D$25+'ENG_SCEN'!$G$19)+@@ENG_FCF|FCF.fees|0@@+@@ENG_FCF|FCF.int_st|0@@</f>
        <v/>
      </c>
      <c r="E134" s="14">
        <f>@@ENG_FCF|FCF.principal|1@@+@@ENG_FCF|FCF.int_lt|1@@*('IN_FIN'!$D$25+'IN_SCEN'!$F$21)/('IN_FIN'!$D$25+'ENG_SCEN'!$G$19)+@@ENG_FCF|FCF.fees|1@@+@@ENG_FCF|FCF.int_st|1@@</f>
        <v/>
      </c>
      <c r="F134" s="14">
        <f>@@ENG_FCF|FCF.principal|2@@+@@ENG_FCF|FCF.int_lt|2@@*('IN_FIN'!$D$25+'IN_SCEN'!$F$21)/('IN_FIN'!$D$25+'ENG_SCEN'!$G$19)+@@ENG_FCF|FCF.fees|2@@+@@ENG_FCF|FCF.int_st|2@@</f>
        <v/>
      </c>
      <c r="G134" s="14">
        <f>@@ENG_FCF|FCF.principal|3@@+@@ENG_FCF|FCF.int_lt|3@@*('IN_FIN'!$D$25+'IN_SCEN'!$F$21)/('IN_FIN'!$D$25+'ENG_SCEN'!$G$19)+@@ENG_FCF|FCF.fees|3@@+@@ENG_FCF|FCF.int_st|3@@</f>
        <v/>
      </c>
      <c r="H134" s="14">
        <f>@@ENG_FCF|FCF.principal|4@@+@@ENG_FCF|FCF.int_lt|4@@*('IN_FIN'!$D$25+'IN_SCEN'!$F$21)/('IN_FIN'!$D$25+'ENG_SCEN'!$G$19)+@@ENG_FCF|FCF.fees|4@@+@@ENG_FCF|FCF.int_st|4@@</f>
        <v/>
      </c>
      <c r="I134" s="14">
        <f>@@ENG_FCF|FCF.principal|5@@+@@ENG_FCF|FCF.int_lt|5@@*('IN_FIN'!$D$25+'IN_SCEN'!$F$21)/('IN_FIN'!$D$25+'ENG_SCEN'!$G$19)+@@ENG_FCF|FCF.fees|5@@+@@ENG_FCF|FCF.int_st|5@@</f>
        <v/>
      </c>
      <c r="J134" s="14">
        <f>@@ENG_FCF|FCF.principal|6@@+@@ENG_FCF|FCF.int_lt|6@@*('IN_FIN'!$D$25+'IN_SCEN'!$F$21)/('IN_FIN'!$D$25+'ENG_SCEN'!$G$19)+@@ENG_FCF|FCF.fees|6@@+@@ENG_FCF|FCF.int_st|6@@</f>
        <v/>
      </c>
      <c r="K134" s="14">
        <f>@@ENG_FCF|FCF.principal|7@@+@@ENG_FCF|FCF.int_lt|7@@*('IN_FIN'!$D$25+'IN_SCEN'!$F$21)/('IN_FIN'!$D$25+'ENG_SCEN'!$G$19)+@@ENG_FCF|FCF.fees|7@@+@@ENG_FCF|FCF.int_st|7@@</f>
        <v/>
      </c>
      <c r="L134" s="14">
        <f>@@ENG_FCF|FCF.principal|8@@+@@ENG_FCF|FCF.int_lt|8@@*('IN_FIN'!$D$25+'IN_SCEN'!$F$21)/('IN_FIN'!$D$25+'ENG_SCEN'!$G$19)+@@ENG_FCF|FCF.fees|8@@+@@ENG_FCF|FCF.int_st|8@@</f>
        <v/>
      </c>
      <c r="M134" s="14">
        <f>@@ENG_FCF|FCF.principal|9@@+@@ENG_FCF|FCF.int_lt|9@@*('IN_FIN'!$D$25+'IN_SCEN'!$F$21)/('IN_FIN'!$D$25+'ENG_SCEN'!$G$19)+@@ENG_FCF|FCF.fees|9@@+@@ENG_FCF|FCF.int_st|9@@</f>
        <v/>
      </c>
      <c r="N134" s="14">
        <f>@@ENG_FCF|FCF.principal|10@@+@@ENG_FCF|FCF.int_lt|10@@*('IN_FIN'!$D$25+'IN_SCEN'!$F$21)/('IN_FIN'!$D$25+'ENG_SCEN'!$G$19)+@@ENG_FCF|FCF.fees|10@@+@@ENG_FCF|FCF.int_st|10@@</f>
        <v/>
      </c>
      <c r="O134" s="14">
        <f>@@ENG_FCF|FCF.principal|11@@+@@ENG_FCF|FCF.int_lt|11@@*('IN_FIN'!$D$25+'IN_SCEN'!$F$21)/('IN_FIN'!$D$25+'ENG_SCEN'!$G$19)+@@ENG_FCF|FCF.fees|11@@+@@ENG_FCF|FCF.int_st|11@@</f>
        <v/>
      </c>
      <c r="P134" s="14">
        <f>@@ENG_FCF|FCF.principal|12@@+@@ENG_FCF|FCF.int_lt|12@@*('IN_FIN'!$D$25+'IN_SCEN'!$F$21)/('IN_FIN'!$D$25+'ENG_SCEN'!$G$19)+@@ENG_FCF|FCF.fees|12@@+@@ENG_FCF|FCF.int_st|12@@</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P66"/>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هزینه مستقیم مراکز خدماتی</t>
        </is>
      </c>
      <c r="B9" s="7" t="n"/>
      <c r="C9" s="7" t="n"/>
      <c r="D9" s="7" t="n"/>
      <c r="E9" s="7" t="n"/>
      <c r="F9" s="7" t="n"/>
      <c r="G9" s="7" t="n"/>
      <c r="H9" s="7" t="n"/>
      <c r="I9" s="7" t="n"/>
      <c r="J9" s="7" t="n"/>
      <c r="K9" s="7" t="n"/>
      <c r="L9" s="7" t="n"/>
      <c r="M9" s="7" t="n"/>
      <c r="N9" s="7" t="n"/>
      <c r="O9" s="7" t="n"/>
      <c r="P9" s="7" t="n"/>
    </row>
    <row r="10">
      <c r="A10" t="inlineStr">
        <is>
          <t>هزینه مرکز 1: نگهداری و تعمیرات مرکزی</t>
        </is>
      </c>
      <c r="B10" s="8" t="inlineStr">
        <is>
          <t>ALC.cost.1</t>
        </is>
      </c>
      <c r="C10" s="9" t="inlineStr">
        <is>
          <t>میلیون ریال</t>
        </is>
      </c>
      <c r="D10" s="14">
        <f>'IN_COST'!$F$23*'ENG_SCEN'!$D$32*'IN_MACRO'!$D$34</f>
        <v/>
      </c>
      <c r="E10" s="14">
        <f>'IN_COST'!$F$23*'ENG_SCEN'!$E$32*'IN_MACRO'!$E$34</f>
        <v/>
      </c>
      <c r="F10" s="14">
        <f>'IN_COST'!$F$23*'ENG_SCEN'!$F$32*'IN_MACRO'!$F$34</f>
        <v/>
      </c>
      <c r="G10" s="14">
        <f>'IN_COST'!$F$23*'ENG_SCEN'!$G$32*'IN_MACRO'!$G$34</f>
        <v/>
      </c>
      <c r="H10" s="14">
        <f>'IN_COST'!$F$23*'ENG_SCEN'!$H$32*'IN_MACRO'!$H$34</f>
        <v/>
      </c>
      <c r="I10" s="14">
        <f>'IN_COST'!$F$23*'ENG_SCEN'!$I$32*'IN_MACRO'!$I$34</f>
        <v/>
      </c>
      <c r="J10" s="14">
        <f>'IN_COST'!$F$23*'ENG_SCEN'!$J$32*'IN_MACRO'!$J$34</f>
        <v/>
      </c>
      <c r="K10" s="14">
        <f>'IN_COST'!$F$23*'ENG_SCEN'!$K$32*'IN_MACRO'!$K$34</f>
        <v/>
      </c>
      <c r="L10" s="14">
        <f>'IN_COST'!$F$23*'ENG_SCEN'!$L$32*'IN_MACRO'!$L$34</f>
        <v/>
      </c>
      <c r="M10" s="14">
        <f>'IN_COST'!$F$23*'ENG_SCEN'!$M$32*'IN_MACRO'!$M$34</f>
        <v/>
      </c>
      <c r="N10" s="14">
        <f>'IN_COST'!$F$23*'ENG_SCEN'!$N$32*'IN_MACRO'!$N$34</f>
        <v/>
      </c>
      <c r="O10" s="14">
        <f>'IN_COST'!$F$23*'ENG_SCEN'!$O$32*'IN_MACRO'!$O$34</f>
        <v/>
      </c>
      <c r="P10" s="14">
        <f>'IN_COST'!$F$23*'ENG_SCEN'!$P$32*'IN_MACRO'!$P$34</f>
        <v/>
      </c>
    </row>
    <row r="11">
      <c r="A11" t="inlineStr">
        <is>
          <t>هزینه مرکز 2: منابع انسانی و خدمات پشتیبانی</t>
        </is>
      </c>
      <c r="B11" s="8" t="inlineStr">
        <is>
          <t>ALC.cost.2</t>
        </is>
      </c>
      <c r="C11" s="9" t="inlineStr">
        <is>
          <t>میلیون ریال</t>
        </is>
      </c>
      <c r="D11" s="14">
        <f>'IN_COST'!$F$24*'ENG_SCEN'!$D$32*'IN_MACRO'!$D$34</f>
        <v/>
      </c>
      <c r="E11" s="14">
        <f>'IN_COST'!$F$24*'ENG_SCEN'!$E$32*'IN_MACRO'!$E$34</f>
        <v/>
      </c>
      <c r="F11" s="14">
        <f>'IN_COST'!$F$24*'ENG_SCEN'!$F$32*'IN_MACRO'!$F$34</f>
        <v/>
      </c>
      <c r="G11" s="14">
        <f>'IN_COST'!$F$24*'ENG_SCEN'!$G$32*'IN_MACRO'!$G$34</f>
        <v/>
      </c>
      <c r="H11" s="14">
        <f>'IN_COST'!$F$24*'ENG_SCEN'!$H$32*'IN_MACRO'!$H$34</f>
        <v/>
      </c>
      <c r="I11" s="14">
        <f>'IN_COST'!$F$24*'ENG_SCEN'!$I$32*'IN_MACRO'!$I$34</f>
        <v/>
      </c>
      <c r="J11" s="14">
        <f>'IN_COST'!$F$24*'ENG_SCEN'!$J$32*'IN_MACRO'!$J$34</f>
        <v/>
      </c>
      <c r="K11" s="14">
        <f>'IN_COST'!$F$24*'ENG_SCEN'!$K$32*'IN_MACRO'!$K$34</f>
        <v/>
      </c>
      <c r="L11" s="14">
        <f>'IN_COST'!$F$24*'ENG_SCEN'!$L$32*'IN_MACRO'!$L$34</f>
        <v/>
      </c>
      <c r="M11" s="14">
        <f>'IN_COST'!$F$24*'ENG_SCEN'!$M$32*'IN_MACRO'!$M$34</f>
        <v/>
      </c>
      <c r="N11" s="14">
        <f>'IN_COST'!$F$24*'ENG_SCEN'!$N$32*'IN_MACRO'!$N$34</f>
        <v/>
      </c>
      <c r="O11" s="14">
        <f>'IN_COST'!$F$24*'ENG_SCEN'!$O$32*'IN_MACRO'!$O$34</f>
        <v/>
      </c>
      <c r="P11" s="14">
        <f>'IN_COST'!$F$24*'ENG_SCEN'!$P$32*'IN_MACRO'!$P$34</f>
        <v/>
      </c>
    </row>
    <row r="12">
      <c r="A12" t="inlineStr">
        <is>
          <t>هزینه مرکز 3: لجستیک و انبارداری</t>
        </is>
      </c>
      <c r="B12" s="8" t="inlineStr">
        <is>
          <t>ALC.cost.3</t>
        </is>
      </c>
      <c r="C12" s="9" t="inlineStr">
        <is>
          <t>میلیون ریال</t>
        </is>
      </c>
      <c r="D12" s="14">
        <f>'IN_COST'!$F$25*'ENG_SCEN'!$D$32*'IN_MACRO'!$D$34</f>
        <v/>
      </c>
      <c r="E12" s="14">
        <f>'IN_COST'!$F$25*'ENG_SCEN'!$E$32*'IN_MACRO'!$E$34</f>
        <v/>
      </c>
      <c r="F12" s="14">
        <f>'IN_COST'!$F$25*'ENG_SCEN'!$F$32*'IN_MACRO'!$F$34</f>
        <v/>
      </c>
      <c r="G12" s="14">
        <f>'IN_COST'!$F$25*'ENG_SCEN'!$G$32*'IN_MACRO'!$G$34</f>
        <v/>
      </c>
      <c r="H12" s="14">
        <f>'IN_COST'!$F$25*'ENG_SCEN'!$H$32*'IN_MACRO'!$H$34</f>
        <v/>
      </c>
      <c r="I12" s="14">
        <f>'IN_COST'!$F$25*'ENG_SCEN'!$I$32*'IN_MACRO'!$I$34</f>
        <v/>
      </c>
      <c r="J12" s="14">
        <f>'IN_COST'!$F$25*'ENG_SCEN'!$J$32*'IN_MACRO'!$J$34</f>
        <v/>
      </c>
      <c r="K12" s="14">
        <f>'IN_COST'!$F$25*'ENG_SCEN'!$K$32*'IN_MACRO'!$K$34</f>
        <v/>
      </c>
      <c r="L12" s="14">
        <f>'IN_COST'!$F$25*'ENG_SCEN'!$L$32*'IN_MACRO'!$L$34</f>
        <v/>
      </c>
      <c r="M12" s="14">
        <f>'IN_COST'!$F$25*'ENG_SCEN'!$M$32*'IN_MACRO'!$M$34</f>
        <v/>
      </c>
      <c r="N12" s="14">
        <f>'IN_COST'!$F$25*'ENG_SCEN'!$N$32*'IN_MACRO'!$N$34</f>
        <v/>
      </c>
      <c r="O12" s="14">
        <f>'IN_COST'!$F$25*'ENG_SCEN'!$O$32*'IN_MACRO'!$O$34</f>
        <v/>
      </c>
      <c r="P12" s="14">
        <f>'IN_COST'!$F$25*'ENG_SCEN'!$P$32*'IN_MACRO'!$P$34</f>
        <v/>
      </c>
    </row>
    <row r="13">
      <c r="A13" t="inlineStr">
        <is>
          <t>هزینه مرکز 4: تصفیه‌خانه و محیط‌زیست</t>
        </is>
      </c>
      <c r="B13" s="8" t="inlineStr">
        <is>
          <t>ALC.cost.4</t>
        </is>
      </c>
      <c r="C13" s="9" t="inlineStr">
        <is>
          <t>میلیون ریال</t>
        </is>
      </c>
      <c r="D13" s="14">
        <f>'IN_COST'!$F$26*'ENG_SCEN'!$D$32*'IN_MACRO'!$D$34</f>
        <v/>
      </c>
      <c r="E13" s="14">
        <f>'IN_COST'!$F$26*'ENG_SCEN'!$E$32*'IN_MACRO'!$E$34</f>
        <v/>
      </c>
      <c r="F13" s="14">
        <f>'IN_COST'!$F$26*'ENG_SCEN'!$F$32*'IN_MACRO'!$F$34</f>
        <v/>
      </c>
      <c r="G13" s="14">
        <f>'IN_COST'!$F$26*'ENG_SCEN'!$G$32*'IN_MACRO'!$G$34</f>
        <v/>
      </c>
      <c r="H13" s="14">
        <f>'IN_COST'!$F$26*'ENG_SCEN'!$H$32*'IN_MACRO'!$H$34</f>
        <v/>
      </c>
      <c r="I13" s="14">
        <f>'IN_COST'!$F$26*'ENG_SCEN'!$I$32*'IN_MACRO'!$I$34</f>
        <v/>
      </c>
      <c r="J13" s="14">
        <f>'IN_COST'!$F$26*'ENG_SCEN'!$J$32*'IN_MACRO'!$J$34</f>
        <v/>
      </c>
      <c r="K13" s="14">
        <f>'IN_COST'!$F$26*'ENG_SCEN'!$K$32*'IN_MACRO'!$K$34</f>
        <v/>
      </c>
      <c r="L13" s="14">
        <f>'IN_COST'!$F$26*'ENG_SCEN'!$L$32*'IN_MACRO'!$L$34</f>
        <v/>
      </c>
      <c r="M13" s="14">
        <f>'IN_COST'!$F$26*'ENG_SCEN'!$M$32*'IN_MACRO'!$M$34</f>
        <v/>
      </c>
      <c r="N13" s="14">
        <f>'IN_COST'!$F$26*'ENG_SCEN'!$N$32*'IN_MACRO'!$N$34</f>
        <v/>
      </c>
      <c r="O13" s="14">
        <f>'IN_COST'!$F$26*'ENG_SCEN'!$O$32*'IN_MACRO'!$O$34</f>
        <v/>
      </c>
      <c r="P13" s="14">
        <f>'IN_COST'!$F$26*'ENG_SCEN'!$P$32*'IN_MACRO'!$P$34</f>
        <v/>
      </c>
    </row>
    <row r="14">
      <c r="A14" t="inlineStr">
        <is>
          <t>هزینه مرکز 5: آزمایشگاه و کنترل کیفیت</t>
        </is>
      </c>
      <c r="B14" s="8" t="inlineStr">
        <is>
          <t>ALC.cost.5</t>
        </is>
      </c>
      <c r="C14" s="9" t="inlineStr">
        <is>
          <t>میلیون ریال</t>
        </is>
      </c>
      <c r="D14" s="14">
        <f>'IN_COST'!$F$27*'ENG_SCEN'!$D$32*'IN_MACRO'!$D$34</f>
        <v/>
      </c>
      <c r="E14" s="14">
        <f>'IN_COST'!$F$27*'ENG_SCEN'!$E$32*'IN_MACRO'!$E$34</f>
        <v/>
      </c>
      <c r="F14" s="14">
        <f>'IN_COST'!$F$27*'ENG_SCEN'!$F$32*'IN_MACRO'!$F$34</f>
        <v/>
      </c>
      <c r="G14" s="14">
        <f>'IN_COST'!$F$27*'ENG_SCEN'!$G$32*'IN_MACRO'!$G$34</f>
        <v/>
      </c>
      <c r="H14" s="14">
        <f>'IN_COST'!$F$27*'ENG_SCEN'!$H$32*'IN_MACRO'!$H$34</f>
        <v/>
      </c>
      <c r="I14" s="14">
        <f>'IN_COST'!$F$27*'ENG_SCEN'!$I$32*'IN_MACRO'!$I$34</f>
        <v/>
      </c>
      <c r="J14" s="14">
        <f>'IN_COST'!$F$27*'ENG_SCEN'!$J$32*'IN_MACRO'!$J$34</f>
        <v/>
      </c>
      <c r="K14" s="14">
        <f>'IN_COST'!$F$27*'ENG_SCEN'!$K$32*'IN_MACRO'!$K$34</f>
        <v/>
      </c>
      <c r="L14" s="14">
        <f>'IN_COST'!$F$27*'ENG_SCEN'!$L$32*'IN_MACRO'!$L$34</f>
        <v/>
      </c>
      <c r="M14" s="14">
        <f>'IN_COST'!$F$27*'ENG_SCEN'!$M$32*'IN_MACRO'!$M$34</f>
        <v/>
      </c>
      <c r="N14" s="14">
        <f>'IN_COST'!$F$27*'ENG_SCEN'!$N$32*'IN_MACRO'!$N$34</f>
        <v/>
      </c>
      <c r="O14" s="14">
        <f>'IN_COST'!$F$27*'ENG_SCEN'!$O$32*'IN_MACRO'!$O$34</f>
        <v/>
      </c>
      <c r="P14" s="14">
        <f>'IN_COST'!$F$27*'ENG_SCEN'!$P$32*'IN_MACRO'!$P$34</f>
        <v/>
      </c>
    </row>
    <row r="15"/>
    <row r="16">
      <c r="A16" s="6" t="inlineStr">
        <is>
          <t>ب) جمع محرک و وزن تخصیص هر مرکز</t>
        </is>
      </c>
      <c r="B16" s="7" t="n"/>
      <c r="C16" s="7" t="n"/>
      <c r="D16" s="7" t="n"/>
      <c r="E16" s="7" t="n"/>
      <c r="F16" s="7" t="n"/>
      <c r="G16" s="7" t="n"/>
      <c r="H16" s="7" t="n"/>
      <c r="I16" s="7" t="n"/>
      <c r="J16" s="7" t="n"/>
      <c r="K16" s="7" t="n"/>
      <c r="L16" s="7" t="n"/>
      <c r="M16" s="7" t="n"/>
      <c r="N16" s="7" t="n"/>
      <c r="O16" s="7" t="n"/>
      <c r="P16" s="7" t="n"/>
    </row>
    <row r="17">
      <c r="A17" t="inlineStr">
        <is>
          <t>جمع محرک مرکز 1</t>
        </is>
      </c>
      <c r="B17" s="8" t="inlineStr">
        <is>
          <t>ALC.dtot.1</t>
        </is>
      </c>
      <c r="C17" s="9" t="inlineStr">
        <is>
          <t>─</t>
        </is>
      </c>
      <c r="D17" s="14">
        <f>SUM(INDEX('IN_TECH'!$D$47:$I$52,MATCH('IN_COST'!$E$23,'IN_TECH'!$B$47:$B$52,0),0))</f>
        <v/>
      </c>
      <c r="E17" s="14" t="n"/>
      <c r="F17" s="14" t="n"/>
      <c r="G17" s="14" t="n"/>
      <c r="H17" s="14" t="n"/>
      <c r="I17" s="14" t="n"/>
      <c r="J17" s="14" t="n"/>
      <c r="K17" s="14" t="n"/>
      <c r="L17" s="14" t="n"/>
      <c r="M17" s="14" t="n"/>
      <c r="N17" s="14" t="n"/>
      <c r="O17" s="14" t="n"/>
      <c r="P17" s="14" t="n"/>
    </row>
    <row r="18">
      <c r="A18" t="inlineStr">
        <is>
          <t>جمع محرک مرکز 2</t>
        </is>
      </c>
      <c r="B18" s="8" t="inlineStr">
        <is>
          <t>ALC.dtot.2</t>
        </is>
      </c>
      <c r="C18" s="9" t="inlineStr">
        <is>
          <t>─</t>
        </is>
      </c>
      <c r="D18" s="14">
        <f>SUM(INDEX('IN_TECH'!$D$47:$I$52,MATCH('IN_COST'!$E$24,'IN_TECH'!$B$47:$B$52,0),0))</f>
        <v/>
      </c>
      <c r="E18" s="14" t="n"/>
      <c r="F18" s="14" t="n"/>
      <c r="G18" s="14" t="n"/>
      <c r="H18" s="14" t="n"/>
      <c r="I18" s="14" t="n"/>
      <c r="J18" s="14" t="n"/>
      <c r="K18" s="14" t="n"/>
      <c r="L18" s="14" t="n"/>
      <c r="M18" s="14" t="n"/>
      <c r="N18" s="14" t="n"/>
      <c r="O18" s="14" t="n"/>
      <c r="P18" s="14" t="n"/>
    </row>
    <row r="19">
      <c r="A19" t="inlineStr">
        <is>
          <t>جمع محرک مرکز 3</t>
        </is>
      </c>
      <c r="B19" s="8" t="inlineStr">
        <is>
          <t>ALC.dtot.3</t>
        </is>
      </c>
      <c r="C19" s="9" t="inlineStr">
        <is>
          <t>─</t>
        </is>
      </c>
      <c r="D19" s="14">
        <f>SUM(INDEX('IN_TECH'!$D$47:$I$52,MATCH('IN_COST'!$E$25,'IN_TECH'!$B$47:$B$52,0),0))</f>
        <v/>
      </c>
      <c r="E19" s="14" t="n"/>
      <c r="F19" s="14" t="n"/>
      <c r="G19" s="14" t="n"/>
      <c r="H19" s="14" t="n"/>
      <c r="I19" s="14" t="n"/>
      <c r="J19" s="14" t="n"/>
      <c r="K19" s="14" t="n"/>
      <c r="L19" s="14" t="n"/>
      <c r="M19" s="14" t="n"/>
      <c r="N19" s="14" t="n"/>
      <c r="O19" s="14" t="n"/>
      <c r="P19" s="14" t="n"/>
    </row>
    <row r="20">
      <c r="A20" t="inlineStr">
        <is>
          <t>جمع محرک مرکز 4</t>
        </is>
      </c>
      <c r="B20" s="8" t="inlineStr">
        <is>
          <t>ALC.dtot.4</t>
        </is>
      </c>
      <c r="C20" s="9" t="inlineStr">
        <is>
          <t>─</t>
        </is>
      </c>
      <c r="D20" s="14">
        <f>SUM(INDEX('IN_TECH'!$D$47:$I$52,MATCH('IN_COST'!$E$26,'IN_TECH'!$B$47:$B$52,0),0))</f>
        <v/>
      </c>
      <c r="E20" s="14" t="n"/>
      <c r="F20" s="14" t="n"/>
      <c r="G20" s="14" t="n"/>
      <c r="H20" s="14" t="n"/>
      <c r="I20" s="14" t="n"/>
      <c r="J20" s="14" t="n"/>
      <c r="K20" s="14" t="n"/>
      <c r="L20" s="14" t="n"/>
      <c r="M20" s="14" t="n"/>
      <c r="N20" s="14" t="n"/>
      <c r="O20" s="14" t="n"/>
      <c r="P20" s="14" t="n"/>
    </row>
    <row r="21">
      <c r="A21" t="inlineStr">
        <is>
          <t>جمع محرک مرکز 5</t>
        </is>
      </c>
      <c r="B21" s="8" t="inlineStr">
        <is>
          <t>ALC.dtot.5</t>
        </is>
      </c>
      <c r="C21" s="9" t="inlineStr">
        <is>
          <t>─</t>
        </is>
      </c>
      <c r="D21" s="14">
        <f>SUM(INDEX('IN_TECH'!$D$47:$I$52,MATCH('IN_COST'!$E$27,'IN_TECH'!$B$47:$B$52,0),0))</f>
        <v/>
      </c>
      <c r="E21" s="14" t="n"/>
      <c r="F21" s="14" t="n"/>
      <c r="G21" s="14" t="n"/>
      <c r="H21" s="14" t="n"/>
      <c r="I21" s="14" t="n"/>
      <c r="J21" s="14" t="n"/>
      <c r="K21" s="14" t="n"/>
      <c r="L21" s="14" t="n"/>
      <c r="M21" s="14" t="n"/>
      <c r="N21" s="14" t="n"/>
      <c r="O21" s="14" t="n"/>
      <c r="P21" s="14" t="n"/>
    </row>
    <row r="22">
      <c r="A22" t="inlineStr">
        <is>
          <t>وزن تخصیص مرکز 1 به ایستگاه‌ها</t>
        </is>
      </c>
      <c r="B22" s="8" t="inlineStr">
        <is>
          <t>ALC.w.1</t>
        </is>
      </c>
      <c r="C22" s="9" t="inlineStr">
        <is>
          <t>درصد</t>
        </is>
      </c>
      <c r="D22" s="25">
        <f>IFERROR(INDEX('IN_TECH'!$D$47:$I$52,MATCH('IN_COST'!$E$23,'IN_TECH'!$B$47:$B$52,0),1)/'ENG_ALLOC'!$D$17,0)</f>
        <v/>
      </c>
      <c r="E22" s="25">
        <f>IFERROR(INDEX('IN_TECH'!$D$47:$I$52,MATCH('IN_COST'!$E$23,'IN_TECH'!$B$47:$B$52,0),2)/'ENG_ALLOC'!$D$17,0)</f>
        <v/>
      </c>
      <c r="F22" s="25">
        <f>IFERROR(INDEX('IN_TECH'!$D$47:$I$52,MATCH('IN_COST'!$E$23,'IN_TECH'!$B$47:$B$52,0),3)/'ENG_ALLOC'!$D$17,0)</f>
        <v/>
      </c>
      <c r="G22" s="25">
        <f>IFERROR(INDEX('IN_TECH'!$D$47:$I$52,MATCH('IN_COST'!$E$23,'IN_TECH'!$B$47:$B$52,0),4)/'ENG_ALLOC'!$D$17,0)</f>
        <v/>
      </c>
      <c r="H22" s="25">
        <f>IFERROR(INDEX('IN_TECH'!$D$47:$I$52,MATCH('IN_COST'!$E$23,'IN_TECH'!$B$47:$B$52,0),5)/'ENG_ALLOC'!$D$17,0)</f>
        <v/>
      </c>
      <c r="I22" s="25">
        <f>IFERROR(INDEX('IN_TECH'!$D$47:$I$52,MATCH('IN_COST'!$E$23,'IN_TECH'!$B$47:$B$52,0),6)/'ENG_ALLOC'!$D$17,0)</f>
        <v/>
      </c>
      <c r="J22" s="25" t="n"/>
      <c r="K22" s="25" t="n"/>
      <c r="L22" s="25" t="n"/>
      <c r="M22" s="25" t="n"/>
      <c r="N22" s="25" t="n"/>
      <c r="O22" s="25" t="n"/>
      <c r="P22" s="25" t="n"/>
    </row>
    <row r="23">
      <c r="A23" t="inlineStr">
        <is>
          <t>وزن تخصیص مرکز 2 به ایستگاه‌ها</t>
        </is>
      </c>
      <c r="B23" s="8" t="inlineStr">
        <is>
          <t>ALC.w.2</t>
        </is>
      </c>
      <c r="C23" s="9" t="inlineStr">
        <is>
          <t>درصد</t>
        </is>
      </c>
      <c r="D23" s="25">
        <f>IFERROR(INDEX('IN_TECH'!$D$47:$I$52,MATCH('IN_COST'!$E$24,'IN_TECH'!$B$47:$B$52,0),1)/'ENG_ALLOC'!$D$18,0)</f>
        <v/>
      </c>
      <c r="E23" s="25">
        <f>IFERROR(INDEX('IN_TECH'!$D$47:$I$52,MATCH('IN_COST'!$E$24,'IN_TECH'!$B$47:$B$52,0),2)/'ENG_ALLOC'!$D$18,0)</f>
        <v/>
      </c>
      <c r="F23" s="25">
        <f>IFERROR(INDEX('IN_TECH'!$D$47:$I$52,MATCH('IN_COST'!$E$24,'IN_TECH'!$B$47:$B$52,0),3)/'ENG_ALLOC'!$D$18,0)</f>
        <v/>
      </c>
      <c r="G23" s="25">
        <f>IFERROR(INDEX('IN_TECH'!$D$47:$I$52,MATCH('IN_COST'!$E$24,'IN_TECH'!$B$47:$B$52,0),4)/'ENG_ALLOC'!$D$18,0)</f>
        <v/>
      </c>
      <c r="H23" s="25">
        <f>IFERROR(INDEX('IN_TECH'!$D$47:$I$52,MATCH('IN_COST'!$E$24,'IN_TECH'!$B$47:$B$52,0),5)/'ENG_ALLOC'!$D$18,0)</f>
        <v/>
      </c>
      <c r="I23" s="25">
        <f>IFERROR(INDEX('IN_TECH'!$D$47:$I$52,MATCH('IN_COST'!$E$24,'IN_TECH'!$B$47:$B$52,0),6)/'ENG_ALLOC'!$D$18,0)</f>
        <v/>
      </c>
      <c r="J23" s="25" t="n"/>
      <c r="K23" s="25" t="n"/>
      <c r="L23" s="25" t="n"/>
      <c r="M23" s="25" t="n"/>
      <c r="N23" s="25" t="n"/>
      <c r="O23" s="25" t="n"/>
      <c r="P23" s="25" t="n"/>
    </row>
    <row r="24">
      <c r="A24" t="inlineStr">
        <is>
          <t>وزن تخصیص مرکز 3 به ایستگاه‌ها</t>
        </is>
      </c>
      <c r="B24" s="8" t="inlineStr">
        <is>
          <t>ALC.w.3</t>
        </is>
      </c>
      <c r="C24" s="9" t="inlineStr">
        <is>
          <t>درصد</t>
        </is>
      </c>
      <c r="D24" s="25">
        <f>IFERROR(INDEX('IN_TECH'!$D$47:$I$52,MATCH('IN_COST'!$E$25,'IN_TECH'!$B$47:$B$52,0),1)/'ENG_ALLOC'!$D$19,0)</f>
        <v/>
      </c>
      <c r="E24" s="25">
        <f>IFERROR(INDEX('IN_TECH'!$D$47:$I$52,MATCH('IN_COST'!$E$25,'IN_TECH'!$B$47:$B$52,0),2)/'ENG_ALLOC'!$D$19,0)</f>
        <v/>
      </c>
      <c r="F24" s="25">
        <f>IFERROR(INDEX('IN_TECH'!$D$47:$I$52,MATCH('IN_COST'!$E$25,'IN_TECH'!$B$47:$B$52,0),3)/'ENG_ALLOC'!$D$19,0)</f>
        <v/>
      </c>
      <c r="G24" s="25">
        <f>IFERROR(INDEX('IN_TECH'!$D$47:$I$52,MATCH('IN_COST'!$E$25,'IN_TECH'!$B$47:$B$52,0),4)/'ENG_ALLOC'!$D$19,0)</f>
        <v/>
      </c>
      <c r="H24" s="25">
        <f>IFERROR(INDEX('IN_TECH'!$D$47:$I$52,MATCH('IN_COST'!$E$25,'IN_TECH'!$B$47:$B$52,0),5)/'ENG_ALLOC'!$D$19,0)</f>
        <v/>
      </c>
      <c r="I24" s="25">
        <f>IFERROR(INDEX('IN_TECH'!$D$47:$I$52,MATCH('IN_COST'!$E$25,'IN_TECH'!$B$47:$B$52,0),6)/'ENG_ALLOC'!$D$19,0)</f>
        <v/>
      </c>
      <c r="J24" s="25" t="n"/>
      <c r="K24" s="25" t="n"/>
      <c r="L24" s="25" t="n"/>
      <c r="M24" s="25" t="n"/>
      <c r="N24" s="25" t="n"/>
      <c r="O24" s="25" t="n"/>
      <c r="P24" s="25" t="n"/>
    </row>
    <row r="25">
      <c r="A25" t="inlineStr">
        <is>
          <t>وزن تخصیص مرکز 4 به ایستگاه‌ها</t>
        </is>
      </c>
      <c r="B25" s="8" t="inlineStr">
        <is>
          <t>ALC.w.4</t>
        </is>
      </c>
      <c r="C25" s="9" t="inlineStr">
        <is>
          <t>درصد</t>
        </is>
      </c>
      <c r="D25" s="25">
        <f>IFERROR(INDEX('IN_TECH'!$D$47:$I$52,MATCH('IN_COST'!$E$26,'IN_TECH'!$B$47:$B$52,0),1)/'ENG_ALLOC'!$D$20,0)</f>
        <v/>
      </c>
      <c r="E25" s="25">
        <f>IFERROR(INDEX('IN_TECH'!$D$47:$I$52,MATCH('IN_COST'!$E$26,'IN_TECH'!$B$47:$B$52,0),2)/'ENG_ALLOC'!$D$20,0)</f>
        <v/>
      </c>
      <c r="F25" s="25">
        <f>IFERROR(INDEX('IN_TECH'!$D$47:$I$52,MATCH('IN_COST'!$E$26,'IN_TECH'!$B$47:$B$52,0),3)/'ENG_ALLOC'!$D$20,0)</f>
        <v/>
      </c>
      <c r="G25" s="25">
        <f>IFERROR(INDEX('IN_TECH'!$D$47:$I$52,MATCH('IN_COST'!$E$26,'IN_TECH'!$B$47:$B$52,0),4)/'ENG_ALLOC'!$D$20,0)</f>
        <v/>
      </c>
      <c r="H25" s="25">
        <f>IFERROR(INDEX('IN_TECH'!$D$47:$I$52,MATCH('IN_COST'!$E$26,'IN_TECH'!$B$47:$B$52,0),5)/'ENG_ALLOC'!$D$20,0)</f>
        <v/>
      </c>
      <c r="I25" s="25">
        <f>IFERROR(INDEX('IN_TECH'!$D$47:$I$52,MATCH('IN_COST'!$E$26,'IN_TECH'!$B$47:$B$52,0),6)/'ENG_ALLOC'!$D$20,0)</f>
        <v/>
      </c>
      <c r="J25" s="25" t="n"/>
      <c r="K25" s="25" t="n"/>
      <c r="L25" s="25" t="n"/>
      <c r="M25" s="25" t="n"/>
      <c r="N25" s="25" t="n"/>
      <c r="O25" s="25" t="n"/>
      <c r="P25" s="25" t="n"/>
    </row>
    <row r="26">
      <c r="A26" t="inlineStr">
        <is>
          <t>وزن تخصیص مرکز 5 به ایستگاه‌ها</t>
        </is>
      </c>
      <c r="B26" s="8" t="inlineStr">
        <is>
          <t>ALC.w.5</t>
        </is>
      </c>
      <c r="C26" s="9" t="inlineStr">
        <is>
          <t>درصد</t>
        </is>
      </c>
      <c r="D26" s="25">
        <f>IFERROR(INDEX('IN_TECH'!$D$47:$I$52,MATCH('IN_COST'!$E$27,'IN_TECH'!$B$47:$B$52,0),1)/'ENG_ALLOC'!$D$21,0)</f>
        <v/>
      </c>
      <c r="E26" s="25">
        <f>IFERROR(INDEX('IN_TECH'!$D$47:$I$52,MATCH('IN_COST'!$E$27,'IN_TECH'!$B$47:$B$52,0),2)/'ENG_ALLOC'!$D$21,0)</f>
        <v/>
      </c>
      <c r="F26" s="25">
        <f>IFERROR(INDEX('IN_TECH'!$D$47:$I$52,MATCH('IN_COST'!$E$27,'IN_TECH'!$B$47:$B$52,0),3)/'ENG_ALLOC'!$D$21,0)</f>
        <v/>
      </c>
      <c r="G26" s="25">
        <f>IFERROR(INDEX('IN_TECH'!$D$47:$I$52,MATCH('IN_COST'!$E$27,'IN_TECH'!$B$47:$B$52,0),4)/'ENG_ALLOC'!$D$21,0)</f>
        <v/>
      </c>
      <c r="H26" s="25">
        <f>IFERROR(INDEX('IN_TECH'!$D$47:$I$52,MATCH('IN_COST'!$E$27,'IN_TECH'!$B$47:$B$52,0),5)/'ENG_ALLOC'!$D$21,0)</f>
        <v/>
      </c>
      <c r="I26" s="25">
        <f>IFERROR(INDEX('IN_TECH'!$D$47:$I$52,MATCH('IN_COST'!$E$27,'IN_TECH'!$B$47:$B$52,0),6)/'ENG_ALLOC'!$D$21,0)</f>
        <v/>
      </c>
      <c r="J26" s="25" t="n"/>
      <c r="K26" s="25" t="n"/>
      <c r="L26" s="25" t="n"/>
      <c r="M26" s="25" t="n"/>
      <c r="N26" s="25" t="n"/>
      <c r="O26" s="25" t="n"/>
      <c r="P26" s="25" t="n"/>
    </row>
    <row r="27"/>
    <row r="28">
      <c r="A28" s="6" t="inlineStr">
        <is>
          <t>ج) ماتریس تخصیص (مرکز × ایستگاه × سال)</t>
        </is>
      </c>
      <c r="B28" s="7" t="n"/>
      <c r="C28" s="7" t="n"/>
      <c r="D28" s="7" t="n"/>
      <c r="E28" s="7" t="n"/>
      <c r="F28" s="7" t="n"/>
      <c r="G28" s="7" t="n"/>
      <c r="H28" s="7" t="n"/>
      <c r="I28" s="7" t="n"/>
      <c r="J28" s="7" t="n"/>
      <c r="K28" s="7" t="n"/>
      <c r="L28" s="7" t="n"/>
      <c r="M28" s="7" t="n"/>
      <c r="N28" s="7" t="n"/>
      <c r="O28" s="7" t="n"/>
      <c r="P28" s="7" t="n"/>
    </row>
    <row r="29">
      <c r="A29" t="inlineStr">
        <is>
          <t>مرکز 1 ← ایستگاه 1</t>
        </is>
      </c>
      <c r="C29" s="9" t="inlineStr">
        <is>
          <t>میلیون ریال</t>
        </is>
      </c>
      <c r="D29" s="14">
        <f>'ENG_ALLOC'!$D$10*'ENG_ALLOC'!$D$22</f>
        <v/>
      </c>
      <c r="E29" s="14">
        <f>'ENG_ALLOC'!$E$10*'ENG_ALLOC'!$D$22</f>
        <v/>
      </c>
      <c r="F29" s="14">
        <f>'ENG_ALLOC'!$F$10*'ENG_ALLOC'!$D$22</f>
        <v/>
      </c>
      <c r="G29" s="14">
        <f>'ENG_ALLOC'!$G$10*'ENG_ALLOC'!$D$22</f>
        <v/>
      </c>
      <c r="H29" s="14">
        <f>'ENG_ALLOC'!$H$10*'ENG_ALLOC'!$D$22</f>
        <v/>
      </c>
      <c r="I29" s="14">
        <f>'ENG_ALLOC'!$I$10*'ENG_ALLOC'!$D$22</f>
        <v/>
      </c>
      <c r="J29" s="14">
        <f>'ENG_ALLOC'!$J$10*'ENG_ALLOC'!$D$22</f>
        <v/>
      </c>
      <c r="K29" s="14">
        <f>'ENG_ALLOC'!$K$10*'ENG_ALLOC'!$D$22</f>
        <v/>
      </c>
      <c r="L29" s="14">
        <f>'ENG_ALLOC'!$L$10*'ENG_ALLOC'!$D$22</f>
        <v/>
      </c>
      <c r="M29" s="14">
        <f>'ENG_ALLOC'!$M$10*'ENG_ALLOC'!$D$22</f>
        <v/>
      </c>
      <c r="N29" s="14">
        <f>'ENG_ALLOC'!$N$10*'ENG_ALLOC'!$D$22</f>
        <v/>
      </c>
      <c r="O29" s="14">
        <f>'ENG_ALLOC'!$O$10*'ENG_ALLOC'!$D$22</f>
        <v/>
      </c>
      <c r="P29" s="14">
        <f>'ENG_ALLOC'!$P$10*'ENG_ALLOC'!$D$22</f>
        <v/>
      </c>
    </row>
    <row r="30">
      <c r="A30" t="inlineStr">
        <is>
          <t>مرکز 1 ← ایستگاه 2</t>
        </is>
      </c>
      <c r="C30" s="9" t="inlineStr">
        <is>
          <t>میلیون ریال</t>
        </is>
      </c>
      <c r="D30" s="14">
        <f>'ENG_ALLOC'!$D$10*'ENG_ALLOC'!$E$22</f>
        <v/>
      </c>
      <c r="E30" s="14">
        <f>'ENG_ALLOC'!$E$10*'ENG_ALLOC'!$E$22</f>
        <v/>
      </c>
      <c r="F30" s="14">
        <f>'ENG_ALLOC'!$F$10*'ENG_ALLOC'!$E$22</f>
        <v/>
      </c>
      <c r="G30" s="14">
        <f>'ENG_ALLOC'!$G$10*'ENG_ALLOC'!$E$22</f>
        <v/>
      </c>
      <c r="H30" s="14">
        <f>'ENG_ALLOC'!$H$10*'ENG_ALLOC'!$E$22</f>
        <v/>
      </c>
      <c r="I30" s="14">
        <f>'ENG_ALLOC'!$I$10*'ENG_ALLOC'!$E$22</f>
        <v/>
      </c>
      <c r="J30" s="14">
        <f>'ENG_ALLOC'!$J$10*'ENG_ALLOC'!$E$22</f>
        <v/>
      </c>
      <c r="K30" s="14">
        <f>'ENG_ALLOC'!$K$10*'ENG_ALLOC'!$E$22</f>
        <v/>
      </c>
      <c r="L30" s="14">
        <f>'ENG_ALLOC'!$L$10*'ENG_ALLOC'!$E$22</f>
        <v/>
      </c>
      <c r="M30" s="14">
        <f>'ENG_ALLOC'!$M$10*'ENG_ALLOC'!$E$22</f>
        <v/>
      </c>
      <c r="N30" s="14">
        <f>'ENG_ALLOC'!$N$10*'ENG_ALLOC'!$E$22</f>
        <v/>
      </c>
      <c r="O30" s="14">
        <f>'ENG_ALLOC'!$O$10*'ENG_ALLOC'!$E$22</f>
        <v/>
      </c>
      <c r="P30" s="14">
        <f>'ENG_ALLOC'!$P$10*'ENG_ALLOC'!$E$22</f>
        <v/>
      </c>
    </row>
    <row r="31">
      <c r="A31" t="inlineStr">
        <is>
          <t>مرکز 1 ← ایستگاه 3</t>
        </is>
      </c>
      <c r="C31" s="9" t="inlineStr">
        <is>
          <t>میلیون ریال</t>
        </is>
      </c>
      <c r="D31" s="14">
        <f>'ENG_ALLOC'!$D$10*'ENG_ALLOC'!$F$22</f>
        <v/>
      </c>
      <c r="E31" s="14">
        <f>'ENG_ALLOC'!$E$10*'ENG_ALLOC'!$F$22</f>
        <v/>
      </c>
      <c r="F31" s="14">
        <f>'ENG_ALLOC'!$F$10*'ENG_ALLOC'!$F$22</f>
        <v/>
      </c>
      <c r="G31" s="14">
        <f>'ENG_ALLOC'!$G$10*'ENG_ALLOC'!$F$22</f>
        <v/>
      </c>
      <c r="H31" s="14">
        <f>'ENG_ALLOC'!$H$10*'ENG_ALLOC'!$F$22</f>
        <v/>
      </c>
      <c r="I31" s="14">
        <f>'ENG_ALLOC'!$I$10*'ENG_ALLOC'!$F$22</f>
        <v/>
      </c>
      <c r="J31" s="14">
        <f>'ENG_ALLOC'!$J$10*'ENG_ALLOC'!$F$22</f>
        <v/>
      </c>
      <c r="K31" s="14">
        <f>'ENG_ALLOC'!$K$10*'ENG_ALLOC'!$F$22</f>
        <v/>
      </c>
      <c r="L31" s="14">
        <f>'ENG_ALLOC'!$L$10*'ENG_ALLOC'!$F$22</f>
        <v/>
      </c>
      <c r="M31" s="14">
        <f>'ENG_ALLOC'!$M$10*'ENG_ALLOC'!$F$22</f>
        <v/>
      </c>
      <c r="N31" s="14">
        <f>'ENG_ALLOC'!$N$10*'ENG_ALLOC'!$F$22</f>
        <v/>
      </c>
      <c r="O31" s="14">
        <f>'ENG_ALLOC'!$O$10*'ENG_ALLOC'!$F$22</f>
        <v/>
      </c>
      <c r="P31" s="14">
        <f>'ENG_ALLOC'!$P$10*'ENG_ALLOC'!$F$22</f>
        <v/>
      </c>
    </row>
    <row r="32">
      <c r="A32" t="inlineStr">
        <is>
          <t>مرکز 1 ← ایستگاه 4</t>
        </is>
      </c>
      <c r="C32" s="9" t="inlineStr">
        <is>
          <t>میلیون ریال</t>
        </is>
      </c>
      <c r="D32" s="14">
        <f>'ENG_ALLOC'!$D$10*'ENG_ALLOC'!$G$22</f>
        <v/>
      </c>
      <c r="E32" s="14">
        <f>'ENG_ALLOC'!$E$10*'ENG_ALLOC'!$G$22</f>
        <v/>
      </c>
      <c r="F32" s="14">
        <f>'ENG_ALLOC'!$F$10*'ENG_ALLOC'!$G$22</f>
        <v/>
      </c>
      <c r="G32" s="14">
        <f>'ENG_ALLOC'!$G$10*'ENG_ALLOC'!$G$22</f>
        <v/>
      </c>
      <c r="H32" s="14">
        <f>'ENG_ALLOC'!$H$10*'ENG_ALLOC'!$G$22</f>
        <v/>
      </c>
      <c r="I32" s="14">
        <f>'ENG_ALLOC'!$I$10*'ENG_ALLOC'!$G$22</f>
        <v/>
      </c>
      <c r="J32" s="14">
        <f>'ENG_ALLOC'!$J$10*'ENG_ALLOC'!$G$22</f>
        <v/>
      </c>
      <c r="K32" s="14">
        <f>'ENG_ALLOC'!$K$10*'ENG_ALLOC'!$G$22</f>
        <v/>
      </c>
      <c r="L32" s="14">
        <f>'ENG_ALLOC'!$L$10*'ENG_ALLOC'!$G$22</f>
        <v/>
      </c>
      <c r="M32" s="14">
        <f>'ENG_ALLOC'!$M$10*'ENG_ALLOC'!$G$22</f>
        <v/>
      </c>
      <c r="N32" s="14">
        <f>'ENG_ALLOC'!$N$10*'ENG_ALLOC'!$G$22</f>
        <v/>
      </c>
      <c r="O32" s="14">
        <f>'ENG_ALLOC'!$O$10*'ENG_ALLOC'!$G$22</f>
        <v/>
      </c>
      <c r="P32" s="14">
        <f>'ENG_ALLOC'!$P$10*'ENG_ALLOC'!$G$22</f>
        <v/>
      </c>
    </row>
    <row r="33">
      <c r="A33" t="inlineStr">
        <is>
          <t>مرکز 1 ← ایستگاه 5</t>
        </is>
      </c>
      <c r="C33" s="9" t="inlineStr">
        <is>
          <t>میلیون ریال</t>
        </is>
      </c>
      <c r="D33" s="14">
        <f>'ENG_ALLOC'!$D$10*'ENG_ALLOC'!$H$22</f>
        <v/>
      </c>
      <c r="E33" s="14">
        <f>'ENG_ALLOC'!$E$10*'ENG_ALLOC'!$H$22</f>
        <v/>
      </c>
      <c r="F33" s="14">
        <f>'ENG_ALLOC'!$F$10*'ENG_ALLOC'!$H$22</f>
        <v/>
      </c>
      <c r="G33" s="14">
        <f>'ENG_ALLOC'!$G$10*'ENG_ALLOC'!$H$22</f>
        <v/>
      </c>
      <c r="H33" s="14">
        <f>'ENG_ALLOC'!$H$10*'ENG_ALLOC'!$H$22</f>
        <v/>
      </c>
      <c r="I33" s="14">
        <f>'ENG_ALLOC'!$I$10*'ENG_ALLOC'!$H$22</f>
        <v/>
      </c>
      <c r="J33" s="14">
        <f>'ENG_ALLOC'!$J$10*'ENG_ALLOC'!$H$22</f>
        <v/>
      </c>
      <c r="K33" s="14">
        <f>'ENG_ALLOC'!$K$10*'ENG_ALLOC'!$H$22</f>
        <v/>
      </c>
      <c r="L33" s="14">
        <f>'ENG_ALLOC'!$L$10*'ENG_ALLOC'!$H$22</f>
        <v/>
      </c>
      <c r="M33" s="14">
        <f>'ENG_ALLOC'!$M$10*'ENG_ALLOC'!$H$22</f>
        <v/>
      </c>
      <c r="N33" s="14">
        <f>'ENG_ALLOC'!$N$10*'ENG_ALLOC'!$H$22</f>
        <v/>
      </c>
      <c r="O33" s="14">
        <f>'ENG_ALLOC'!$O$10*'ENG_ALLOC'!$H$22</f>
        <v/>
      </c>
      <c r="P33" s="14">
        <f>'ENG_ALLOC'!$P$10*'ENG_ALLOC'!$H$22</f>
        <v/>
      </c>
    </row>
    <row r="34">
      <c r="A34" t="inlineStr">
        <is>
          <t>مرکز 1 ← ایستگاه 6</t>
        </is>
      </c>
      <c r="C34" s="9" t="inlineStr">
        <is>
          <t>میلیون ریال</t>
        </is>
      </c>
      <c r="D34" s="14">
        <f>'ENG_ALLOC'!$D$10*'ENG_ALLOC'!$I$22</f>
        <v/>
      </c>
      <c r="E34" s="14">
        <f>'ENG_ALLOC'!$E$10*'ENG_ALLOC'!$I$22</f>
        <v/>
      </c>
      <c r="F34" s="14">
        <f>'ENG_ALLOC'!$F$10*'ENG_ALLOC'!$I$22</f>
        <v/>
      </c>
      <c r="G34" s="14">
        <f>'ENG_ALLOC'!$G$10*'ENG_ALLOC'!$I$22</f>
        <v/>
      </c>
      <c r="H34" s="14">
        <f>'ENG_ALLOC'!$H$10*'ENG_ALLOC'!$I$22</f>
        <v/>
      </c>
      <c r="I34" s="14">
        <f>'ENG_ALLOC'!$I$10*'ENG_ALLOC'!$I$22</f>
        <v/>
      </c>
      <c r="J34" s="14">
        <f>'ENG_ALLOC'!$J$10*'ENG_ALLOC'!$I$22</f>
        <v/>
      </c>
      <c r="K34" s="14">
        <f>'ENG_ALLOC'!$K$10*'ENG_ALLOC'!$I$22</f>
        <v/>
      </c>
      <c r="L34" s="14">
        <f>'ENG_ALLOC'!$L$10*'ENG_ALLOC'!$I$22</f>
        <v/>
      </c>
      <c r="M34" s="14">
        <f>'ENG_ALLOC'!$M$10*'ENG_ALLOC'!$I$22</f>
        <v/>
      </c>
      <c r="N34" s="14">
        <f>'ENG_ALLOC'!$N$10*'ENG_ALLOC'!$I$22</f>
        <v/>
      </c>
      <c r="O34" s="14">
        <f>'ENG_ALLOC'!$O$10*'ENG_ALLOC'!$I$22</f>
        <v/>
      </c>
      <c r="P34" s="14">
        <f>'ENG_ALLOC'!$P$10*'ENG_ALLOC'!$I$22</f>
        <v/>
      </c>
    </row>
    <row r="35">
      <c r="A35" t="inlineStr">
        <is>
          <t>مرکز 2 ← ایستگاه 1</t>
        </is>
      </c>
      <c r="C35" s="9" t="inlineStr">
        <is>
          <t>میلیون ریال</t>
        </is>
      </c>
      <c r="D35" s="14">
        <f>'ENG_ALLOC'!$D$11*'ENG_ALLOC'!$D$23</f>
        <v/>
      </c>
      <c r="E35" s="14">
        <f>'ENG_ALLOC'!$E$11*'ENG_ALLOC'!$D$23</f>
        <v/>
      </c>
      <c r="F35" s="14">
        <f>'ENG_ALLOC'!$F$11*'ENG_ALLOC'!$D$23</f>
        <v/>
      </c>
      <c r="G35" s="14">
        <f>'ENG_ALLOC'!$G$11*'ENG_ALLOC'!$D$23</f>
        <v/>
      </c>
      <c r="H35" s="14">
        <f>'ENG_ALLOC'!$H$11*'ENG_ALLOC'!$D$23</f>
        <v/>
      </c>
      <c r="I35" s="14">
        <f>'ENG_ALLOC'!$I$11*'ENG_ALLOC'!$D$23</f>
        <v/>
      </c>
      <c r="J35" s="14">
        <f>'ENG_ALLOC'!$J$11*'ENG_ALLOC'!$D$23</f>
        <v/>
      </c>
      <c r="K35" s="14">
        <f>'ENG_ALLOC'!$K$11*'ENG_ALLOC'!$D$23</f>
        <v/>
      </c>
      <c r="L35" s="14">
        <f>'ENG_ALLOC'!$L$11*'ENG_ALLOC'!$D$23</f>
        <v/>
      </c>
      <c r="M35" s="14">
        <f>'ENG_ALLOC'!$M$11*'ENG_ALLOC'!$D$23</f>
        <v/>
      </c>
      <c r="N35" s="14">
        <f>'ENG_ALLOC'!$N$11*'ENG_ALLOC'!$D$23</f>
        <v/>
      </c>
      <c r="O35" s="14">
        <f>'ENG_ALLOC'!$O$11*'ENG_ALLOC'!$D$23</f>
        <v/>
      </c>
      <c r="P35" s="14">
        <f>'ENG_ALLOC'!$P$11*'ENG_ALLOC'!$D$23</f>
        <v/>
      </c>
    </row>
    <row r="36">
      <c r="A36" t="inlineStr">
        <is>
          <t>مرکز 2 ← ایستگاه 2</t>
        </is>
      </c>
      <c r="C36" s="9" t="inlineStr">
        <is>
          <t>میلیون ریال</t>
        </is>
      </c>
      <c r="D36" s="14">
        <f>'ENG_ALLOC'!$D$11*'ENG_ALLOC'!$E$23</f>
        <v/>
      </c>
      <c r="E36" s="14">
        <f>'ENG_ALLOC'!$E$11*'ENG_ALLOC'!$E$23</f>
        <v/>
      </c>
      <c r="F36" s="14">
        <f>'ENG_ALLOC'!$F$11*'ENG_ALLOC'!$E$23</f>
        <v/>
      </c>
      <c r="G36" s="14">
        <f>'ENG_ALLOC'!$G$11*'ENG_ALLOC'!$E$23</f>
        <v/>
      </c>
      <c r="H36" s="14">
        <f>'ENG_ALLOC'!$H$11*'ENG_ALLOC'!$E$23</f>
        <v/>
      </c>
      <c r="I36" s="14">
        <f>'ENG_ALLOC'!$I$11*'ENG_ALLOC'!$E$23</f>
        <v/>
      </c>
      <c r="J36" s="14">
        <f>'ENG_ALLOC'!$J$11*'ENG_ALLOC'!$E$23</f>
        <v/>
      </c>
      <c r="K36" s="14">
        <f>'ENG_ALLOC'!$K$11*'ENG_ALLOC'!$E$23</f>
        <v/>
      </c>
      <c r="L36" s="14">
        <f>'ENG_ALLOC'!$L$11*'ENG_ALLOC'!$E$23</f>
        <v/>
      </c>
      <c r="M36" s="14">
        <f>'ENG_ALLOC'!$M$11*'ENG_ALLOC'!$E$23</f>
        <v/>
      </c>
      <c r="N36" s="14">
        <f>'ENG_ALLOC'!$N$11*'ENG_ALLOC'!$E$23</f>
        <v/>
      </c>
      <c r="O36" s="14">
        <f>'ENG_ALLOC'!$O$11*'ENG_ALLOC'!$E$23</f>
        <v/>
      </c>
      <c r="P36" s="14">
        <f>'ENG_ALLOC'!$P$11*'ENG_ALLOC'!$E$23</f>
        <v/>
      </c>
    </row>
    <row r="37">
      <c r="A37" t="inlineStr">
        <is>
          <t>مرکز 2 ← ایستگاه 3</t>
        </is>
      </c>
      <c r="C37" s="9" t="inlineStr">
        <is>
          <t>میلیون ریال</t>
        </is>
      </c>
      <c r="D37" s="14">
        <f>'ENG_ALLOC'!$D$11*'ENG_ALLOC'!$F$23</f>
        <v/>
      </c>
      <c r="E37" s="14">
        <f>'ENG_ALLOC'!$E$11*'ENG_ALLOC'!$F$23</f>
        <v/>
      </c>
      <c r="F37" s="14">
        <f>'ENG_ALLOC'!$F$11*'ENG_ALLOC'!$F$23</f>
        <v/>
      </c>
      <c r="G37" s="14">
        <f>'ENG_ALLOC'!$G$11*'ENG_ALLOC'!$F$23</f>
        <v/>
      </c>
      <c r="H37" s="14">
        <f>'ENG_ALLOC'!$H$11*'ENG_ALLOC'!$F$23</f>
        <v/>
      </c>
      <c r="I37" s="14">
        <f>'ENG_ALLOC'!$I$11*'ENG_ALLOC'!$F$23</f>
        <v/>
      </c>
      <c r="J37" s="14">
        <f>'ENG_ALLOC'!$J$11*'ENG_ALLOC'!$F$23</f>
        <v/>
      </c>
      <c r="K37" s="14">
        <f>'ENG_ALLOC'!$K$11*'ENG_ALLOC'!$F$23</f>
        <v/>
      </c>
      <c r="L37" s="14">
        <f>'ENG_ALLOC'!$L$11*'ENG_ALLOC'!$F$23</f>
        <v/>
      </c>
      <c r="M37" s="14">
        <f>'ENG_ALLOC'!$M$11*'ENG_ALLOC'!$F$23</f>
        <v/>
      </c>
      <c r="N37" s="14">
        <f>'ENG_ALLOC'!$N$11*'ENG_ALLOC'!$F$23</f>
        <v/>
      </c>
      <c r="O37" s="14">
        <f>'ENG_ALLOC'!$O$11*'ENG_ALLOC'!$F$23</f>
        <v/>
      </c>
      <c r="P37" s="14">
        <f>'ENG_ALLOC'!$P$11*'ENG_ALLOC'!$F$23</f>
        <v/>
      </c>
    </row>
    <row r="38">
      <c r="A38" t="inlineStr">
        <is>
          <t>مرکز 2 ← ایستگاه 4</t>
        </is>
      </c>
      <c r="C38" s="9" t="inlineStr">
        <is>
          <t>میلیون ریال</t>
        </is>
      </c>
      <c r="D38" s="14">
        <f>'ENG_ALLOC'!$D$11*'ENG_ALLOC'!$G$23</f>
        <v/>
      </c>
      <c r="E38" s="14">
        <f>'ENG_ALLOC'!$E$11*'ENG_ALLOC'!$G$23</f>
        <v/>
      </c>
      <c r="F38" s="14">
        <f>'ENG_ALLOC'!$F$11*'ENG_ALLOC'!$G$23</f>
        <v/>
      </c>
      <c r="G38" s="14">
        <f>'ENG_ALLOC'!$G$11*'ENG_ALLOC'!$G$23</f>
        <v/>
      </c>
      <c r="H38" s="14">
        <f>'ENG_ALLOC'!$H$11*'ENG_ALLOC'!$G$23</f>
        <v/>
      </c>
      <c r="I38" s="14">
        <f>'ENG_ALLOC'!$I$11*'ENG_ALLOC'!$G$23</f>
        <v/>
      </c>
      <c r="J38" s="14">
        <f>'ENG_ALLOC'!$J$11*'ENG_ALLOC'!$G$23</f>
        <v/>
      </c>
      <c r="K38" s="14">
        <f>'ENG_ALLOC'!$K$11*'ENG_ALLOC'!$G$23</f>
        <v/>
      </c>
      <c r="L38" s="14">
        <f>'ENG_ALLOC'!$L$11*'ENG_ALLOC'!$G$23</f>
        <v/>
      </c>
      <c r="M38" s="14">
        <f>'ENG_ALLOC'!$M$11*'ENG_ALLOC'!$G$23</f>
        <v/>
      </c>
      <c r="N38" s="14">
        <f>'ENG_ALLOC'!$N$11*'ENG_ALLOC'!$G$23</f>
        <v/>
      </c>
      <c r="O38" s="14">
        <f>'ENG_ALLOC'!$O$11*'ENG_ALLOC'!$G$23</f>
        <v/>
      </c>
      <c r="P38" s="14">
        <f>'ENG_ALLOC'!$P$11*'ENG_ALLOC'!$G$23</f>
        <v/>
      </c>
    </row>
    <row r="39">
      <c r="A39" t="inlineStr">
        <is>
          <t>مرکز 2 ← ایستگاه 5</t>
        </is>
      </c>
      <c r="C39" s="9" t="inlineStr">
        <is>
          <t>میلیون ریال</t>
        </is>
      </c>
      <c r="D39" s="14">
        <f>'ENG_ALLOC'!$D$11*'ENG_ALLOC'!$H$23</f>
        <v/>
      </c>
      <c r="E39" s="14">
        <f>'ENG_ALLOC'!$E$11*'ENG_ALLOC'!$H$23</f>
        <v/>
      </c>
      <c r="F39" s="14">
        <f>'ENG_ALLOC'!$F$11*'ENG_ALLOC'!$H$23</f>
        <v/>
      </c>
      <c r="G39" s="14">
        <f>'ENG_ALLOC'!$G$11*'ENG_ALLOC'!$H$23</f>
        <v/>
      </c>
      <c r="H39" s="14">
        <f>'ENG_ALLOC'!$H$11*'ENG_ALLOC'!$H$23</f>
        <v/>
      </c>
      <c r="I39" s="14">
        <f>'ENG_ALLOC'!$I$11*'ENG_ALLOC'!$H$23</f>
        <v/>
      </c>
      <c r="J39" s="14">
        <f>'ENG_ALLOC'!$J$11*'ENG_ALLOC'!$H$23</f>
        <v/>
      </c>
      <c r="K39" s="14">
        <f>'ENG_ALLOC'!$K$11*'ENG_ALLOC'!$H$23</f>
        <v/>
      </c>
      <c r="L39" s="14">
        <f>'ENG_ALLOC'!$L$11*'ENG_ALLOC'!$H$23</f>
        <v/>
      </c>
      <c r="M39" s="14">
        <f>'ENG_ALLOC'!$M$11*'ENG_ALLOC'!$H$23</f>
        <v/>
      </c>
      <c r="N39" s="14">
        <f>'ENG_ALLOC'!$N$11*'ENG_ALLOC'!$H$23</f>
        <v/>
      </c>
      <c r="O39" s="14">
        <f>'ENG_ALLOC'!$O$11*'ENG_ALLOC'!$H$23</f>
        <v/>
      </c>
      <c r="P39" s="14">
        <f>'ENG_ALLOC'!$P$11*'ENG_ALLOC'!$H$23</f>
        <v/>
      </c>
    </row>
    <row r="40">
      <c r="A40" t="inlineStr">
        <is>
          <t>مرکز 2 ← ایستگاه 6</t>
        </is>
      </c>
      <c r="C40" s="9" t="inlineStr">
        <is>
          <t>میلیون ریال</t>
        </is>
      </c>
      <c r="D40" s="14">
        <f>'ENG_ALLOC'!$D$11*'ENG_ALLOC'!$I$23</f>
        <v/>
      </c>
      <c r="E40" s="14">
        <f>'ENG_ALLOC'!$E$11*'ENG_ALLOC'!$I$23</f>
        <v/>
      </c>
      <c r="F40" s="14">
        <f>'ENG_ALLOC'!$F$11*'ENG_ALLOC'!$I$23</f>
        <v/>
      </c>
      <c r="G40" s="14">
        <f>'ENG_ALLOC'!$G$11*'ENG_ALLOC'!$I$23</f>
        <v/>
      </c>
      <c r="H40" s="14">
        <f>'ENG_ALLOC'!$H$11*'ENG_ALLOC'!$I$23</f>
        <v/>
      </c>
      <c r="I40" s="14">
        <f>'ENG_ALLOC'!$I$11*'ENG_ALLOC'!$I$23</f>
        <v/>
      </c>
      <c r="J40" s="14">
        <f>'ENG_ALLOC'!$J$11*'ENG_ALLOC'!$I$23</f>
        <v/>
      </c>
      <c r="K40" s="14">
        <f>'ENG_ALLOC'!$K$11*'ENG_ALLOC'!$I$23</f>
        <v/>
      </c>
      <c r="L40" s="14">
        <f>'ENG_ALLOC'!$L$11*'ENG_ALLOC'!$I$23</f>
        <v/>
      </c>
      <c r="M40" s="14">
        <f>'ENG_ALLOC'!$M$11*'ENG_ALLOC'!$I$23</f>
        <v/>
      </c>
      <c r="N40" s="14">
        <f>'ENG_ALLOC'!$N$11*'ENG_ALLOC'!$I$23</f>
        <v/>
      </c>
      <c r="O40" s="14">
        <f>'ENG_ALLOC'!$O$11*'ENG_ALLOC'!$I$23</f>
        <v/>
      </c>
      <c r="P40" s="14">
        <f>'ENG_ALLOC'!$P$11*'ENG_ALLOC'!$I$23</f>
        <v/>
      </c>
    </row>
    <row r="41">
      <c r="A41" t="inlineStr">
        <is>
          <t>مرکز 3 ← ایستگاه 1</t>
        </is>
      </c>
      <c r="C41" s="9" t="inlineStr">
        <is>
          <t>میلیون ریال</t>
        </is>
      </c>
      <c r="D41" s="14">
        <f>'ENG_ALLOC'!$D$12*'ENG_ALLOC'!$D$24</f>
        <v/>
      </c>
      <c r="E41" s="14">
        <f>'ENG_ALLOC'!$E$12*'ENG_ALLOC'!$D$24</f>
        <v/>
      </c>
      <c r="F41" s="14">
        <f>'ENG_ALLOC'!$F$12*'ENG_ALLOC'!$D$24</f>
        <v/>
      </c>
      <c r="G41" s="14">
        <f>'ENG_ALLOC'!$G$12*'ENG_ALLOC'!$D$24</f>
        <v/>
      </c>
      <c r="H41" s="14">
        <f>'ENG_ALLOC'!$H$12*'ENG_ALLOC'!$D$24</f>
        <v/>
      </c>
      <c r="I41" s="14">
        <f>'ENG_ALLOC'!$I$12*'ENG_ALLOC'!$D$24</f>
        <v/>
      </c>
      <c r="J41" s="14">
        <f>'ENG_ALLOC'!$J$12*'ENG_ALLOC'!$D$24</f>
        <v/>
      </c>
      <c r="K41" s="14">
        <f>'ENG_ALLOC'!$K$12*'ENG_ALLOC'!$D$24</f>
        <v/>
      </c>
      <c r="L41" s="14">
        <f>'ENG_ALLOC'!$L$12*'ENG_ALLOC'!$D$24</f>
        <v/>
      </c>
      <c r="M41" s="14">
        <f>'ENG_ALLOC'!$M$12*'ENG_ALLOC'!$D$24</f>
        <v/>
      </c>
      <c r="N41" s="14">
        <f>'ENG_ALLOC'!$N$12*'ENG_ALLOC'!$D$24</f>
        <v/>
      </c>
      <c r="O41" s="14">
        <f>'ENG_ALLOC'!$O$12*'ENG_ALLOC'!$D$24</f>
        <v/>
      </c>
      <c r="P41" s="14">
        <f>'ENG_ALLOC'!$P$12*'ENG_ALLOC'!$D$24</f>
        <v/>
      </c>
    </row>
    <row r="42">
      <c r="A42" t="inlineStr">
        <is>
          <t>مرکز 3 ← ایستگاه 2</t>
        </is>
      </c>
      <c r="C42" s="9" t="inlineStr">
        <is>
          <t>میلیون ریال</t>
        </is>
      </c>
      <c r="D42" s="14">
        <f>'ENG_ALLOC'!$D$12*'ENG_ALLOC'!$E$24</f>
        <v/>
      </c>
      <c r="E42" s="14">
        <f>'ENG_ALLOC'!$E$12*'ENG_ALLOC'!$E$24</f>
        <v/>
      </c>
      <c r="F42" s="14">
        <f>'ENG_ALLOC'!$F$12*'ENG_ALLOC'!$E$24</f>
        <v/>
      </c>
      <c r="G42" s="14">
        <f>'ENG_ALLOC'!$G$12*'ENG_ALLOC'!$E$24</f>
        <v/>
      </c>
      <c r="H42" s="14">
        <f>'ENG_ALLOC'!$H$12*'ENG_ALLOC'!$E$24</f>
        <v/>
      </c>
      <c r="I42" s="14">
        <f>'ENG_ALLOC'!$I$12*'ENG_ALLOC'!$E$24</f>
        <v/>
      </c>
      <c r="J42" s="14">
        <f>'ENG_ALLOC'!$J$12*'ENG_ALLOC'!$E$24</f>
        <v/>
      </c>
      <c r="K42" s="14">
        <f>'ENG_ALLOC'!$K$12*'ENG_ALLOC'!$E$24</f>
        <v/>
      </c>
      <c r="L42" s="14">
        <f>'ENG_ALLOC'!$L$12*'ENG_ALLOC'!$E$24</f>
        <v/>
      </c>
      <c r="M42" s="14">
        <f>'ENG_ALLOC'!$M$12*'ENG_ALLOC'!$E$24</f>
        <v/>
      </c>
      <c r="N42" s="14">
        <f>'ENG_ALLOC'!$N$12*'ENG_ALLOC'!$E$24</f>
        <v/>
      </c>
      <c r="O42" s="14">
        <f>'ENG_ALLOC'!$O$12*'ENG_ALLOC'!$E$24</f>
        <v/>
      </c>
      <c r="P42" s="14">
        <f>'ENG_ALLOC'!$P$12*'ENG_ALLOC'!$E$24</f>
        <v/>
      </c>
    </row>
    <row r="43">
      <c r="A43" t="inlineStr">
        <is>
          <t>مرکز 3 ← ایستگاه 3</t>
        </is>
      </c>
      <c r="C43" s="9" t="inlineStr">
        <is>
          <t>میلیون ریال</t>
        </is>
      </c>
      <c r="D43" s="14">
        <f>'ENG_ALLOC'!$D$12*'ENG_ALLOC'!$F$24</f>
        <v/>
      </c>
      <c r="E43" s="14">
        <f>'ENG_ALLOC'!$E$12*'ENG_ALLOC'!$F$24</f>
        <v/>
      </c>
      <c r="F43" s="14">
        <f>'ENG_ALLOC'!$F$12*'ENG_ALLOC'!$F$24</f>
        <v/>
      </c>
      <c r="G43" s="14">
        <f>'ENG_ALLOC'!$G$12*'ENG_ALLOC'!$F$24</f>
        <v/>
      </c>
      <c r="H43" s="14">
        <f>'ENG_ALLOC'!$H$12*'ENG_ALLOC'!$F$24</f>
        <v/>
      </c>
      <c r="I43" s="14">
        <f>'ENG_ALLOC'!$I$12*'ENG_ALLOC'!$F$24</f>
        <v/>
      </c>
      <c r="J43" s="14">
        <f>'ENG_ALLOC'!$J$12*'ENG_ALLOC'!$F$24</f>
        <v/>
      </c>
      <c r="K43" s="14">
        <f>'ENG_ALLOC'!$K$12*'ENG_ALLOC'!$F$24</f>
        <v/>
      </c>
      <c r="L43" s="14">
        <f>'ENG_ALLOC'!$L$12*'ENG_ALLOC'!$F$24</f>
        <v/>
      </c>
      <c r="M43" s="14">
        <f>'ENG_ALLOC'!$M$12*'ENG_ALLOC'!$F$24</f>
        <v/>
      </c>
      <c r="N43" s="14">
        <f>'ENG_ALLOC'!$N$12*'ENG_ALLOC'!$F$24</f>
        <v/>
      </c>
      <c r="O43" s="14">
        <f>'ENG_ALLOC'!$O$12*'ENG_ALLOC'!$F$24</f>
        <v/>
      </c>
      <c r="P43" s="14">
        <f>'ENG_ALLOC'!$P$12*'ENG_ALLOC'!$F$24</f>
        <v/>
      </c>
    </row>
    <row r="44">
      <c r="A44" t="inlineStr">
        <is>
          <t>مرکز 3 ← ایستگاه 4</t>
        </is>
      </c>
      <c r="C44" s="9" t="inlineStr">
        <is>
          <t>میلیون ریال</t>
        </is>
      </c>
      <c r="D44" s="14">
        <f>'ENG_ALLOC'!$D$12*'ENG_ALLOC'!$G$24</f>
        <v/>
      </c>
      <c r="E44" s="14">
        <f>'ENG_ALLOC'!$E$12*'ENG_ALLOC'!$G$24</f>
        <v/>
      </c>
      <c r="F44" s="14">
        <f>'ENG_ALLOC'!$F$12*'ENG_ALLOC'!$G$24</f>
        <v/>
      </c>
      <c r="G44" s="14">
        <f>'ENG_ALLOC'!$G$12*'ENG_ALLOC'!$G$24</f>
        <v/>
      </c>
      <c r="H44" s="14">
        <f>'ENG_ALLOC'!$H$12*'ENG_ALLOC'!$G$24</f>
        <v/>
      </c>
      <c r="I44" s="14">
        <f>'ENG_ALLOC'!$I$12*'ENG_ALLOC'!$G$24</f>
        <v/>
      </c>
      <c r="J44" s="14">
        <f>'ENG_ALLOC'!$J$12*'ENG_ALLOC'!$G$24</f>
        <v/>
      </c>
      <c r="K44" s="14">
        <f>'ENG_ALLOC'!$K$12*'ENG_ALLOC'!$G$24</f>
        <v/>
      </c>
      <c r="L44" s="14">
        <f>'ENG_ALLOC'!$L$12*'ENG_ALLOC'!$G$24</f>
        <v/>
      </c>
      <c r="M44" s="14">
        <f>'ENG_ALLOC'!$M$12*'ENG_ALLOC'!$G$24</f>
        <v/>
      </c>
      <c r="N44" s="14">
        <f>'ENG_ALLOC'!$N$12*'ENG_ALLOC'!$G$24</f>
        <v/>
      </c>
      <c r="O44" s="14">
        <f>'ENG_ALLOC'!$O$12*'ENG_ALLOC'!$G$24</f>
        <v/>
      </c>
      <c r="P44" s="14">
        <f>'ENG_ALLOC'!$P$12*'ENG_ALLOC'!$G$24</f>
        <v/>
      </c>
    </row>
    <row r="45">
      <c r="A45" t="inlineStr">
        <is>
          <t>مرکز 3 ← ایستگاه 5</t>
        </is>
      </c>
      <c r="C45" s="9" t="inlineStr">
        <is>
          <t>میلیون ریال</t>
        </is>
      </c>
      <c r="D45" s="14">
        <f>'ENG_ALLOC'!$D$12*'ENG_ALLOC'!$H$24</f>
        <v/>
      </c>
      <c r="E45" s="14">
        <f>'ENG_ALLOC'!$E$12*'ENG_ALLOC'!$H$24</f>
        <v/>
      </c>
      <c r="F45" s="14">
        <f>'ENG_ALLOC'!$F$12*'ENG_ALLOC'!$H$24</f>
        <v/>
      </c>
      <c r="G45" s="14">
        <f>'ENG_ALLOC'!$G$12*'ENG_ALLOC'!$H$24</f>
        <v/>
      </c>
      <c r="H45" s="14">
        <f>'ENG_ALLOC'!$H$12*'ENG_ALLOC'!$H$24</f>
        <v/>
      </c>
      <c r="I45" s="14">
        <f>'ENG_ALLOC'!$I$12*'ENG_ALLOC'!$H$24</f>
        <v/>
      </c>
      <c r="J45" s="14">
        <f>'ENG_ALLOC'!$J$12*'ENG_ALLOC'!$H$24</f>
        <v/>
      </c>
      <c r="K45" s="14">
        <f>'ENG_ALLOC'!$K$12*'ENG_ALLOC'!$H$24</f>
        <v/>
      </c>
      <c r="L45" s="14">
        <f>'ENG_ALLOC'!$L$12*'ENG_ALLOC'!$H$24</f>
        <v/>
      </c>
      <c r="M45" s="14">
        <f>'ENG_ALLOC'!$M$12*'ENG_ALLOC'!$H$24</f>
        <v/>
      </c>
      <c r="N45" s="14">
        <f>'ENG_ALLOC'!$N$12*'ENG_ALLOC'!$H$24</f>
        <v/>
      </c>
      <c r="O45" s="14">
        <f>'ENG_ALLOC'!$O$12*'ENG_ALLOC'!$H$24</f>
        <v/>
      </c>
      <c r="P45" s="14">
        <f>'ENG_ALLOC'!$P$12*'ENG_ALLOC'!$H$24</f>
        <v/>
      </c>
    </row>
    <row r="46">
      <c r="A46" t="inlineStr">
        <is>
          <t>مرکز 3 ← ایستگاه 6</t>
        </is>
      </c>
      <c r="C46" s="9" t="inlineStr">
        <is>
          <t>میلیون ریال</t>
        </is>
      </c>
      <c r="D46" s="14">
        <f>'ENG_ALLOC'!$D$12*'ENG_ALLOC'!$I$24</f>
        <v/>
      </c>
      <c r="E46" s="14">
        <f>'ENG_ALLOC'!$E$12*'ENG_ALLOC'!$I$24</f>
        <v/>
      </c>
      <c r="F46" s="14">
        <f>'ENG_ALLOC'!$F$12*'ENG_ALLOC'!$I$24</f>
        <v/>
      </c>
      <c r="G46" s="14">
        <f>'ENG_ALLOC'!$G$12*'ENG_ALLOC'!$I$24</f>
        <v/>
      </c>
      <c r="H46" s="14">
        <f>'ENG_ALLOC'!$H$12*'ENG_ALLOC'!$I$24</f>
        <v/>
      </c>
      <c r="I46" s="14">
        <f>'ENG_ALLOC'!$I$12*'ENG_ALLOC'!$I$24</f>
        <v/>
      </c>
      <c r="J46" s="14">
        <f>'ENG_ALLOC'!$J$12*'ENG_ALLOC'!$I$24</f>
        <v/>
      </c>
      <c r="K46" s="14">
        <f>'ENG_ALLOC'!$K$12*'ENG_ALLOC'!$I$24</f>
        <v/>
      </c>
      <c r="L46" s="14">
        <f>'ENG_ALLOC'!$L$12*'ENG_ALLOC'!$I$24</f>
        <v/>
      </c>
      <c r="M46" s="14">
        <f>'ENG_ALLOC'!$M$12*'ENG_ALLOC'!$I$24</f>
        <v/>
      </c>
      <c r="N46" s="14">
        <f>'ENG_ALLOC'!$N$12*'ENG_ALLOC'!$I$24</f>
        <v/>
      </c>
      <c r="O46" s="14">
        <f>'ENG_ALLOC'!$O$12*'ENG_ALLOC'!$I$24</f>
        <v/>
      </c>
      <c r="P46" s="14">
        <f>'ENG_ALLOC'!$P$12*'ENG_ALLOC'!$I$24</f>
        <v/>
      </c>
    </row>
    <row r="47">
      <c r="A47" t="inlineStr">
        <is>
          <t>مرکز 4 ← ایستگاه 1</t>
        </is>
      </c>
      <c r="C47" s="9" t="inlineStr">
        <is>
          <t>میلیون ریال</t>
        </is>
      </c>
      <c r="D47" s="14">
        <f>'ENG_ALLOC'!$D$13*'ENG_ALLOC'!$D$25</f>
        <v/>
      </c>
      <c r="E47" s="14">
        <f>'ENG_ALLOC'!$E$13*'ENG_ALLOC'!$D$25</f>
        <v/>
      </c>
      <c r="F47" s="14">
        <f>'ENG_ALLOC'!$F$13*'ENG_ALLOC'!$D$25</f>
        <v/>
      </c>
      <c r="G47" s="14">
        <f>'ENG_ALLOC'!$G$13*'ENG_ALLOC'!$D$25</f>
        <v/>
      </c>
      <c r="H47" s="14">
        <f>'ENG_ALLOC'!$H$13*'ENG_ALLOC'!$D$25</f>
        <v/>
      </c>
      <c r="I47" s="14">
        <f>'ENG_ALLOC'!$I$13*'ENG_ALLOC'!$D$25</f>
        <v/>
      </c>
      <c r="J47" s="14">
        <f>'ENG_ALLOC'!$J$13*'ENG_ALLOC'!$D$25</f>
        <v/>
      </c>
      <c r="K47" s="14">
        <f>'ENG_ALLOC'!$K$13*'ENG_ALLOC'!$D$25</f>
        <v/>
      </c>
      <c r="L47" s="14">
        <f>'ENG_ALLOC'!$L$13*'ENG_ALLOC'!$D$25</f>
        <v/>
      </c>
      <c r="M47" s="14">
        <f>'ENG_ALLOC'!$M$13*'ENG_ALLOC'!$D$25</f>
        <v/>
      </c>
      <c r="N47" s="14">
        <f>'ENG_ALLOC'!$N$13*'ENG_ALLOC'!$D$25</f>
        <v/>
      </c>
      <c r="O47" s="14">
        <f>'ENG_ALLOC'!$O$13*'ENG_ALLOC'!$D$25</f>
        <v/>
      </c>
      <c r="P47" s="14">
        <f>'ENG_ALLOC'!$P$13*'ENG_ALLOC'!$D$25</f>
        <v/>
      </c>
    </row>
    <row r="48">
      <c r="A48" t="inlineStr">
        <is>
          <t>مرکز 4 ← ایستگاه 2</t>
        </is>
      </c>
      <c r="C48" s="9" t="inlineStr">
        <is>
          <t>میلیون ریال</t>
        </is>
      </c>
      <c r="D48" s="14">
        <f>'ENG_ALLOC'!$D$13*'ENG_ALLOC'!$E$25</f>
        <v/>
      </c>
      <c r="E48" s="14">
        <f>'ENG_ALLOC'!$E$13*'ENG_ALLOC'!$E$25</f>
        <v/>
      </c>
      <c r="F48" s="14">
        <f>'ENG_ALLOC'!$F$13*'ENG_ALLOC'!$E$25</f>
        <v/>
      </c>
      <c r="G48" s="14">
        <f>'ENG_ALLOC'!$G$13*'ENG_ALLOC'!$E$25</f>
        <v/>
      </c>
      <c r="H48" s="14">
        <f>'ENG_ALLOC'!$H$13*'ENG_ALLOC'!$E$25</f>
        <v/>
      </c>
      <c r="I48" s="14">
        <f>'ENG_ALLOC'!$I$13*'ENG_ALLOC'!$E$25</f>
        <v/>
      </c>
      <c r="J48" s="14">
        <f>'ENG_ALLOC'!$J$13*'ENG_ALLOC'!$E$25</f>
        <v/>
      </c>
      <c r="K48" s="14">
        <f>'ENG_ALLOC'!$K$13*'ENG_ALLOC'!$E$25</f>
        <v/>
      </c>
      <c r="L48" s="14">
        <f>'ENG_ALLOC'!$L$13*'ENG_ALLOC'!$E$25</f>
        <v/>
      </c>
      <c r="M48" s="14">
        <f>'ENG_ALLOC'!$M$13*'ENG_ALLOC'!$E$25</f>
        <v/>
      </c>
      <c r="N48" s="14">
        <f>'ENG_ALLOC'!$N$13*'ENG_ALLOC'!$E$25</f>
        <v/>
      </c>
      <c r="O48" s="14">
        <f>'ENG_ALLOC'!$O$13*'ENG_ALLOC'!$E$25</f>
        <v/>
      </c>
      <c r="P48" s="14">
        <f>'ENG_ALLOC'!$P$13*'ENG_ALLOC'!$E$25</f>
        <v/>
      </c>
    </row>
    <row r="49">
      <c r="A49" t="inlineStr">
        <is>
          <t>مرکز 4 ← ایستگاه 3</t>
        </is>
      </c>
      <c r="C49" s="9" t="inlineStr">
        <is>
          <t>میلیون ریال</t>
        </is>
      </c>
      <c r="D49" s="14">
        <f>'ENG_ALLOC'!$D$13*'ENG_ALLOC'!$F$25</f>
        <v/>
      </c>
      <c r="E49" s="14">
        <f>'ENG_ALLOC'!$E$13*'ENG_ALLOC'!$F$25</f>
        <v/>
      </c>
      <c r="F49" s="14">
        <f>'ENG_ALLOC'!$F$13*'ENG_ALLOC'!$F$25</f>
        <v/>
      </c>
      <c r="G49" s="14">
        <f>'ENG_ALLOC'!$G$13*'ENG_ALLOC'!$F$25</f>
        <v/>
      </c>
      <c r="H49" s="14">
        <f>'ENG_ALLOC'!$H$13*'ENG_ALLOC'!$F$25</f>
        <v/>
      </c>
      <c r="I49" s="14">
        <f>'ENG_ALLOC'!$I$13*'ENG_ALLOC'!$F$25</f>
        <v/>
      </c>
      <c r="J49" s="14">
        <f>'ENG_ALLOC'!$J$13*'ENG_ALLOC'!$F$25</f>
        <v/>
      </c>
      <c r="K49" s="14">
        <f>'ENG_ALLOC'!$K$13*'ENG_ALLOC'!$F$25</f>
        <v/>
      </c>
      <c r="L49" s="14">
        <f>'ENG_ALLOC'!$L$13*'ENG_ALLOC'!$F$25</f>
        <v/>
      </c>
      <c r="M49" s="14">
        <f>'ENG_ALLOC'!$M$13*'ENG_ALLOC'!$F$25</f>
        <v/>
      </c>
      <c r="N49" s="14">
        <f>'ENG_ALLOC'!$N$13*'ENG_ALLOC'!$F$25</f>
        <v/>
      </c>
      <c r="O49" s="14">
        <f>'ENG_ALLOC'!$O$13*'ENG_ALLOC'!$F$25</f>
        <v/>
      </c>
      <c r="P49" s="14">
        <f>'ENG_ALLOC'!$P$13*'ENG_ALLOC'!$F$25</f>
        <v/>
      </c>
    </row>
    <row r="50">
      <c r="A50" t="inlineStr">
        <is>
          <t>مرکز 4 ← ایستگاه 4</t>
        </is>
      </c>
      <c r="C50" s="9" t="inlineStr">
        <is>
          <t>میلیون ریال</t>
        </is>
      </c>
      <c r="D50" s="14">
        <f>'ENG_ALLOC'!$D$13*'ENG_ALLOC'!$G$25</f>
        <v/>
      </c>
      <c r="E50" s="14">
        <f>'ENG_ALLOC'!$E$13*'ENG_ALLOC'!$G$25</f>
        <v/>
      </c>
      <c r="F50" s="14">
        <f>'ENG_ALLOC'!$F$13*'ENG_ALLOC'!$G$25</f>
        <v/>
      </c>
      <c r="G50" s="14">
        <f>'ENG_ALLOC'!$G$13*'ENG_ALLOC'!$G$25</f>
        <v/>
      </c>
      <c r="H50" s="14">
        <f>'ENG_ALLOC'!$H$13*'ENG_ALLOC'!$G$25</f>
        <v/>
      </c>
      <c r="I50" s="14">
        <f>'ENG_ALLOC'!$I$13*'ENG_ALLOC'!$G$25</f>
        <v/>
      </c>
      <c r="J50" s="14">
        <f>'ENG_ALLOC'!$J$13*'ENG_ALLOC'!$G$25</f>
        <v/>
      </c>
      <c r="K50" s="14">
        <f>'ENG_ALLOC'!$K$13*'ENG_ALLOC'!$G$25</f>
        <v/>
      </c>
      <c r="L50" s="14">
        <f>'ENG_ALLOC'!$L$13*'ENG_ALLOC'!$G$25</f>
        <v/>
      </c>
      <c r="M50" s="14">
        <f>'ENG_ALLOC'!$M$13*'ENG_ALLOC'!$G$25</f>
        <v/>
      </c>
      <c r="N50" s="14">
        <f>'ENG_ALLOC'!$N$13*'ENG_ALLOC'!$G$25</f>
        <v/>
      </c>
      <c r="O50" s="14">
        <f>'ENG_ALLOC'!$O$13*'ENG_ALLOC'!$G$25</f>
        <v/>
      </c>
      <c r="P50" s="14">
        <f>'ENG_ALLOC'!$P$13*'ENG_ALLOC'!$G$25</f>
        <v/>
      </c>
    </row>
    <row r="51">
      <c r="A51" t="inlineStr">
        <is>
          <t>مرکز 4 ← ایستگاه 5</t>
        </is>
      </c>
      <c r="C51" s="9" t="inlineStr">
        <is>
          <t>میلیون ریال</t>
        </is>
      </c>
      <c r="D51" s="14">
        <f>'ENG_ALLOC'!$D$13*'ENG_ALLOC'!$H$25</f>
        <v/>
      </c>
      <c r="E51" s="14">
        <f>'ENG_ALLOC'!$E$13*'ENG_ALLOC'!$H$25</f>
        <v/>
      </c>
      <c r="F51" s="14">
        <f>'ENG_ALLOC'!$F$13*'ENG_ALLOC'!$H$25</f>
        <v/>
      </c>
      <c r="G51" s="14">
        <f>'ENG_ALLOC'!$G$13*'ENG_ALLOC'!$H$25</f>
        <v/>
      </c>
      <c r="H51" s="14">
        <f>'ENG_ALLOC'!$H$13*'ENG_ALLOC'!$H$25</f>
        <v/>
      </c>
      <c r="I51" s="14">
        <f>'ENG_ALLOC'!$I$13*'ENG_ALLOC'!$H$25</f>
        <v/>
      </c>
      <c r="J51" s="14">
        <f>'ENG_ALLOC'!$J$13*'ENG_ALLOC'!$H$25</f>
        <v/>
      </c>
      <c r="K51" s="14">
        <f>'ENG_ALLOC'!$K$13*'ENG_ALLOC'!$H$25</f>
        <v/>
      </c>
      <c r="L51" s="14">
        <f>'ENG_ALLOC'!$L$13*'ENG_ALLOC'!$H$25</f>
        <v/>
      </c>
      <c r="M51" s="14">
        <f>'ENG_ALLOC'!$M$13*'ENG_ALLOC'!$H$25</f>
        <v/>
      </c>
      <c r="N51" s="14">
        <f>'ENG_ALLOC'!$N$13*'ENG_ALLOC'!$H$25</f>
        <v/>
      </c>
      <c r="O51" s="14">
        <f>'ENG_ALLOC'!$O$13*'ENG_ALLOC'!$H$25</f>
        <v/>
      </c>
      <c r="P51" s="14">
        <f>'ENG_ALLOC'!$P$13*'ENG_ALLOC'!$H$25</f>
        <v/>
      </c>
    </row>
    <row r="52">
      <c r="A52" t="inlineStr">
        <is>
          <t>مرکز 4 ← ایستگاه 6</t>
        </is>
      </c>
      <c r="C52" s="9" t="inlineStr">
        <is>
          <t>میلیون ریال</t>
        </is>
      </c>
      <c r="D52" s="14">
        <f>'ENG_ALLOC'!$D$13*'ENG_ALLOC'!$I$25</f>
        <v/>
      </c>
      <c r="E52" s="14">
        <f>'ENG_ALLOC'!$E$13*'ENG_ALLOC'!$I$25</f>
        <v/>
      </c>
      <c r="F52" s="14">
        <f>'ENG_ALLOC'!$F$13*'ENG_ALLOC'!$I$25</f>
        <v/>
      </c>
      <c r="G52" s="14">
        <f>'ENG_ALLOC'!$G$13*'ENG_ALLOC'!$I$25</f>
        <v/>
      </c>
      <c r="H52" s="14">
        <f>'ENG_ALLOC'!$H$13*'ENG_ALLOC'!$I$25</f>
        <v/>
      </c>
      <c r="I52" s="14">
        <f>'ENG_ALLOC'!$I$13*'ENG_ALLOC'!$I$25</f>
        <v/>
      </c>
      <c r="J52" s="14">
        <f>'ENG_ALLOC'!$J$13*'ENG_ALLOC'!$I$25</f>
        <v/>
      </c>
      <c r="K52" s="14">
        <f>'ENG_ALLOC'!$K$13*'ENG_ALLOC'!$I$25</f>
        <v/>
      </c>
      <c r="L52" s="14">
        <f>'ENG_ALLOC'!$L$13*'ENG_ALLOC'!$I$25</f>
        <v/>
      </c>
      <c r="M52" s="14">
        <f>'ENG_ALLOC'!$M$13*'ENG_ALLOC'!$I$25</f>
        <v/>
      </c>
      <c r="N52" s="14">
        <f>'ENG_ALLOC'!$N$13*'ENG_ALLOC'!$I$25</f>
        <v/>
      </c>
      <c r="O52" s="14">
        <f>'ENG_ALLOC'!$O$13*'ENG_ALLOC'!$I$25</f>
        <v/>
      </c>
      <c r="P52" s="14">
        <f>'ENG_ALLOC'!$P$13*'ENG_ALLOC'!$I$25</f>
        <v/>
      </c>
    </row>
    <row r="53">
      <c r="A53" t="inlineStr">
        <is>
          <t>مرکز 5 ← ایستگاه 1</t>
        </is>
      </c>
      <c r="C53" s="9" t="inlineStr">
        <is>
          <t>میلیون ریال</t>
        </is>
      </c>
      <c r="D53" s="14">
        <f>'ENG_ALLOC'!$D$14*'ENG_ALLOC'!$D$26</f>
        <v/>
      </c>
      <c r="E53" s="14">
        <f>'ENG_ALLOC'!$E$14*'ENG_ALLOC'!$D$26</f>
        <v/>
      </c>
      <c r="F53" s="14">
        <f>'ENG_ALLOC'!$F$14*'ENG_ALLOC'!$D$26</f>
        <v/>
      </c>
      <c r="G53" s="14">
        <f>'ENG_ALLOC'!$G$14*'ENG_ALLOC'!$D$26</f>
        <v/>
      </c>
      <c r="H53" s="14">
        <f>'ENG_ALLOC'!$H$14*'ENG_ALLOC'!$D$26</f>
        <v/>
      </c>
      <c r="I53" s="14">
        <f>'ENG_ALLOC'!$I$14*'ENG_ALLOC'!$D$26</f>
        <v/>
      </c>
      <c r="J53" s="14">
        <f>'ENG_ALLOC'!$J$14*'ENG_ALLOC'!$D$26</f>
        <v/>
      </c>
      <c r="K53" s="14">
        <f>'ENG_ALLOC'!$K$14*'ENG_ALLOC'!$D$26</f>
        <v/>
      </c>
      <c r="L53" s="14">
        <f>'ENG_ALLOC'!$L$14*'ENG_ALLOC'!$D$26</f>
        <v/>
      </c>
      <c r="M53" s="14">
        <f>'ENG_ALLOC'!$M$14*'ENG_ALLOC'!$D$26</f>
        <v/>
      </c>
      <c r="N53" s="14">
        <f>'ENG_ALLOC'!$N$14*'ENG_ALLOC'!$D$26</f>
        <v/>
      </c>
      <c r="O53" s="14">
        <f>'ENG_ALLOC'!$O$14*'ENG_ALLOC'!$D$26</f>
        <v/>
      </c>
      <c r="P53" s="14">
        <f>'ENG_ALLOC'!$P$14*'ENG_ALLOC'!$D$26</f>
        <v/>
      </c>
    </row>
    <row r="54">
      <c r="A54" t="inlineStr">
        <is>
          <t>مرکز 5 ← ایستگاه 2</t>
        </is>
      </c>
      <c r="C54" s="9" t="inlineStr">
        <is>
          <t>میلیون ریال</t>
        </is>
      </c>
      <c r="D54" s="14">
        <f>'ENG_ALLOC'!$D$14*'ENG_ALLOC'!$E$26</f>
        <v/>
      </c>
      <c r="E54" s="14">
        <f>'ENG_ALLOC'!$E$14*'ENG_ALLOC'!$E$26</f>
        <v/>
      </c>
      <c r="F54" s="14">
        <f>'ENG_ALLOC'!$F$14*'ENG_ALLOC'!$E$26</f>
        <v/>
      </c>
      <c r="G54" s="14">
        <f>'ENG_ALLOC'!$G$14*'ENG_ALLOC'!$E$26</f>
        <v/>
      </c>
      <c r="H54" s="14">
        <f>'ENG_ALLOC'!$H$14*'ENG_ALLOC'!$E$26</f>
        <v/>
      </c>
      <c r="I54" s="14">
        <f>'ENG_ALLOC'!$I$14*'ENG_ALLOC'!$E$26</f>
        <v/>
      </c>
      <c r="J54" s="14">
        <f>'ENG_ALLOC'!$J$14*'ENG_ALLOC'!$E$26</f>
        <v/>
      </c>
      <c r="K54" s="14">
        <f>'ENG_ALLOC'!$K$14*'ENG_ALLOC'!$E$26</f>
        <v/>
      </c>
      <c r="L54" s="14">
        <f>'ENG_ALLOC'!$L$14*'ENG_ALLOC'!$E$26</f>
        <v/>
      </c>
      <c r="M54" s="14">
        <f>'ENG_ALLOC'!$M$14*'ENG_ALLOC'!$E$26</f>
        <v/>
      </c>
      <c r="N54" s="14">
        <f>'ENG_ALLOC'!$N$14*'ENG_ALLOC'!$E$26</f>
        <v/>
      </c>
      <c r="O54" s="14">
        <f>'ENG_ALLOC'!$O$14*'ENG_ALLOC'!$E$26</f>
        <v/>
      </c>
      <c r="P54" s="14">
        <f>'ENG_ALLOC'!$P$14*'ENG_ALLOC'!$E$26</f>
        <v/>
      </c>
    </row>
    <row r="55">
      <c r="A55" t="inlineStr">
        <is>
          <t>مرکز 5 ← ایستگاه 3</t>
        </is>
      </c>
      <c r="C55" s="9" t="inlineStr">
        <is>
          <t>میلیون ریال</t>
        </is>
      </c>
      <c r="D55" s="14">
        <f>'ENG_ALLOC'!$D$14*'ENG_ALLOC'!$F$26</f>
        <v/>
      </c>
      <c r="E55" s="14">
        <f>'ENG_ALLOC'!$E$14*'ENG_ALLOC'!$F$26</f>
        <v/>
      </c>
      <c r="F55" s="14">
        <f>'ENG_ALLOC'!$F$14*'ENG_ALLOC'!$F$26</f>
        <v/>
      </c>
      <c r="G55" s="14">
        <f>'ENG_ALLOC'!$G$14*'ENG_ALLOC'!$F$26</f>
        <v/>
      </c>
      <c r="H55" s="14">
        <f>'ENG_ALLOC'!$H$14*'ENG_ALLOC'!$F$26</f>
        <v/>
      </c>
      <c r="I55" s="14">
        <f>'ENG_ALLOC'!$I$14*'ENG_ALLOC'!$F$26</f>
        <v/>
      </c>
      <c r="J55" s="14">
        <f>'ENG_ALLOC'!$J$14*'ENG_ALLOC'!$F$26</f>
        <v/>
      </c>
      <c r="K55" s="14">
        <f>'ENG_ALLOC'!$K$14*'ENG_ALLOC'!$F$26</f>
        <v/>
      </c>
      <c r="L55" s="14">
        <f>'ENG_ALLOC'!$L$14*'ENG_ALLOC'!$F$26</f>
        <v/>
      </c>
      <c r="M55" s="14">
        <f>'ENG_ALLOC'!$M$14*'ENG_ALLOC'!$F$26</f>
        <v/>
      </c>
      <c r="N55" s="14">
        <f>'ENG_ALLOC'!$N$14*'ENG_ALLOC'!$F$26</f>
        <v/>
      </c>
      <c r="O55" s="14">
        <f>'ENG_ALLOC'!$O$14*'ENG_ALLOC'!$F$26</f>
        <v/>
      </c>
      <c r="P55" s="14">
        <f>'ENG_ALLOC'!$P$14*'ENG_ALLOC'!$F$26</f>
        <v/>
      </c>
    </row>
    <row r="56">
      <c r="A56" t="inlineStr">
        <is>
          <t>مرکز 5 ← ایستگاه 4</t>
        </is>
      </c>
      <c r="C56" s="9" t="inlineStr">
        <is>
          <t>میلیون ریال</t>
        </is>
      </c>
      <c r="D56" s="14">
        <f>'ENG_ALLOC'!$D$14*'ENG_ALLOC'!$G$26</f>
        <v/>
      </c>
      <c r="E56" s="14">
        <f>'ENG_ALLOC'!$E$14*'ENG_ALLOC'!$G$26</f>
        <v/>
      </c>
      <c r="F56" s="14">
        <f>'ENG_ALLOC'!$F$14*'ENG_ALLOC'!$G$26</f>
        <v/>
      </c>
      <c r="G56" s="14">
        <f>'ENG_ALLOC'!$G$14*'ENG_ALLOC'!$G$26</f>
        <v/>
      </c>
      <c r="H56" s="14">
        <f>'ENG_ALLOC'!$H$14*'ENG_ALLOC'!$G$26</f>
        <v/>
      </c>
      <c r="I56" s="14">
        <f>'ENG_ALLOC'!$I$14*'ENG_ALLOC'!$G$26</f>
        <v/>
      </c>
      <c r="J56" s="14">
        <f>'ENG_ALLOC'!$J$14*'ENG_ALLOC'!$G$26</f>
        <v/>
      </c>
      <c r="K56" s="14">
        <f>'ENG_ALLOC'!$K$14*'ENG_ALLOC'!$G$26</f>
        <v/>
      </c>
      <c r="L56" s="14">
        <f>'ENG_ALLOC'!$L$14*'ENG_ALLOC'!$G$26</f>
        <v/>
      </c>
      <c r="M56" s="14">
        <f>'ENG_ALLOC'!$M$14*'ENG_ALLOC'!$G$26</f>
        <v/>
      </c>
      <c r="N56" s="14">
        <f>'ENG_ALLOC'!$N$14*'ENG_ALLOC'!$G$26</f>
        <v/>
      </c>
      <c r="O56" s="14">
        <f>'ENG_ALLOC'!$O$14*'ENG_ALLOC'!$G$26</f>
        <v/>
      </c>
      <c r="P56" s="14">
        <f>'ENG_ALLOC'!$P$14*'ENG_ALLOC'!$G$26</f>
        <v/>
      </c>
    </row>
    <row r="57">
      <c r="A57" t="inlineStr">
        <is>
          <t>مرکز 5 ← ایستگاه 5</t>
        </is>
      </c>
      <c r="C57" s="9" t="inlineStr">
        <is>
          <t>میلیون ریال</t>
        </is>
      </c>
      <c r="D57" s="14">
        <f>'ENG_ALLOC'!$D$14*'ENG_ALLOC'!$H$26</f>
        <v/>
      </c>
      <c r="E57" s="14">
        <f>'ENG_ALLOC'!$E$14*'ENG_ALLOC'!$H$26</f>
        <v/>
      </c>
      <c r="F57" s="14">
        <f>'ENG_ALLOC'!$F$14*'ENG_ALLOC'!$H$26</f>
        <v/>
      </c>
      <c r="G57" s="14">
        <f>'ENG_ALLOC'!$G$14*'ENG_ALLOC'!$H$26</f>
        <v/>
      </c>
      <c r="H57" s="14">
        <f>'ENG_ALLOC'!$H$14*'ENG_ALLOC'!$H$26</f>
        <v/>
      </c>
      <c r="I57" s="14">
        <f>'ENG_ALLOC'!$I$14*'ENG_ALLOC'!$H$26</f>
        <v/>
      </c>
      <c r="J57" s="14">
        <f>'ENG_ALLOC'!$J$14*'ENG_ALLOC'!$H$26</f>
        <v/>
      </c>
      <c r="K57" s="14">
        <f>'ENG_ALLOC'!$K$14*'ENG_ALLOC'!$H$26</f>
        <v/>
      </c>
      <c r="L57" s="14">
        <f>'ENG_ALLOC'!$L$14*'ENG_ALLOC'!$H$26</f>
        <v/>
      </c>
      <c r="M57" s="14">
        <f>'ENG_ALLOC'!$M$14*'ENG_ALLOC'!$H$26</f>
        <v/>
      </c>
      <c r="N57" s="14">
        <f>'ENG_ALLOC'!$N$14*'ENG_ALLOC'!$H$26</f>
        <v/>
      </c>
      <c r="O57" s="14">
        <f>'ENG_ALLOC'!$O$14*'ENG_ALLOC'!$H$26</f>
        <v/>
      </c>
      <c r="P57" s="14">
        <f>'ENG_ALLOC'!$P$14*'ENG_ALLOC'!$H$26</f>
        <v/>
      </c>
    </row>
    <row r="58">
      <c r="A58" t="inlineStr">
        <is>
          <t>مرکز 5 ← ایستگاه 6</t>
        </is>
      </c>
      <c r="C58" s="9" t="inlineStr">
        <is>
          <t>میلیون ریال</t>
        </is>
      </c>
      <c r="D58" s="14">
        <f>'ENG_ALLOC'!$D$14*'ENG_ALLOC'!$I$26</f>
        <v/>
      </c>
      <c r="E58" s="14">
        <f>'ENG_ALLOC'!$E$14*'ENG_ALLOC'!$I$26</f>
        <v/>
      </c>
      <c r="F58" s="14">
        <f>'ENG_ALLOC'!$F$14*'ENG_ALLOC'!$I$26</f>
        <v/>
      </c>
      <c r="G58" s="14">
        <f>'ENG_ALLOC'!$G$14*'ENG_ALLOC'!$I$26</f>
        <v/>
      </c>
      <c r="H58" s="14">
        <f>'ENG_ALLOC'!$H$14*'ENG_ALLOC'!$I$26</f>
        <v/>
      </c>
      <c r="I58" s="14">
        <f>'ENG_ALLOC'!$I$14*'ENG_ALLOC'!$I$26</f>
        <v/>
      </c>
      <c r="J58" s="14">
        <f>'ENG_ALLOC'!$J$14*'ENG_ALLOC'!$I$26</f>
        <v/>
      </c>
      <c r="K58" s="14">
        <f>'ENG_ALLOC'!$K$14*'ENG_ALLOC'!$I$26</f>
        <v/>
      </c>
      <c r="L58" s="14">
        <f>'ENG_ALLOC'!$L$14*'ENG_ALLOC'!$I$26</f>
        <v/>
      </c>
      <c r="M58" s="14">
        <f>'ENG_ALLOC'!$M$14*'ENG_ALLOC'!$I$26</f>
        <v/>
      </c>
      <c r="N58" s="14">
        <f>'ENG_ALLOC'!$N$14*'ENG_ALLOC'!$I$26</f>
        <v/>
      </c>
      <c r="O58" s="14">
        <f>'ENG_ALLOC'!$O$14*'ENG_ALLOC'!$I$26</f>
        <v/>
      </c>
      <c r="P58" s="14">
        <f>'ENG_ALLOC'!$P$14*'ENG_ALLOC'!$I$26</f>
        <v/>
      </c>
    </row>
    <row r="59"/>
    <row r="60">
      <c r="A60" s="6" t="inlineStr">
        <is>
          <t>د) جمع تخصیص‌یافته به هر ایستگاه</t>
        </is>
      </c>
      <c r="B60" s="7" t="n"/>
      <c r="C60" s="7" t="n"/>
      <c r="D60" s="7" t="n"/>
      <c r="E60" s="7" t="n"/>
      <c r="F60" s="7" t="n"/>
      <c r="G60" s="7" t="n"/>
      <c r="H60" s="7" t="n"/>
      <c r="I60" s="7" t="n"/>
      <c r="J60" s="7" t="n"/>
      <c r="K60" s="7" t="n"/>
      <c r="L60" s="7" t="n"/>
      <c r="M60" s="7" t="n"/>
      <c r="N60" s="7" t="n"/>
      <c r="O60" s="7" t="n"/>
      <c r="P60" s="7" t="n"/>
    </row>
    <row r="61">
      <c r="A61" t="inlineStr">
        <is>
          <t>سهم ایستگاه 1 از مراکز خدماتی</t>
        </is>
      </c>
      <c r="B61" s="8" t="inlineStr">
        <is>
          <t>ALC.station.0</t>
        </is>
      </c>
      <c r="C61" s="9" t="inlineStr">
        <is>
          <t>میلیون ریال</t>
        </is>
      </c>
      <c r="D61" s="14">
        <f>D29+D35+D41+D47+D53</f>
        <v/>
      </c>
      <c r="E61" s="14">
        <f>E29+E35+E41+E47+E53</f>
        <v/>
      </c>
      <c r="F61" s="14">
        <f>F29+F35+F41+F47+F53</f>
        <v/>
      </c>
      <c r="G61" s="14">
        <f>G29+G35+G41+G47+G53</f>
        <v/>
      </c>
      <c r="H61" s="14">
        <f>H29+H35+H41+H47+H53</f>
        <v/>
      </c>
      <c r="I61" s="14">
        <f>I29+I35+I41+I47+I53</f>
        <v/>
      </c>
      <c r="J61" s="14">
        <f>J29+J35+J41+J47+J53</f>
        <v/>
      </c>
      <c r="K61" s="14">
        <f>K29+K35+K41+K47+K53</f>
        <v/>
      </c>
      <c r="L61" s="14">
        <f>L29+L35+L41+L47+L53</f>
        <v/>
      </c>
      <c r="M61" s="14">
        <f>M29+M35+M41+M47+M53</f>
        <v/>
      </c>
      <c r="N61" s="14">
        <f>N29+N35+N41+N47+N53</f>
        <v/>
      </c>
      <c r="O61" s="14">
        <f>O29+O35+O41+O47+O53</f>
        <v/>
      </c>
      <c r="P61" s="14">
        <f>P29+P35+P41+P47+P53</f>
        <v/>
      </c>
    </row>
    <row r="62">
      <c r="A62" t="inlineStr">
        <is>
          <t>سهم ایستگاه 2 از مراکز خدماتی</t>
        </is>
      </c>
      <c r="B62" s="8" t="inlineStr">
        <is>
          <t>ALC.station.1</t>
        </is>
      </c>
      <c r="C62" s="9" t="inlineStr">
        <is>
          <t>میلیون ریال</t>
        </is>
      </c>
      <c r="D62" s="14">
        <f>D30+D36+D42+D48+D54</f>
        <v/>
      </c>
      <c r="E62" s="14">
        <f>E30+E36+E42+E48+E54</f>
        <v/>
      </c>
      <c r="F62" s="14">
        <f>F30+F36+F42+F48+F54</f>
        <v/>
      </c>
      <c r="G62" s="14">
        <f>G30+G36+G42+G48+G54</f>
        <v/>
      </c>
      <c r="H62" s="14">
        <f>H30+H36+H42+H48+H54</f>
        <v/>
      </c>
      <c r="I62" s="14">
        <f>I30+I36+I42+I48+I54</f>
        <v/>
      </c>
      <c r="J62" s="14">
        <f>J30+J36+J42+J48+J54</f>
        <v/>
      </c>
      <c r="K62" s="14">
        <f>K30+K36+K42+K48+K54</f>
        <v/>
      </c>
      <c r="L62" s="14">
        <f>L30+L36+L42+L48+L54</f>
        <v/>
      </c>
      <c r="M62" s="14">
        <f>M30+M36+M42+M48+M54</f>
        <v/>
      </c>
      <c r="N62" s="14">
        <f>N30+N36+N42+N48+N54</f>
        <v/>
      </c>
      <c r="O62" s="14">
        <f>O30+O36+O42+O48+O54</f>
        <v/>
      </c>
      <c r="P62" s="14">
        <f>P30+P36+P42+P48+P54</f>
        <v/>
      </c>
    </row>
    <row r="63">
      <c r="A63" t="inlineStr">
        <is>
          <t>سهم ایستگاه 3 از مراکز خدماتی</t>
        </is>
      </c>
      <c r="B63" s="8" t="inlineStr">
        <is>
          <t>ALC.station.2</t>
        </is>
      </c>
      <c r="C63" s="9" t="inlineStr">
        <is>
          <t>میلیون ریال</t>
        </is>
      </c>
      <c r="D63" s="14">
        <f>D31+D37+D43+D49+D55</f>
        <v/>
      </c>
      <c r="E63" s="14">
        <f>E31+E37+E43+E49+E55</f>
        <v/>
      </c>
      <c r="F63" s="14">
        <f>F31+F37+F43+F49+F55</f>
        <v/>
      </c>
      <c r="G63" s="14">
        <f>G31+G37+G43+G49+G55</f>
        <v/>
      </c>
      <c r="H63" s="14">
        <f>H31+H37+H43+H49+H55</f>
        <v/>
      </c>
      <c r="I63" s="14">
        <f>I31+I37+I43+I49+I55</f>
        <v/>
      </c>
      <c r="J63" s="14">
        <f>J31+J37+J43+J49+J55</f>
        <v/>
      </c>
      <c r="K63" s="14">
        <f>K31+K37+K43+K49+K55</f>
        <v/>
      </c>
      <c r="L63" s="14">
        <f>L31+L37+L43+L49+L55</f>
        <v/>
      </c>
      <c r="M63" s="14">
        <f>M31+M37+M43+M49+M55</f>
        <v/>
      </c>
      <c r="N63" s="14">
        <f>N31+N37+N43+N49+N55</f>
        <v/>
      </c>
      <c r="O63" s="14">
        <f>O31+O37+O43+O49+O55</f>
        <v/>
      </c>
      <c r="P63" s="14">
        <f>P31+P37+P43+P49+P55</f>
        <v/>
      </c>
    </row>
    <row r="64">
      <c r="A64" t="inlineStr">
        <is>
          <t>سهم ایستگاه 4 از مراکز خدماتی</t>
        </is>
      </c>
      <c r="B64" s="8" t="inlineStr">
        <is>
          <t>ALC.station.3</t>
        </is>
      </c>
      <c r="C64" s="9" t="inlineStr">
        <is>
          <t>میلیون ریال</t>
        </is>
      </c>
      <c r="D64" s="14">
        <f>D32+D38+D44+D50+D56</f>
        <v/>
      </c>
      <c r="E64" s="14">
        <f>E32+E38+E44+E50+E56</f>
        <v/>
      </c>
      <c r="F64" s="14">
        <f>F32+F38+F44+F50+F56</f>
        <v/>
      </c>
      <c r="G64" s="14">
        <f>G32+G38+G44+G50+G56</f>
        <v/>
      </c>
      <c r="H64" s="14">
        <f>H32+H38+H44+H50+H56</f>
        <v/>
      </c>
      <c r="I64" s="14">
        <f>I32+I38+I44+I50+I56</f>
        <v/>
      </c>
      <c r="J64" s="14">
        <f>J32+J38+J44+J50+J56</f>
        <v/>
      </c>
      <c r="K64" s="14">
        <f>K32+K38+K44+K50+K56</f>
        <v/>
      </c>
      <c r="L64" s="14">
        <f>L32+L38+L44+L50+L56</f>
        <v/>
      </c>
      <c r="M64" s="14">
        <f>M32+M38+M44+M50+M56</f>
        <v/>
      </c>
      <c r="N64" s="14">
        <f>N32+N38+N44+N50+N56</f>
        <v/>
      </c>
      <c r="O64" s="14">
        <f>O32+O38+O44+O50+O56</f>
        <v/>
      </c>
      <c r="P64" s="14">
        <f>P32+P38+P44+P50+P56</f>
        <v/>
      </c>
    </row>
    <row r="65">
      <c r="A65" t="inlineStr">
        <is>
          <t>سهم ایستگاه 5 از مراکز خدماتی</t>
        </is>
      </c>
      <c r="B65" s="8" t="inlineStr">
        <is>
          <t>ALC.station.4</t>
        </is>
      </c>
      <c r="C65" s="9" t="inlineStr">
        <is>
          <t>میلیون ریال</t>
        </is>
      </c>
      <c r="D65" s="14">
        <f>D33+D39+D45+D51+D57</f>
        <v/>
      </c>
      <c r="E65" s="14">
        <f>E33+E39+E45+E51+E57</f>
        <v/>
      </c>
      <c r="F65" s="14">
        <f>F33+F39+F45+F51+F57</f>
        <v/>
      </c>
      <c r="G65" s="14">
        <f>G33+G39+G45+G51+G57</f>
        <v/>
      </c>
      <c r="H65" s="14">
        <f>H33+H39+H45+H51+H57</f>
        <v/>
      </c>
      <c r="I65" s="14">
        <f>I33+I39+I45+I51+I57</f>
        <v/>
      </c>
      <c r="J65" s="14">
        <f>J33+J39+J45+J51+J57</f>
        <v/>
      </c>
      <c r="K65" s="14">
        <f>K33+K39+K45+K51+K57</f>
        <v/>
      </c>
      <c r="L65" s="14">
        <f>L33+L39+L45+L51+L57</f>
        <v/>
      </c>
      <c r="M65" s="14">
        <f>M33+M39+M45+M51+M57</f>
        <v/>
      </c>
      <c r="N65" s="14">
        <f>N33+N39+N45+N51+N57</f>
        <v/>
      </c>
      <c r="O65" s="14">
        <f>O33+O39+O45+O51+O57</f>
        <v/>
      </c>
      <c r="P65" s="14">
        <f>P33+P39+P45+P51+P57</f>
        <v/>
      </c>
    </row>
    <row r="66">
      <c r="A66" t="inlineStr">
        <is>
          <t>سهم ایستگاه 6 از مراکز خدماتی</t>
        </is>
      </c>
      <c r="B66" s="8" t="inlineStr">
        <is>
          <t>ALC.station.5</t>
        </is>
      </c>
      <c r="C66" s="9" t="inlineStr">
        <is>
          <t>میلیون ریال</t>
        </is>
      </c>
      <c r="D66" s="14">
        <f>D34+D40+D46+D52+D58</f>
        <v/>
      </c>
      <c r="E66" s="14">
        <f>E34+E40+E46+E52+E58</f>
        <v/>
      </c>
      <c r="F66" s="14">
        <f>F34+F40+F46+F52+F58</f>
        <v/>
      </c>
      <c r="G66" s="14">
        <f>G34+G40+G46+G52+G58</f>
        <v/>
      </c>
      <c r="H66" s="14">
        <f>H34+H40+H46+H52+H58</f>
        <v/>
      </c>
      <c r="I66" s="14">
        <f>I34+I40+I46+I52+I58</f>
        <v/>
      </c>
      <c r="J66" s="14">
        <f>J34+J40+J46+J52+J58</f>
        <v/>
      </c>
      <c r="K66" s="14">
        <f>K34+K40+K46+K52+K58</f>
        <v/>
      </c>
      <c r="L66" s="14">
        <f>L34+L40+L46+L52+L58</f>
        <v/>
      </c>
      <c r="M66" s="14">
        <f>M34+M40+M46+M52+M58</f>
        <v/>
      </c>
      <c r="N66" s="14">
        <f>N34+N40+N46+N52+N58</f>
        <v/>
      </c>
      <c r="O66" s="14">
        <f>O34+O40+O46+O52+O58</f>
        <v/>
      </c>
      <c r="P66" s="14">
        <f>P34+P40+P46+P52+P58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2026-10-07T09:32:14Z</dcterms:created>
  <dcterms:modified xsi:type="dcterms:W3CDTF">2026-10-07T09:32:14Z</dcterms:modified>
</cp:coreProperties>
</file>