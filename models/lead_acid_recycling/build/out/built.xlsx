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_MACRO" sheetId="1" state="visible" r:id="rId1"/>
    <sheet name="IN_TECH" sheetId="2" state="visible" r:id="rId2"/>
    <sheet name="IN_SALES" sheetId="3" state="visible" r:id="rId3"/>
    <sheet name="IN_COST" sheetId="4" state="visible" r:id="rId4"/>
    <sheet name="IN_WC" sheetId="5" state="visible" r:id="rId5"/>
    <sheet name="IN_FIN" sheetId="6" state="visible" r:id="rId6"/>
    <sheet name="IN_SCEN" sheetId="7" state="visible" r:id="rId7"/>
    <sheet name="ENG_SCEN" sheetId="8" state="hidden" r:id="rId8"/>
    <sheet name="ENG_OPS" sheetId="9" state="hidden" r:id="rId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0">
    <font>
      <name val="Calibri"/>
      <family val="2"/>
      <color theme="1"/>
      <sz val="11"/>
      <scheme val="minor"/>
    </font>
    <font>
      <b val="1"/>
      <color rgb="001F3864"/>
      <sz val="14"/>
    </font>
    <font>
      <b val="1"/>
      <color rgb="00595959"/>
      <sz val="9"/>
    </font>
    <font>
      <i val="1"/>
      <color rgb="00595959"/>
      <sz val="9"/>
    </font>
    <font>
      <b val="1"/>
      <sz val="9"/>
    </font>
    <font>
      <b val="1"/>
      <color rgb="001F3864"/>
      <sz val="11"/>
    </font>
    <font>
      <name val="Consolas"/>
      <color rgb="00404040"/>
      <sz val="9"/>
    </font>
    <font>
      <color rgb="00808080"/>
      <sz val="9"/>
    </font>
    <font>
      <i val="1"/>
      <color rgb="007F7F7F"/>
      <sz val="9"/>
    </font>
    <font>
      <b val="1"/>
      <sz val="10"/>
    </font>
  </fonts>
  <fills count="5">
    <fill>
      <patternFill/>
    </fill>
    <fill>
      <patternFill patternType="gray125"/>
    </fill>
    <fill>
      <patternFill patternType="solid">
        <fgColor rgb="00F2F2F2"/>
      </patternFill>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1" fontId="0" fillId="2" borderId="0" pivotButton="0" quotePrefix="0" xfId="0"/>
    <xf numFmtId="0" fontId="5" fillId="3" borderId="0" pivotButton="0" quotePrefix="0" xfId="0"/>
    <xf numFmtId="0" fontId="0" fillId="3" borderId="0" pivotButton="0" quotePrefix="0" xfId="0"/>
    <xf numFmtId="0" fontId="6" fillId="0" borderId="0" pivotButton="0" quotePrefix="0" xfId="0"/>
    <xf numFmtId="0" fontId="7" fillId="0" borderId="0" applyAlignment="1" pivotButton="0" quotePrefix="0" xfId="0">
      <alignment horizontal="center"/>
    </xf>
    <xf numFmtId="1" fontId="0" fillId="0" borderId="0" pivotButton="0" quotePrefix="0" xfId="0"/>
    <xf numFmtId="164" fontId="0" fillId="0" borderId="0" pivotButton="0" quotePrefix="0" xfId="0"/>
    <xf numFmtId="4" fontId="0" fillId="0" borderId="0" pivotButton="0" quotePrefix="0" xfId="0"/>
    <xf numFmtId="165" fontId="0" fillId="0" borderId="0" pivotButton="0" quotePrefix="0" xfId="0"/>
    <xf numFmtId="3" fontId="0" fillId="0" borderId="0" pivotButton="0" quotePrefix="0" xfId="0"/>
    <xf numFmtId="0" fontId="8" fillId="0" borderId="0" applyAlignment="1" pivotButton="0" quotePrefix="0" xfId="0">
      <alignment/>
    </xf>
    <xf numFmtId="0" fontId="4" fillId="2" borderId="1" pivotButton="0" quotePrefix="0" xfId="0"/>
    <xf numFmtId="10" fontId="0" fillId="0" borderId="0" pivotButton="0" quotePrefix="0" xfId="0"/>
    <xf numFmtId="3" fontId="0" fillId="4" borderId="1" pivotButton="0" quotePrefix="0" xfId="0"/>
    <xf numFmtId="0" fontId="7" fillId="0" borderId="0" pivotButton="0" quotePrefix="0" xfId="0"/>
    <xf numFmtId="0" fontId="0" fillId="4" borderId="1" pivotButton="0" quotePrefix="0" xfId="0"/>
    <xf numFmtId="166" fontId="0" fillId="4" borderId="1" pivotButton="0" quotePrefix="0" xfId="0"/>
    <xf numFmtId="164" fontId="0" fillId="4" borderId="1" pivotButton="0" quotePrefix="0" xfId="0"/>
    <xf numFmtId="4" fontId="0" fillId="4"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P40"/>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۱. فرضیات کلان اقتصادی</t>
        </is>
      </c>
      <c r="B1" s="2" t="inlineStr">
        <is>
          <t>لایه ورودی</t>
        </is>
      </c>
    </row>
    <row r="2">
      <c r="A2" s="3" t="inlineStr">
        <is>
          <t>تمام مفروضات اقتصاد کلان در این شیت وارد می‌شود؛ هیچ فرمولی مجاز نیست. واحد پول مدل: میلیون ریال.</t>
        </is>
      </c>
    </row>
    <row r="3"/>
    <row r="4"/>
    <row r="5"/>
    <row r="6"/>
    <row r="7">
      <c r="A7" s="4" t="inlineStr">
        <is>
          <t>دوره (t)</t>
        </is>
      </c>
      <c r="D7" s="5" t="n">
        <v>0</v>
      </c>
      <c r="E7" s="5" t="n">
        <v>1</v>
      </c>
      <c r="F7" s="5" t="n">
        <v>2</v>
      </c>
      <c r="G7" s="5" t="n">
        <v>3</v>
      </c>
      <c r="H7" s="5" t="n">
        <v>4</v>
      </c>
      <c r="I7" s="5" t="n">
        <v>5</v>
      </c>
      <c r="J7" s="5" t="n">
        <v>6</v>
      </c>
      <c r="K7" s="5" t="n">
        <v>7</v>
      </c>
      <c r="L7" s="5" t="n">
        <v>8</v>
      </c>
      <c r="M7" s="5" t="n">
        <v>9</v>
      </c>
      <c r="N7" s="5" t="n">
        <v>10</v>
      </c>
      <c r="O7" s="5" t="n">
        <v>11</v>
      </c>
      <c r="P7" s="5" t="n">
        <v>12</v>
      </c>
    </row>
    <row r="8">
      <c r="A8" s="4" t="inlineStr">
        <is>
          <t>سال تقویمی</t>
        </is>
      </c>
      <c r="D8" s="5" t="n">
        <v>2026</v>
      </c>
      <c r="E8" s="5" t="n">
        <v>2027</v>
      </c>
      <c r="F8" s="5" t="n">
        <v>2028</v>
      </c>
      <c r="G8" s="5" t="n">
        <v>2029</v>
      </c>
      <c r="H8" s="5" t="n">
        <v>2030</v>
      </c>
      <c r="I8" s="5" t="n">
        <v>2031</v>
      </c>
      <c r="J8" s="5" t="n">
        <v>2032</v>
      </c>
      <c r="K8" s="5" t="n">
        <v>2033</v>
      </c>
      <c r="L8" s="5" t="n">
        <v>2034</v>
      </c>
      <c r="M8" s="5" t="n">
        <v>2035</v>
      </c>
      <c r="N8" s="5" t="n">
        <v>2036</v>
      </c>
      <c r="O8" s="5" t="n">
        <v>2037</v>
      </c>
      <c r="P8" s="5" t="n">
        <v>2038</v>
      </c>
    </row>
    <row r="9">
      <c r="A9" s="6" t="inlineStr">
        <is>
          <t>الف) پارامترهای کنترلی و ثابت مدل</t>
        </is>
      </c>
      <c r="B9" s="7" t="n"/>
      <c r="C9" s="7" t="n"/>
      <c r="D9" s="7" t="n"/>
      <c r="E9" s="7" t="n"/>
      <c r="F9" s="7" t="n"/>
      <c r="G9" s="7" t="n"/>
      <c r="H9" s="7" t="n"/>
      <c r="I9" s="7" t="n"/>
      <c r="J9" s="7" t="n"/>
      <c r="K9" s="7" t="n"/>
      <c r="L9" s="7" t="n"/>
      <c r="M9" s="7" t="n"/>
      <c r="N9" s="7" t="n"/>
      <c r="O9" s="7" t="n"/>
      <c r="P9" s="7" t="n"/>
    </row>
    <row r="10">
      <c r="A10" t="inlineStr">
        <is>
          <t>سال شروع مدل (میلادی)</t>
        </is>
      </c>
      <c r="B10" s="8" t="inlineStr">
        <is>
          <t>MAC.start_year</t>
        </is>
      </c>
      <c r="C10" s="9" t="inlineStr">
        <is>
          <t>سال</t>
        </is>
      </c>
      <c r="D10" s="10" t="n">
        <v>2026</v>
      </c>
    </row>
    <row r="11">
      <c r="A11" t="inlineStr">
        <is>
          <t>افق مدل (سال بهره‌برداری)</t>
        </is>
      </c>
      <c r="B11" s="8" t="inlineStr">
        <is>
          <t>MAC.horizon</t>
        </is>
      </c>
      <c r="C11" s="9" t="inlineStr">
        <is>
          <t>سال</t>
        </is>
      </c>
      <c r="D11" s="10" t="n">
        <v>12</v>
      </c>
    </row>
    <row r="12">
      <c r="A12" t="inlineStr">
        <is>
          <t>شاخص سال آغاز بهره‌برداری (t)</t>
        </is>
      </c>
      <c r="B12" s="8" t="inlineStr">
        <is>
          <t>MAC.ops_start</t>
        </is>
      </c>
      <c r="C12" s="9" t="inlineStr">
        <is>
          <t>شاخص</t>
        </is>
      </c>
      <c r="D12" s="10" t="n">
        <v>1</v>
      </c>
    </row>
    <row r="13">
      <c r="A13" t="inlineStr">
        <is>
          <t>شاخص سال پایان دوره ساخت (t)</t>
        </is>
      </c>
      <c r="B13" s="8" t="inlineStr">
        <is>
          <t>MAC.constr_end</t>
        </is>
      </c>
      <c r="C13" s="9" t="inlineStr">
        <is>
          <t>شاخص</t>
        </is>
      </c>
      <c r="D13" s="10" t="n">
        <v>1</v>
      </c>
    </row>
    <row r="14">
      <c r="A14" t="inlineStr">
        <is>
          <t>نرخ مالیات بر درآمد</t>
        </is>
      </c>
      <c r="B14" s="8" t="inlineStr">
        <is>
          <t>MAC.tax</t>
        </is>
      </c>
      <c r="C14" s="9" t="inlineStr">
        <is>
          <t>درصد</t>
        </is>
      </c>
      <c r="D14" s="11" t="n">
        <v>0.2</v>
      </c>
    </row>
    <row r="15">
      <c r="A15" t="inlineStr">
        <is>
          <t>صرف ریسک بازار سهام (ERP)</t>
        </is>
      </c>
      <c r="B15" s="8" t="inlineStr">
        <is>
          <t>MAC.erp</t>
        </is>
      </c>
      <c r="C15" s="9" t="inlineStr">
        <is>
          <t>درصد</t>
        </is>
      </c>
      <c r="D15" s="11" t="n">
        <v>0.06</v>
      </c>
    </row>
    <row r="16">
      <c r="A16" t="inlineStr">
        <is>
          <t>بتای سهام</t>
        </is>
      </c>
      <c r="B16" s="8" t="inlineStr">
        <is>
          <t>MAC.beta</t>
        </is>
      </c>
      <c r="C16" s="9" t="inlineStr">
        <is>
          <t>ضریب</t>
        </is>
      </c>
      <c r="D16" s="12" t="n">
        <v>1.15</v>
      </c>
    </row>
    <row r="17">
      <c r="A17" t="inlineStr">
        <is>
          <t>صرف ریسک کشور (CRP)</t>
        </is>
      </c>
      <c r="B17" s="8" t="inlineStr">
        <is>
          <t>MAC.crp</t>
        </is>
      </c>
      <c r="C17" s="9" t="inlineStr">
        <is>
          <t>درصد</t>
        </is>
      </c>
      <c r="D17" s="11" t="n">
        <v>0.04</v>
      </c>
    </row>
    <row r="18">
      <c r="A18" t="inlineStr">
        <is>
          <t>نرخ رشد دائمی اسمی</t>
        </is>
      </c>
      <c r="B18" s="8" t="inlineStr">
        <is>
          <t>MAC.g_term</t>
        </is>
      </c>
      <c r="C18" s="9" t="inlineStr">
        <is>
          <t>درصد</t>
        </is>
      </c>
      <c r="D18" s="11" t="n">
        <v>0.18</v>
      </c>
    </row>
    <row r="19">
      <c r="A19" t="inlineStr">
        <is>
          <t>روش ارزش پایانی (1=گوردون/2=ضریب خروج)</t>
        </is>
      </c>
      <c r="B19" s="8" t="inlineStr">
        <is>
          <t>MAC.tv_method</t>
        </is>
      </c>
      <c r="C19" s="9" t="inlineStr">
        <is>
          <t>1/2</t>
        </is>
      </c>
      <c r="D19" s="10" t="n">
        <v>2</v>
      </c>
    </row>
    <row r="20">
      <c r="A20" t="inlineStr">
        <is>
          <t>ضریب خروج (EV/EBITDA)</t>
        </is>
      </c>
      <c r="B20" s="8" t="inlineStr">
        <is>
          <t>MAC.exit_mult</t>
        </is>
      </c>
      <c r="C20" s="9" t="inlineStr">
        <is>
          <t>ضریب</t>
        </is>
      </c>
      <c r="D20" s="13" t="n">
        <v>6</v>
      </c>
    </row>
    <row r="21"/>
    <row r="22">
      <c r="A22" s="6" t="inlineStr">
        <is>
          <t>ب) مسیرهای سالانهٔ اقتصاد کلان (ورودی عددی)</t>
        </is>
      </c>
      <c r="B22" s="7" t="n"/>
      <c r="C22" s="7" t="n"/>
      <c r="D22" s="7" t="n"/>
      <c r="E22" s="7" t="n"/>
      <c r="F22" s="7" t="n"/>
      <c r="G22" s="7" t="n"/>
      <c r="H22" s="7" t="n"/>
      <c r="I22" s="7" t="n"/>
      <c r="J22" s="7" t="n"/>
      <c r="K22" s="7" t="n"/>
      <c r="L22" s="7" t="n"/>
      <c r="M22" s="7" t="n"/>
      <c r="N22" s="7" t="n"/>
      <c r="O22" s="7" t="n"/>
      <c r="P22" s="7" t="n"/>
    </row>
    <row r="23">
      <c r="A23" t="inlineStr">
        <is>
          <t>شاخص دوره (t)</t>
        </is>
      </c>
      <c r="B23" s="8" t="inlineStr">
        <is>
          <t>MAC.t</t>
        </is>
      </c>
      <c r="C23" s="9" t="inlineStr">
        <is>
          <t>شاخص</t>
        </is>
      </c>
      <c r="D23" s="10" t="n">
        <v>0</v>
      </c>
      <c r="E23" s="10" t="n">
        <v>1</v>
      </c>
      <c r="F23" s="10" t="n">
        <v>2</v>
      </c>
      <c r="G23" s="10" t="n">
        <v>3</v>
      </c>
      <c r="H23" s="10" t="n">
        <v>4</v>
      </c>
      <c r="I23" s="10" t="n">
        <v>5</v>
      </c>
      <c r="J23" s="10" t="n">
        <v>6</v>
      </c>
      <c r="K23" s="10" t="n">
        <v>7</v>
      </c>
      <c r="L23" s="10" t="n">
        <v>8</v>
      </c>
      <c r="M23" s="10" t="n">
        <v>9</v>
      </c>
      <c r="N23" s="10" t="n">
        <v>10</v>
      </c>
      <c r="O23" s="10" t="n">
        <v>11</v>
      </c>
      <c r="P23" s="10" t="n">
        <v>12</v>
      </c>
    </row>
    <row r="24">
      <c r="A24" t="inlineStr">
        <is>
          <t>سال تقویمی</t>
        </is>
      </c>
      <c r="B24" s="8" t="inlineStr">
        <is>
          <t>MAC.year</t>
        </is>
      </c>
      <c r="C24" s="9" t="inlineStr">
        <is>
          <t>سال</t>
        </is>
      </c>
      <c r="D24" s="10" t="n">
        <v>2026</v>
      </c>
      <c r="E24" s="10" t="n">
        <v>2027</v>
      </c>
      <c r="F24" s="10" t="n">
        <v>2028</v>
      </c>
      <c r="G24" s="10" t="n">
        <v>2029</v>
      </c>
      <c r="H24" s="10" t="n">
        <v>2030</v>
      </c>
      <c r="I24" s="10" t="n">
        <v>2031</v>
      </c>
      <c r="J24" s="10" t="n">
        <v>2032</v>
      </c>
      <c r="K24" s="10" t="n">
        <v>2033</v>
      </c>
      <c r="L24" s="10" t="n">
        <v>2034</v>
      </c>
      <c r="M24" s="10" t="n">
        <v>2035</v>
      </c>
      <c r="N24" s="10" t="n">
        <v>2036</v>
      </c>
      <c r="O24" s="10" t="n">
        <v>2037</v>
      </c>
      <c r="P24" s="10" t="n">
        <v>2038</v>
      </c>
    </row>
    <row r="25">
      <c r="A25" t="inlineStr">
        <is>
          <t>نرخ تورم عمومی</t>
        </is>
      </c>
      <c r="B25" s="8" t="inlineStr">
        <is>
          <t>MAC.infl</t>
        </is>
      </c>
      <c r="C25" s="9" t="inlineStr">
        <is>
          <t>درصد</t>
        </is>
      </c>
      <c r="D25" s="11" t="n">
        <v>0.25</v>
      </c>
      <c r="E25" s="11" t="n">
        <v>0.25</v>
      </c>
      <c r="F25" s="11" t="n">
        <v>0.23</v>
      </c>
      <c r="G25" s="11" t="n">
        <v>0.22</v>
      </c>
      <c r="H25" s="11" t="n">
        <v>0.2</v>
      </c>
      <c r="I25" s="11" t="n">
        <v>0.2</v>
      </c>
      <c r="J25" s="11" t="n">
        <v>0.18</v>
      </c>
      <c r="K25" s="11" t="n">
        <v>0.18</v>
      </c>
      <c r="L25" s="11" t="n">
        <v>0.16</v>
      </c>
      <c r="M25" s="11" t="n">
        <v>0.16</v>
      </c>
      <c r="N25" s="11" t="n">
        <v>0.15</v>
      </c>
      <c r="O25" s="11" t="n">
        <v>0.15</v>
      </c>
      <c r="P25" s="11" t="n">
        <v>0.15</v>
      </c>
    </row>
    <row r="26">
      <c r="A26" t="inlineStr">
        <is>
          <t>نرخ رشد دستمزد</t>
        </is>
      </c>
      <c r="B26" s="8" t="inlineStr">
        <is>
          <t>MAC.wage</t>
        </is>
      </c>
      <c r="C26" s="9" t="inlineStr">
        <is>
          <t>درصد</t>
        </is>
      </c>
      <c r="D26" s="11" t="n">
        <v>0.27</v>
      </c>
      <c r="E26" s="11" t="n">
        <v>0.26</v>
      </c>
      <c r="F26" s="11" t="n">
        <v>0.25</v>
      </c>
      <c r="G26" s="11" t="n">
        <v>0.23</v>
      </c>
      <c r="H26" s="11" t="n">
        <v>0.22</v>
      </c>
      <c r="I26" s="11" t="n">
        <v>0.21</v>
      </c>
      <c r="J26" s="11" t="n">
        <v>0.2</v>
      </c>
      <c r="K26" s="11" t="n">
        <v>0.19</v>
      </c>
      <c r="L26" s="11" t="n">
        <v>0.18</v>
      </c>
      <c r="M26" s="11" t="n">
        <v>0.17</v>
      </c>
      <c r="N26" s="11" t="n">
        <v>0.17</v>
      </c>
      <c r="O26" s="11" t="n">
        <v>0.16</v>
      </c>
      <c r="P26" s="11" t="n">
        <v>0.16</v>
      </c>
    </row>
    <row r="27">
      <c r="A27" t="inlineStr">
        <is>
          <t>نرخ رشد قیمت حامل‌های انرژی</t>
        </is>
      </c>
      <c r="B27" s="8" t="inlineStr">
        <is>
          <t>MAC.energy</t>
        </is>
      </c>
      <c r="C27" s="9" t="inlineStr">
        <is>
          <t>درصد</t>
        </is>
      </c>
      <c r="D27" s="11" t="n">
        <v>0.3</v>
      </c>
      <c r="E27" s="11" t="n">
        <v>0.28</v>
      </c>
      <c r="F27" s="11" t="n">
        <v>0.26</v>
      </c>
      <c r="G27" s="11" t="n">
        <v>0.25</v>
      </c>
      <c r="H27" s="11" t="n">
        <v>0.23</v>
      </c>
      <c r="I27" s="11" t="n">
        <v>0.22</v>
      </c>
      <c r="J27" s="11" t="n">
        <v>0.21</v>
      </c>
      <c r="K27" s="11" t="n">
        <v>0.2</v>
      </c>
      <c r="L27" s="11" t="n">
        <v>0.2</v>
      </c>
      <c r="M27" s="11" t="n">
        <v>0.19</v>
      </c>
      <c r="N27" s="11" t="n">
        <v>0.18</v>
      </c>
      <c r="O27" s="11" t="n">
        <v>0.18</v>
      </c>
      <c r="P27" s="11" t="n">
        <v>0.18</v>
      </c>
    </row>
    <row r="28">
      <c r="A28" t="inlineStr">
        <is>
          <t>نرخ ارز (ریال به ازای دلار)</t>
        </is>
      </c>
      <c r="B28" s="8" t="inlineStr">
        <is>
          <t>MAC.fx</t>
        </is>
      </c>
      <c r="C28" s="9" t="inlineStr">
        <is>
          <t>ریال/دلار</t>
        </is>
      </c>
      <c r="D28" s="14" t="n">
        <v>500000</v>
      </c>
      <c r="E28" s="14" t="n">
        <v>620000</v>
      </c>
      <c r="F28" s="14" t="n">
        <v>760000</v>
      </c>
      <c r="G28" s="14" t="n">
        <v>930000</v>
      </c>
      <c r="H28" s="14" t="n">
        <v>1120000</v>
      </c>
      <c r="I28" s="14" t="n">
        <v>1340000</v>
      </c>
      <c r="J28" s="14" t="n">
        <v>1590000</v>
      </c>
      <c r="K28" s="14" t="n">
        <v>1870000</v>
      </c>
      <c r="L28" s="14" t="n">
        <v>2180000</v>
      </c>
      <c r="M28" s="14" t="n">
        <v>2510000</v>
      </c>
      <c r="N28" s="14" t="n">
        <v>2860000</v>
      </c>
      <c r="O28" s="14" t="n">
        <v>3230000</v>
      </c>
      <c r="P28" s="14" t="n">
        <v>3610000</v>
      </c>
    </row>
    <row r="29">
      <c r="A29" t="inlineStr">
        <is>
          <t>قیمت جهانی سرب (LME)</t>
        </is>
      </c>
      <c r="B29" s="8" t="inlineStr">
        <is>
          <t>MAC.lme</t>
        </is>
      </c>
      <c r="C29" s="9" t="inlineStr">
        <is>
          <t>دلار/تن</t>
        </is>
      </c>
      <c r="D29" s="14" t="n">
        <v>2100</v>
      </c>
      <c r="E29" s="14" t="n">
        <v>2150</v>
      </c>
      <c r="F29" s="14" t="n">
        <v>2200</v>
      </c>
      <c r="G29" s="14" t="n">
        <v>2250</v>
      </c>
      <c r="H29" s="14" t="n">
        <v>2250</v>
      </c>
      <c r="I29" s="14" t="n">
        <v>2300</v>
      </c>
      <c r="J29" s="14" t="n">
        <v>2300</v>
      </c>
      <c r="K29" s="14" t="n">
        <v>2350</v>
      </c>
      <c r="L29" s="14" t="n">
        <v>2350</v>
      </c>
      <c r="M29" s="14" t="n">
        <v>2400</v>
      </c>
      <c r="N29" s="14" t="n">
        <v>2400</v>
      </c>
      <c r="O29" s="14" t="n">
        <v>2450</v>
      </c>
      <c r="P29" s="14" t="n">
        <v>2450</v>
      </c>
    </row>
    <row r="30">
      <c r="A30" t="inlineStr">
        <is>
          <t>نرخ سود بدون ریسک اسمی</t>
        </is>
      </c>
      <c r="B30" s="8" t="inlineStr">
        <is>
          <t>MAC.rf</t>
        </is>
      </c>
      <c r="C30" s="9" t="inlineStr">
        <is>
          <t>درصد</t>
        </is>
      </c>
      <c r="D30" s="11" t="n">
        <v>0.24</v>
      </c>
      <c r="E30" s="11" t="n">
        <v>0.24</v>
      </c>
      <c r="F30" s="11" t="n">
        <v>0.23</v>
      </c>
      <c r="G30" s="11" t="n">
        <v>0.23</v>
      </c>
      <c r="H30" s="11" t="n">
        <v>0.22</v>
      </c>
      <c r="I30" s="11" t="n">
        <v>0.22</v>
      </c>
      <c r="J30" s="11" t="n">
        <v>0.21</v>
      </c>
      <c r="K30" s="11" t="n">
        <v>0.21</v>
      </c>
      <c r="L30" s="11" t="n">
        <v>0.2</v>
      </c>
      <c r="M30" s="11" t="n">
        <v>0.2</v>
      </c>
      <c r="N30" s="11" t="n">
        <v>0.2</v>
      </c>
      <c r="O30" s="11" t="n">
        <v>0.19</v>
      </c>
      <c r="P30" s="11" t="n">
        <v>0.19</v>
      </c>
    </row>
    <row r="31">
      <c r="A31" t="inlineStr">
        <is>
          <t>رشد GDP بخش هدف</t>
        </is>
      </c>
      <c r="B31" s="8" t="inlineStr">
        <is>
          <t>MAC.gdp</t>
        </is>
      </c>
      <c r="C31" s="9" t="inlineStr">
        <is>
          <t>درصد</t>
        </is>
      </c>
      <c r="D31" s="11" t="n">
        <v>0.03</v>
      </c>
      <c r="E31" s="11" t="n">
        <v>0.03</v>
      </c>
      <c r="F31" s="11" t="n">
        <v>0.035</v>
      </c>
      <c r="G31" s="11" t="n">
        <v>0.035</v>
      </c>
      <c r="H31" s="11" t="n">
        <v>0.04</v>
      </c>
      <c r="I31" s="11" t="n">
        <v>0.04</v>
      </c>
      <c r="J31" s="11" t="n">
        <v>0.04</v>
      </c>
      <c r="K31" s="11" t="n">
        <v>0.035</v>
      </c>
      <c r="L31" s="11" t="n">
        <v>0.035</v>
      </c>
      <c r="M31" s="11" t="n">
        <v>0.03</v>
      </c>
      <c r="N31" s="11" t="n">
        <v>0.03</v>
      </c>
      <c r="O31" s="11" t="n">
        <v>0.03</v>
      </c>
      <c r="P31" s="11" t="n">
        <v>0.03</v>
      </c>
    </row>
    <row r="32">
      <c r="A32" t="inlineStr">
        <is>
          <t>شاخص قیمت تولیدکننده</t>
        </is>
      </c>
      <c r="B32" s="8" t="inlineStr">
        <is>
          <t>MAC.ppi</t>
        </is>
      </c>
      <c r="C32" s="9" t="inlineStr">
        <is>
          <t>درصد</t>
        </is>
      </c>
      <c r="D32" s="11" t="n">
        <v>0.24</v>
      </c>
      <c r="E32" s="11" t="n">
        <v>0.24</v>
      </c>
      <c r="F32" s="11" t="n">
        <v>0.22</v>
      </c>
      <c r="G32" s="11" t="n">
        <v>0.21</v>
      </c>
      <c r="H32" s="11" t="n">
        <v>0.2</v>
      </c>
      <c r="I32" s="11" t="n">
        <v>0.19</v>
      </c>
      <c r="J32" s="11" t="n">
        <v>0.18</v>
      </c>
      <c r="K32" s="11" t="n">
        <v>0.18</v>
      </c>
      <c r="L32" s="11" t="n">
        <v>0.17</v>
      </c>
      <c r="M32" s="11" t="n">
        <v>0.16</v>
      </c>
      <c r="N32" s="11" t="n">
        <v>0.16</v>
      </c>
      <c r="O32" s="11" t="n">
        <v>0.15</v>
      </c>
      <c r="P32" s="11" t="n">
        <v>0.15</v>
      </c>
    </row>
    <row r="33">
      <c r="A33" t="inlineStr">
        <is>
          <t>پرچم دوره ساخت (1=بله)</t>
        </is>
      </c>
      <c r="B33" s="8" t="inlineStr">
        <is>
          <t>MAC.constr_flg</t>
        </is>
      </c>
      <c r="C33" s="9" t="inlineStr">
        <is>
          <t>1/0</t>
        </is>
      </c>
      <c r="D33" s="10" t="n">
        <v>1</v>
      </c>
      <c r="E33" s="10" t="n">
        <v>0</v>
      </c>
      <c r="F33" s="10" t="n">
        <v>0</v>
      </c>
      <c r="G33" s="10" t="n">
        <v>0</v>
      </c>
      <c r="H33" s="10" t="n">
        <v>0</v>
      </c>
      <c r="I33" s="10" t="n">
        <v>0</v>
      </c>
      <c r="J33" s="10" t="n">
        <v>0</v>
      </c>
      <c r="K33" s="10" t="n">
        <v>0</v>
      </c>
      <c r="L33" s="10" t="n">
        <v>0</v>
      </c>
      <c r="M33" s="10" t="n">
        <v>0</v>
      </c>
      <c r="N33" s="10" t="n">
        <v>0</v>
      </c>
      <c r="O33" s="10" t="n">
        <v>0</v>
      </c>
      <c r="P33" s="10" t="n">
        <v>0</v>
      </c>
    </row>
    <row r="34">
      <c r="A34" t="inlineStr">
        <is>
          <t>پرچم دوره بهره‌برداری (1=بله)</t>
        </is>
      </c>
      <c r="B34" s="8" t="inlineStr">
        <is>
          <t>MAC.ops_flg</t>
        </is>
      </c>
      <c r="C34" s="9" t="inlineStr">
        <is>
          <t>1/0</t>
        </is>
      </c>
      <c r="D34" s="10" t="n">
        <v>0</v>
      </c>
      <c r="E34" s="10" t="n">
        <v>1</v>
      </c>
      <c r="F34" s="10" t="n">
        <v>1</v>
      </c>
      <c r="G34" s="10" t="n">
        <v>1</v>
      </c>
      <c r="H34" s="10" t="n">
        <v>1</v>
      </c>
      <c r="I34" s="10" t="n">
        <v>1</v>
      </c>
      <c r="J34" s="10" t="n">
        <v>1</v>
      </c>
      <c r="K34" s="10" t="n">
        <v>1</v>
      </c>
      <c r="L34" s="10" t="n">
        <v>1</v>
      </c>
      <c r="M34" s="10" t="n">
        <v>1</v>
      </c>
      <c r="N34" s="10" t="n">
        <v>1</v>
      </c>
      <c r="O34" s="10" t="n">
        <v>1</v>
      </c>
      <c r="P34" s="10" t="n">
        <v>1</v>
      </c>
    </row>
    <row r="35"/>
    <row r="36">
      <c r="A36" s="6" t="inlineStr">
        <is>
          <t>ج) یادداشت‌های روش‌شناختی</t>
        </is>
      </c>
      <c r="B36" s="7" t="n"/>
      <c r="C36" s="7" t="n"/>
      <c r="D36" s="7" t="n"/>
      <c r="E36" s="7" t="n"/>
      <c r="F36" s="7" t="n"/>
      <c r="G36" s="7" t="n"/>
      <c r="H36" s="7" t="n"/>
      <c r="I36" s="7" t="n"/>
      <c r="J36" s="7" t="n"/>
      <c r="K36" s="7" t="n"/>
      <c r="L36" s="7" t="n"/>
      <c r="M36" s="7" t="n"/>
      <c r="N36" s="7" t="n"/>
      <c r="O36" s="7" t="n"/>
      <c r="P36" s="7" t="n"/>
    </row>
    <row r="37">
      <c r="A37" s="15" t="inlineStr">
        <is>
          <t>۱. شاخص‌های قیمتی از سال پایه (t=0) ساخته می‌شوند؛ مقدار شاخص در t=0 برابر یک است.</t>
        </is>
      </c>
    </row>
    <row r="38">
      <c r="A38" s="15" t="inlineStr">
        <is>
          <t>۲. نرخ ارز به‌صورت «ریال به ازای هر دلار» وارد می‌شود و مسیر آن مبنای تعدیل اقلام ارزی است.</t>
        </is>
      </c>
    </row>
    <row r="39">
      <c r="A39" s="15" t="inlineStr">
        <is>
          <t>۳. قیمت جهانی سرب (LME) مبنای قیمت‌گذاری محصولاتِ پیوند‌خورده و نیز قیمت خرید باتری ضایعاتی است.</t>
        </is>
      </c>
    </row>
    <row r="40">
      <c r="A40" s="15" t="inlineStr">
        <is>
          <t>۴. روش ارزش پایانی: ۱=رشد دائمی (گوردون)، ۲=ضریب خروج (EV/EBITDA).</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P59"/>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۲. پارامترهای فنی خط تولید (ایستگاه‌های ۱ تا ۶)</t>
        </is>
      </c>
      <c r="B1" s="2" t="inlineStr">
        <is>
          <t>لایه ورودی</t>
        </is>
      </c>
    </row>
    <row r="2">
      <c r="A2" s="3" t="inlineStr">
        <is>
          <t>ظرفیت اسمی و مؤثر، راندمان، ضایعات، زمان‌های توقف و محرک‌های تخصیص هزینه.</t>
        </is>
      </c>
    </row>
    <row r="3"/>
    <row r="4"/>
    <row r="5"/>
    <row r="6"/>
    <row r="7">
      <c r="A7" s="6" t="inlineStr">
        <is>
          <t>الف) پارامترهای سطح کارخانه</t>
        </is>
      </c>
      <c r="B7" s="7" t="n"/>
      <c r="C7" s="7" t="n"/>
      <c r="D7" s="7" t="n"/>
      <c r="E7" s="7" t="n"/>
      <c r="F7" s="7" t="n"/>
      <c r="G7" s="7" t="n"/>
      <c r="H7" s="7" t="n"/>
      <c r="I7" s="7" t="n"/>
      <c r="J7" s="7" t="n"/>
      <c r="K7" s="7" t="n"/>
      <c r="L7" s="7" t="n"/>
      <c r="M7" s="7" t="n"/>
      <c r="N7" s="7" t="n"/>
      <c r="O7" s="7" t="n"/>
      <c r="P7" s="7" t="n"/>
    </row>
    <row r="8">
      <c r="A8" t="inlineStr">
        <is>
          <t>ظرفیت اسمی ورودی باتری</t>
        </is>
      </c>
      <c r="B8" s="8" t="inlineStr">
        <is>
          <t>TECH.cap_in</t>
        </is>
      </c>
      <c r="C8" s="9" t="inlineStr">
        <is>
          <t>تن/سال</t>
        </is>
      </c>
      <c r="D8" s="14" t="n">
        <v>40000</v>
      </c>
    </row>
    <row r="9">
      <c r="A9" t="inlineStr">
        <is>
          <t>روزهای کاری در سال</t>
        </is>
      </c>
      <c r="B9" s="8" t="inlineStr">
        <is>
          <t>TECH.days</t>
        </is>
      </c>
      <c r="C9" s="9" t="inlineStr">
        <is>
          <t>روز</t>
        </is>
      </c>
      <c r="D9" s="14" t="n">
        <v>330</v>
      </c>
    </row>
    <row r="10">
      <c r="A10" t="inlineStr">
        <is>
          <t>شیفت در روز</t>
        </is>
      </c>
      <c r="B10" s="8" t="inlineStr">
        <is>
          <t>TECH.shifts</t>
        </is>
      </c>
      <c r="C10" s="9" t="inlineStr">
        <is>
          <t>شیفت</t>
        </is>
      </c>
      <c r="D10" s="14" t="n">
        <v>3</v>
      </c>
    </row>
    <row r="11">
      <c r="A11" t="inlineStr">
        <is>
          <t>ساعت در شیفت</t>
        </is>
      </c>
      <c r="B11" s="8" t="inlineStr">
        <is>
          <t>TECH.hshift</t>
        </is>
      </c>
      <c r="C11" s="9" t="inlineStr">
        <is>
          <t>ساعت</t>
        </is>
      </c>
      <c r="D11" s="14" t="n">
        <v>8</v>
      </c>
    </row>
    <row r="12">
      <c r="A12" t="inlineStr">
        <is>
          <t>توقف برنامه‌ریزی‌شده</t>
        </is>
      </c>
      <c r="B12" s="8" t="inlineStr">
        <is>
          <t>TECH.dt_plan</t>
        </is>
      </c>
      <c r="C12" s="9" t="inlineStr">
        <is>
          <t>ساعت/سال</t>
        </is>
      </c>
      <c r="D12" s="14" t="n">
        <v>400</v>
      </c>
    </row>
    <row r="13">
      <c r="A13" t="inlineStr">
        <is>
          <t>توقف اضطراری</t>
        </is>
      </c>
      <c r="B13" s="8" t="inlineStr">
        <is>
          <t>TECH.dt_unplan</t>
        </is>
      </c>
      <c r="C13" s="9" t="inlineStr">
        <is>
          <t>ساعت/سال</t>
        </is>
      </c>
      <c r="D13" s="14" t="n">
        <v>300</v>
      </c>
    </row>
    <row r="14"/>
    <row r="15">
      <c r="A15" s="6" t="inlineStr">
        <is>
          <t>ب) عوامل بازیابی و تبدیل مواد</t>
        </is>
      </c>
      <c r="B15" s="7" t="n"/>
      <c r="C15" s="7" t="n"/>
      <c r="D15" s="7" t="n"/>
      <c r="E15" s="7" t="n"/>
      <c r="F15" s="7" t="n"/>
      <c r="G15" s="7" t="n"/>
      <c r="H15" s="7" t="n"/>
      <c r="I15" s="7" t="n"/>
      <c r="J15" s="7" t="n"/>
      <c r="K15" s="7" t="n"/>
      <c r="L15" s="7" t="n"/>
      <c r="M15" s="7" t="n"/>
      <c r="N15" s="7" t="n"/>
      <c r="O15" s="7" t="n"/>
      <c r="P15" s="7" t="n"/>
    </row>
    <row r="16">
      <c r="A16" t="inlineStr">
        <is>
          <t>عیار سرب در خمیر</t>
        </is>
      </c>
      <c r="B16" s="8" t="inlineStr">
        <is>
          <t>TECH.pb_paste</t>
        </is>
      </c>
      <c r="C16" s="9" t="inlineStr">
        <is>
          <t>درصد</t>
        </is>
      </c>
      <c r="D16" s="11" t="n">
        <v>0.72</v>
      </c>
    </row>
    <row r="17">
      <c r="A17" t="inlineStr">
        <is>
          <t>عیار سرب در قطعات فلزی</t>
        </is>
      </c>
      <c r="B17" s="8" t="inlineStr">
        <is>
          <t>TECH.pb_metal</t>
        </is>
      </c>
      <c r="C17" s="9" t="inlineStr">
        <is>
          <t>درصد</t>
        </is>
      </c>
      <c r="D17" s="11" t="n">
        <v>0.95</v>
      </c>
    </row>
    <row r="18">
      <c r="A18" t="inlineStr">
        <is>
          <t>راندمان سولفات‌زدایی</t>
        </is>
      </c>
      <c r="B18" s="8" t="inlineStr">
        <is>
          <t>TECH.desulf</t>
        </is>
      </c>
      <c r="C18" s="9" t="inlineStr">
        <is>
          <t>درصد</t>
        </is>
      </c>
      <c r="D18" s="11" t="n">
        <v>0.95</v>
      </c>
    </row>
    <row r="19">
      <c r="A19" t="inlineStr">
        <is>
          <t>راندمان کوره ذوب و احیا</t>
        </is>
      </c>
      <c r="B19" s="8" t="inlineStr">
        <is>
          <t>TECH.smelt</t>
        </is>
      </c>
      <c r="C19" s="9" t="inlineStr">
        <is>
          <t>درصد</t>
        </is>
      </c>
      <c r="D19" s="11" t="n">
        <v>0.97</v>
      </c>
    </row>
    <row r="20">
      <c r="A20" t="inlineStr">
        <is>
          <t>راندمان تصفیه نهایی</t>
        </is>
      </c>
      <c r="B20" s="8" t="inlineStr">
        <is>
          <t>TECH.refine</t>
        </is>
      </c>
      <c r="C20" s="9" t="inlineStr">
        <is>
          <t>درصد</t>
        </is>
      </c>
      <c r="D20" s="11" t="n">
        <v>0.99</v>
      </c>
    </row>
    <row r="21">
      <c r="A21" t="inlineStr">
        <is>
          <t>راندمان بازیابی پلی‌پروپیلن</t>
        </is>
      </c>
      <c r="B21" s="8" t="inlineStr">
        <is>
          <t>TECH.pp_rec</t>
        </is>
      </c>
      <c r="C21" s="9" t="inlineStr">
        <is>
          <t>درصد</t>
        </is>
      </c>
      <c r="D21" s="11" t="n">
        <v>0.92</v>
      </c>
    </row>
    <row r="22">
      <c r="A22" t="inlineStr">
        <is>
          <t>ضریب تولید سولفات سدیم</t>
        </is>
      </c>
      <c r="B22" s="8" t="inlineStr">
        <is>
          <t>TECH.na2so4</t>
        </is>
      </c>
      <c r="C22" s="9" t="inlineStr">
        <is>
          <t>تن/تن</t>
        </is>
      </c>
      <c r="D22" s="12" t="n">
        <v>0.13</v>
      </c>
    </row>
    <row r="23">
      <c r="A23" t="inlineStr">
        <is>
          <t>سهم سرب خالص از سرب تصفیه‌شده</t>
        </is>
      </c>
      <c r="B23" s="8" t="inlineStr">
        <is>
          <t>TECH.sp_soft</t>
        </is>
      </c>
      <c r="C23" s="9" t="inlineStr">
        <is>
          <t>درصد</t>
        </is>
      </c>
      <c r="D23" s="11" t="n">
        <v>0.6</v>
      </c>
    </row>
    <row r="24">
      <c r="A24" t="inlineStr">
        <is>
          <t>سهم آلیاژ از سرب تصفیه‌شده</t>
        </is>
      </c>
      <c r="B24" s="8" t="inlineStr">
        <is>
          <t>TECH.sp_alloy</t>
        </is>
      </c>
      <c r="C24" s="9" t="inlineStr">
        <is>
          <t>درصد</t>
        </is>
      </c>
      <c r="D24" s="11" t="n">
        <v>0.4</v>
      </c>
    </row>
    <row r="25"/>
    <row r="26">
      <c r="A26" s="6" t="inlineStr">
        <is>
          <t>ج) ترکیب جرمی باتری ورودی (سهم از هر تن)</t>
        </is>
      </c>
      <c r="B26" s="7" t="n"/>
      <c r="C26" s="7" t="n"/>
      <c r="D26" s="7" t="n"/>
      <c r="E26" s="7" t="n"/>
      <c r="F26" s="7" t="n"/>
      <c r="G26" s="7" t="n"/>
      <c r="H26" s="7" t="n"/>
      <c r="I26" s="7" t="n"/>
      <c r="J26" s="7" t="n"/>
      <c r="K26" s="7" t="n"/>
      <c r="L26" s="7" t="n"/>
      <c r="M26" s="7" t="n"/>
      <c r="N26" s="7" t="n"/>
      <c r="O26" s="7" t="n"/>
      <c r="P26" s="7" t="n"/>
    </row>
    <row r="27">
      <c r="A27" t="inlineStr">
        <is>
          <t>خمیر سرب (Paste)</t>
        </is>
      </c>
      <c r="B27" s="8" t="inlineStr">
        <is>
          <t>TECH.sh_paste</t>
        </is>
      </c>
      <c r="C27" s="9" t="inlineStr">
        <is>
          <t>درصد</t>
        </is>
      </c>
      <c r="D27" s="11" t="n">
        <v>0.38</v>
      </c>
    </row>
    <row r="28">
      <c r="A28" t="inlineStr">
        <is>
          <t>قطعات فلزی سربی (Grid / Posts)</t>
        </is>
      </c>
      <c r="B28" s="8" t="inlineStr">
        <is>
          <t>TECH.sh_metal</t>
        </is>
      </c>
      <c r="C28" s="9" t="inlineStr">
        <is>
          <t>درصد</t>
        </is>
      </c>
      <c r="D28" s="11" t="n">
        <v>0.26</v>
      </c>
    </row>
    <row r="29">
      <c r="A29" t="inlineStr">
        <is>
          <t>پلی‌پروپیلن</t>
        </is>
      </c>
      <c r="B29" s="8" t="inlineStr">
        <is>
          <t>TECH.sh_pp</t>
        </is>
      </c>
      <c r="C29" s="9" t="inlineStr">
        <is>
          <t>درصد</t>
        </is>
      </c>
      <c r="D29" s="11" t="n">
        <v>0.09</v>
      </c>
    </row>
    <row r="30">
      <c r="A30" t="inlineStr">
        <is>
          <t>الکترولیت (اسید سولفوریک)</t>
        </is>
      </c>
      <c r="B30" s="8" t="inlineStr">
        <is>
          <t>TECH.sh_elec</t>
        </is>
      </c>
      <c r="C30" s="9" t="inlineStr">
        <is>
          <t>درصد</t>
        </is>
      </c>
      <c r="D30" s="11" t="n">
        <v>0.12</v>
      </c>
    </row>
    <row r="31">
      <c r="A31" t="inlineStr">
        <is>
          <t>جداکننده‌ها و سایر پسماند</t>
        </is>
      </c>
      <c r="B31" s="8" t="inlineStr">
        <is>
          <t>TECH.sh_res</t>
        </is>
      </c>
      <c r="C31" s="9" t="inlineStr">
        <is>
          <t>درصد</t>
        </is>
      </c>
      <c r="D31" s="11" t="n">
        <v>0.15</v>
      </c>
    </row>
    <row r="32"/>
    <row r="33">
      <c r="A33" s="6" t="inlineStr">
        <is>
          <t>د) جدول پارامترهای ایستگاه‌ها</t>
        </is>
      </c>
      <c r="B33" s="7" t="n"/>
      <c r="C33" s="7" t="n"/>
      <c r="D33" s="7" t="n"/>
      <c r="E33" s="7" t="n"/>
      <c r="F33" s="7" t="n"/>
      <c r="G33" s="7" t="n"/>
      <c r="H33" s="7" t="n"/>
      <c r="I33" s="7" t="n"/>
      <c r="J33" s="7" t="n"/>
      <c r="K33" s="7" t="n"/>
      <c r="L33" s="7" t="n"/>
      <c r="M33" s="7" t="n"/>
      <c r="N33" s="7" t="n"/>
      <c r="O33" s="7" t="n"/>
      <c r="P33" s="7" t="n"/>
    </row>
    <row r="34">
      <c r="A34" t="inlineStr">
        <is>
          <t>ایستگاه</t>
        </is>
      </c>
      <c r="D34" s="16" t="inlineStr">
        <is>
          <t>S1</t>
        </is>
      </c>
      <c r="E34" s="16" t="inlineStr">
        <is>
          <t>S2</t>
        </is>
      </c>
      <c r="F34" s="16" t="inlineStr">
        <is>
          <t>S3</t>
        </is>
      </c>
      <c r="G34" s="16" t="inlineStr">
        <is>
          <t>S4</t>
        </is>
      </c>
      <c r="H34" s="16" t="inlineStr">
        <is>
          <t>S5</t>
        </is>
      </c>
      <c r="I34" s="16" t="inlineStr">
        <is>
          <t>S6</t>
        </is>
      </c>
    </row>
    <row r="35">
      <c r="D35" t="inlineStr">
        <is>
          <t>پذیرش، تخلیه و جداسازی الکترولیت</t>
        </is>
      </c>
      <c r="E35" t="inlineStr">
        <is>
          <t>خردایش و جدایش هیدرودینامیکی</t>
        </is>
      </c>
      <c r="F35" t="inlineStr">
        <is>
          <t>سولفات‌زدایی خمیر سرب</t>
        </is>
      </c>
      <c r="G35" t="inlineStr">
        <is>
          <t>کوره ذوب و احیا</t>
        </is>
      </c>
      <c r="H35" t="inlineStr">
        <is>
          <t>تصفیه و آلیاژسازی</t>
        </is>
      </c>
      <c r="I35" t="inlineStr">
        <is>
          <t>شمش‌ریزی، بسته‌بندی و انبار</t>
        </is>
      </c>
    </row>
    <row r="36">
      <c r="A36" t="inlineStr">
        <is>
          <t>ظرفیت اسمی (تن در سال)</t>
        </is>
      </c>
      <c r="B36" s="8" t="inlineStr">
        <is>
          <t>TECH.cap_yr</t>
        </is>
      </c>
      <c r="C36" s="9" t="inlineStr">
        <is>
          <t>تن/سال</t>
        </is>
      </c>
      <c r="D36" s="14" t="n">
        <v>42000</v>
      </c>
      <c r="E36" s="14" t="n">
        <v>42000</v>
      </c>
      <c r="F36" s="14" t="n">
        <v>17000</v>
      </c>
      <c r="G36" s="14" t="n">
        <v>27000</v>
      </c>
      <c r="H36" s="14" t="n">
        <v>21000</v>
      </c>
      <c r="I36" s="14" t="n">
        <v>30000</v>
      </c>
    </row>
    <row r="37">
      <c r="A37" t="inlineStr">
        <is>
          <t>ظرفیت اسمی (تن در ساعت)</t>
        </is>
      </c>
      <c r="B37" s="8" t="inlineStr">
        <is>
          <t>TECH.cap_hr</t>
        </is>
      </c>
      <c r="C37" s="9" t="inlineStr">
        <is>
          <t>تن/ساعت</t>
        </is>
      </c>
      <c r="D37" s="13" t="n">
        <v>6.5</v>
      </c>
      <c r="E37" s="13" t="n">
        <v>6.5</v>
      </c>
      <c r="F37" s="13" t="n">
        <v>2.6</v>
      </c>
      <c r="G37" s="13" t="n">
        <v>4.2</v>
      </c>
      <c r="H37" s="13" t="n">
        <v>3.3</v>
      </c>
      <c r="I37" s="13" t="n">
        <v>4.7</v>
      </c>
    </row>
    <row r="38">
      <c r="A38" t="inlineStr">
        <is>
          <t>نرخ دسترسی (Availability)</t>
        </is>
      </c>
      <c r="B38" s="8" t="inlineStr">
        <is>
          <t>TECH.avail</t>
        </is>
      </c>
      <c r="C38" s="9" t="inlineStr">
        <is>
          <t>درصد</t>
        </is>
      </c>
      <c r="D38" s="11" t="n">
        <v>0.92</v>
      </c>
      <c r="E38" s="11" t="n">
        <v>0.9</v>
      </c>
      <c r="F38" s="11" t="n">
        <v>0.93</v>
      </c>
      <c r="G38" s="11" t="n">
        <v>0.91</v>
      </c>
      <c r="H38" s="11" t="n">
        <v>0.9399999999999999</v>
      </c>
      <c r="I38" s="11" t="n">
        <v>0.95</v>
      </c>
    </row>
    <row r="39">
      <c r="A39" t="inlineStr">
        <is>
          <t>راندمان ایستگاه</t>
        </is>
      </c>
      <c r="B39" s="8" t="inlineStr">
        <is>
          <t>TECH.yield</t>
        </is>
      </c>
      <c r="C39" s="9" t="inlineStr">
        <is>
          <t>درصد</t>
        </is>
      </c>
      <c r="D39" s="17" t="n">
        <v>0.98</v>
      </c>
      <c r="E39" s="17" t="n">
        <v>0.97</v>
      </c>
      <c r="F39" s="17" t="n">
        <v>0.95</v>
      </c>
      <c r="G39" s="17" t="n">
        <v>0.97</v>
      </c>
      <c r="H39" s="17" t="n">
        <v>0.99</v>
      </c>
      <c r="I39" s="17" t="n">
        <v>0.99</v>
      </c>
    </row>
    <row r="40">
      <c r="A40" t="inlineStr">
        <is>
          <t>نرخ ضایعات / دورریز</t>
        </is>
      </c>
      <c r="B40" s="8" t="inlineStr">
        <is>
          <t>TECH.scrap</t>
        </is>
      </c>
      <c r="C40" s="9" t="inlineStr">
        <is>
          <t>درصد</t>
        </is>
      </c>
      <c r="D40" s="17" t="n">
        <v>0.005</v>
      </c>
      <c r="E40" s="17" t="n">
        <v>0.01</v>
      </c>
      <c r="F40" s="17" t="n">
        <v>0.01</v>
      </c>
      <c r="G40" s="17" t="n">
        <v>0.005</v>
      </c>
      <c r="H40" s="17" t="n">
        <v>0.005</v>
      </c>
      <c r="I40" s="17" t="n">
        <v>0.01</v>
      </c>
    </row>
    <row r="41">
      <c r="A41" t="inlineStr">
        <is>
          <t>انرژی ویژه الکتریکی</t>
        </is>
      </c>
      <c r="B41" s="8" t="inlineStr">
        <is>
          <t>TECH.kwh</t>
        </is>
      </c>
      <c r="C41" s="9" t="inlineStr">
        <is>
          <t>kWh/تن</t>
        </is>
      </c>
      <c r="D41" s="14" t="n">
        <v>8</v>
      </c>
      <c r="E41" s="14" t="n">
        <v>22</v>
      </c>
      <c r="F41" s="14" t="n">
        <v>18</v>
      </c>
      <c r="G41" s="14" t="n">
        <v>95</v>
      </c>
      <c r="H41" s="14" t="n">
        <v>40</v>
      </c>
      <c r="I41" s="14" t="n">
        <v>12</v>
      </c>
    </row>
    <row r="42">
      <c r="A42" t="inlineStr">
        <is>
          <t>آب ویژه</t>
        </is>
      </c>
      <c r="B42" s="8" t="inlineStr">
        <is>
          <t>TECH.water</t>
        </is>
      </c>
      <c r="C42" s="9" t="inlineStr">
        <is>
          <t>m3/تن</t>
        </is>
      </c>
      <c r="D42" s="12" t="n">
        <v>0.1</v>
      </c>
      <c r="E42" s="12" t="n">
        <v>0.6</v>
      </c>
      <c r="F42" s="12" t="n">
        <v>1.2</v>
      </c>
      <c r="G42" s="12" t="n">
        <v>0.25</v>
      </c>
      <c r="H42" s="12" t="n">
        <v>0.2</v>
      </c>
      <c r="I42" s="12" t="n">
        <v>0.35</v>
      </c>
    </row>
    <row r="43"/>
    <row r="44">
      <c r="A44" s="6" t="inlineStr">
        <is>
          <t>ه‍) جدول محرک‌های تخصیص هزینه به ایستگاه‌ها</t>
        </is>
      </c>
      <c r="B44" s="7" t="n"/>
      <c r="C44" s="7" t="n"/>
      <c r="D44" s="7" t="n"/>
      <c r="E44" s="7" t="n"/>
      <c r="F44" s="7" t="n"/>
      <c r="G44" s="7" t="n"/>
      <c r="H44" s="7" t="n"/>
      <c r="I44" s="7" t="n"/>
      <c r="J44" s="7" t="n"/>
      <c r="K44" s="7" t="n"/>
      <c r="L44" s="7" t="n"/>
      <c r="M44" s="7" t="n"/>
      <c r="N44" s="7" t="n"/>
      <c r="O44" s="7" t="n"/>
      <c r="P44" s="7" t="n"/>
    </row>
    <row r="45">
      <c r="A45" t="inlineStr">
        <is>
          <t>محرک / ایستگاه</t>
        </is>
      </c>
      <c r="D45" s="16" t="inlineStr">
        <is>
          <t>S1</t>
        </is>
      </c>
      <c r="E45" s="16" t="inlineStr">
        <is>
          <t>S2</t>
        </is>
      </c>
      <c r="F45" s="16" t="inlineStr">
        <is>
          <t>S3</t>
        </is>
      </c>
      <c r="G45" s="16" t="inlineStr">
        <is>
          <t>S4</t>
        </is>
      </c>
      <c r="H45" s="16" t="inlineStr">
        <is>
          <t>S5</t>
        </is>
      </c>
      <c r="I45" s="16" t="inlineStr">
        <is>
          <t>S6</t>
        </is>
      </c>
    </row>
    <row r="46">
      <c r="D46" t="inlineStr">
        <is>
          <t>پذیرش، تخلیه و جداسازی الکترولیت</t>
        </is>
      </c>
      <c r="E46" t="inlineStr">
        <is>
          <t>خردایش و جدایش هیدرودینامیکی</t>
        </is>
      </c>
      <c r="F46" t="inlineStr">
        <is>
          <t>سولفات‌زدایی خمیر سرب</t>
        </is>
      </c>
      <c r="G46" t="inlineStr">
        <is>
          <t>کوره ذوب و احیا</t>
        </is>
      </c>
      <c r="H46" t="inlineStr">
        <is>
          <t>تصفیه و آلیاژسازی</t>
        </is>
      </c>
      <c r="I46" t="inlineStr">
        <is>
          <t>شمش‌ریزی، بسته‌بندی و انبار</t>
        </is>
      </c>
    </row>
    <row r="47">
      <c r="A47" t="inlineStr">
        <is>
          <t>جریان مواد (تن/سال در ظرفیت طراحی)</t>
        </is>
      </c>
      <c r="B47" s="8" t="inlineStr">
        <is>
          <t>THROUGHPUT</t>
        </is>
      </c>
      <c r="C47" s="9" t="inlineStr">
        <is>
          <t>تن/سال</t>
        </is>
      </c>
      <c r="D47" s="14" t="n">
        <v>40000</v>
      </c>
      <c r="E47" s="14" t="n">
        <v>40000</v>
      </c>
      <c r="F47" s="14" t="n">
        <v>15200</v>
      </c>
      <c r="G47" s="14" t="n">
        <v>24840</v>
      </c>
      <c r="H47" s="14" t="n">
        <v>19700</v>
      </c>
      <c r="I47" s="14" t="n">
        <v>27900</v>
      </c>
    </row>
    <row r="48">
      <c r="A48" t="inlineStr">
        <is>
          <t>ساعت کار ماشین در سال (طراحی)</t>
        </is>
      </c>
      <c r="B48" s="8" t="inlineStr">
        <is>
          <t>MACHINE_HOURS</t>
        </is>
      </c>
      <c r="C48" s="9" t="inlineStr">
        <is>
          <t>ساعت/سال</t>
        </is>
      </c>
      <c r="D48" s="14" t="n">
        <v>6000</v>
      </c>
      <c r="E48" s="14" t="n">
        <v>7200</v>
      </c>
      <c r="F48" s="14" t="n">
        <v>6600</v>
      </c>
      <c r="G48" s="14" t="n">
        <v>7920</v>
      </c>
      <c r="H48" s="14" t="n">
        <v>6600</v>
      </c>
      <c r="I48" s="14" t="n">
        <v>7200</v>
      </c>
    </row>
    <row r="49">
      <c r="A49" t="inlineStr">
        <is>
          <t>تعداد نیروی انسانی مستقر</t>
        </is>
      </c>
      <c r="B49" s="8" t="inlineStr">
        <is>
          <t>HEADCOUNT</t>
        </is>
      </c>
      <c r="C49" s="9" t="inlineStr">
        <is>
          <t>نفر</t>
        </is>
      </c>
      <c r="D49" s="14" t="n">
        <v>12</v>
      </c>
      <c r="E49" s="14" t="n">
        <v>18</v>
      </c>
      <c r="F49" s="14" t="n">
        <v>14</v>
      </c>
      <c r="G49" s="14" t="n">
        <v>24</v>
      </c>
      <c r="H49" s="14" t="n">
        <v>16</v>
      </c>
      <c r="I49" s="14" t="n">
        <v>22</v>
      </c>
    </row>
    <row r="50">
      <c r="A50" t="inlineStr">
        <is>
          <t>توان نصب‌شده</t>
        </is>
      </c>
      <c r="B50" s="8" t="inlineStr">
        <is>
          <t>POWER</t>
        </is>
      </c>
      <c r="C50" s="9" t="inlineStr">
        <is>
          <t>کیلووات</t>
        </is>
      </c>
      <c r="D50" s="14" t="n">
        <v>350</v>
      </c>
      <c r="E50" s="14" t="n">
        <v>900</v>
      </c>
      <c r="F50" s="14" t="n">
        <v>650</v>
      </c>
      <c r="G50" s="14" t="n">
        <v>1800</v>
      </c>
      <c r="H50" s="14" t="n">
        <v>900</v>
      </c>
      <c r="I50" s="14" t="n">
        <v>700</v>
      </c>
    </row>
    <row r="51">
      <c r="A51" t="inlineStr">
        <is>
          <t>مساحت اشغالی</t>
        </is>
      </c>
      <c r="B51" s="8" t="inlineStr">
        <is>
          <t>AREA</t>
        </is>
      </c>
      <c r="C51" s="9" t="inlineStr">
        <is>
          <t>m2</t>
        </is>
      </c>
      <c r="D51" s="14" t="n">
        <v>1800</v>
      </c>
      <c r="E51" s="14" t="n">
        <v>1400</v>
      </c>
      <c r="F51" s="14" t="n">
        <v>1200</v>
      </c>
      <c r="G51" s="14" t="n">
        <v>2200</v>
      </c>
      <c r="H51" s="14" t="n">
        <v>1300</v>
      </c>
      <c r="I51" s="14" t="n">
        <v>2600</v>
      </c>
    </row>
    <row r="52">
      <c r="A52" t="inlineStr">
        <is>
          <t>مصرف آب در سال (طراحی)</t>
        </is>
      </c>
      <c r="B52" s="8" t="inlineStr">
        <is>
          <t>WATER</t>
        </is>
      </c>
      <c r="C52" s="9" t="inlineStr">
        <is>
          <t>m3/سال</t>
        </is>
      </c>
      <c r="D52" s="14" t="n">
        <v>3000</v>
      </c>
      <c r="E52" s="14" t="n">
        <v>24000</v>
      </c>
      <c r="F52" s="14" t="n">
        <v>18000</v>
      </c>
      <c r="G52" s="14" t="n">
        <v>6000</v>
      </c>
      <c r="H52" s="14" t="n">
        <v>4000</v>
      </c>
      <c r="I52" s="14" t="n">
        <v>9000</v>
      </c>
    </row>
    <row r="53"/>
    <row r="54">
      <c r="A54" s="15" t="inlineStr">
        <is>
          <t>توضیح: این جدول مبنای توزیع هزینه‌ها بین ایستگاه‌های ۱ تا ۶ است.</t>
        </is>
      </c>
    </row>
    <row r="55"/>
    <row r="56">
      <c r="A56" s="6" t="inlineStr">
        <is>
          <t>و) منحنی بهره‌برداری از ظرفیت (سهم از ظرفیت اسمی)</t>
        </is>
      </c>
      <c r="B56" s="7" t="n"/>
      <c r="C56" s="7" t="n"/>
      <c r="D56" s="7" t="n"/>
      <c r="E56" s="7" t="n"/>
      <c r="F56" s="7" t="n"/>
      <c r="G56" s="7" t="n"/>
      <c r="H56" s="7" t="n"/>
      <c r="I56" s="7" t="n"/>
      <c r="J56" s="7" t="n"/>
      <c r="K56" s="7" t="n"/>
      <c r="L56" s="7" t="n"/>
      <c r="M56" s="7" t="n"/>
      <c r="N56" s="7" t="n"/>
      <c r="O56" s="7" t="n"/>
      <c r="P56" s="7" t="n"/>
    </row>
    <row r="57">
      <c r="A57" s="4" t="inlineStr">
        <is>
          <t>دوره (t)</t>
        </is>
      </c>
      <c r="D57" s="5" t="n">
        <v>0</v>
      </c>
      <c r="E57" s="5" t="n">
        <v>1</v>
      </c>
      <c r="F57" s="5" t="n">
        <v>2</v>
      </c>
      <c r="G57" s="5" t="n">
        <v>3</v>
      </c>
      <c r="H57" s="5" t="n">
        <v>4</v>
      </c>
      <c r="I57" s="5" t="n">
        <v>5</v>
      </c>
      <c r="J57" s="5" t="n">
        <v>6</v>
      </c>
      <c r="K57" s="5" t="n">
        <v>7</v>
      </c>
      <c r="L57" s="5" t="n">
        <v>8</v>
      </c>
      <c r="M57" s="5" t="n">
        <v>9</v>
      </c>
      <c r="N57" s="5" t="n">
        <v>10</v>
      </c>
      <c r="O57" s="5" t="n">
        <v>11</v>
      </c>
      <c r="P57" s="5" t="n">
        <v>12</v>
      </c>
    </row>
    <row r="58">
      <c r="A58" s="4" t="inlineStr">
        <is>
          <t>سال تقویمی</t>
        </is>
      </c>
      <c r="D58" s="5" t="n">
        <v>2026</v>
      </c>
      <c r="E58" s="5" t="n">
        <v>2027</v>
      </c>
      <c r="F58" s="5" t="n">
        <v>2028</v>
      </c>
      <c r="G58" s="5" t="n">
        <v>2029</v>
      </c>
      <c r="H58" s="5" t="n">
        <v>2030</v>
      </c>
      <c r="I58" s="5" t="n">
        <v>2031</v>
      </c>
      <c r="J58" s="5" t="n">
        <v>2032</v>
      </c>
      <c r="K58" s="5" t="n">
        <v>2033</v>
      </c>
      <c r="L58" s="5" t="n">
        <v>2034</v>
      </c>
      <c r="M58" s="5" t="n">
        <v>2035</v>
      </c>
      <c r="N58" s="5" t="n">
        <v>2036</v>
      </c>
      <c r="O58" s="5" t="n">
        <v>2037</v>
      </c>
      <c r="P58" s="5" t="n">
        <v>2038</v>
      </c>
    </row>
    <row r="59">
      <c r="A59" t="inlineStr">
        <is>
          <t>ضریب دستیابی به ظرفیت اسمی</t>
        </is>
      </c>
      <c r="B59" s="8" t="inlineStr">
        <is>
          <t>TECH.ramp</t>
        </is>
      </c>
      <c r="C59" s="9" t="inlineStr">
        <is>
          <t>درصد</t>
        </is>
      </c>
      <c r="D59" s="11" t="n">
        <v>0</v>
      </c>
      <c r="E59" s="11" t="n">
        <v>0.6</v>
      </c>
      <c r="F59" s="11" t="n">
        <v>0.8</v>
      </c>
      <c r="G59" s="11" t="n">
        <v>0.9</v>
      </c>
      <c r="H59" s="11" t="n">
        <v>1</v>
      </c>
      <c r="I59" s="11" t="n">
        <v>1</v>
      </c>
      <c r="J59" s="11" t="n">
        <v>1</v>
      </c>
      <c r="K59" s="11" t="n">
        <v>1</v>
      </c>
      <c r="L59" s="11" t="n">
        <v>1</v>
      </c>
      <c r="M59" s="11" t="n">
        <v>1</v>
      </c>
      <c r="N59" s="11" t="n">
        <v>1</v>
      </c>
      <c r="O59" s="11" t="n">
        <v>1</v>
      </c>
      <c r="P59" s="11" t="n">
        <v>1</v>
      </c>
    </row>
  </sheetData>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P24"/>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۳. مفروضات قیمت‌گذاری و فروش</t>
        </is>
      </c>
      <c r="B1" s="2" t="inlineStr">
        <is>
          <t>لایه ورودی</t>
        </is>
      </c>
    </row>
    <row r="2">
      <c r="A2" s="3" t="inlineStr">
        <is>
          <t>قیمت پایه، پیوند به قیمت جهانی، ترکیب سبد محصولات و سیاست‌های تخفیف و اعتبار.</t>
        </is>
      </c>
    </row>
    <row r="3"/>
    <row r="4"/>
    <row r="5"/>
    <row r="6"/>
    <row r="7">
      <c r="A7" s="6" t="inlineStr">
        <is>
          <t>الف) ویژگی‌های سبد محصولات</t>
        </is>
      </c>
      <c r="B7" s="7" t="n"/>
      <c r="C7" s="7" t="n"/>
      <c r="D7" s="7" t="n"/>
      <c r="E7" s="7" t="n"/>
      <c r="F7" s="7" t="n"/>
      <c r="G7" s="7" t="n"/>
      <c r="H7" s="7" t="n"/>
      <c r="I7" s="7" t="n"/>
      <c r="J7" s="7" t="n"/>
      <c r="K7" s="7" t="n"/>
      <c r="L7" s="7" t="n"/>
      <c r="M7" s="7" t="n"/>
      <c r="N7" s="7" t="n"/>
      <c r="O7" s="7" t="n"/>
      <c r="P7" s="7" t="n"/>
    </row>
    <row r="8">
      <c r="A8" t="inlineStr">
        <is>
          <t>محصول</t>
        </is>
      </c>
      <c r="D8" s="16" t="inlineStr">
        <is>
          <t>P1</t>
        </is>
      </c>
      <c r="E8" s="16" t="inlineStr">
        <is>
          <t>P2</t>
        </is>
      </c>
      <c r="F8" s="16" t="inlineStr">
        <is>
          <t>P3</t>
        </is>
      </c>
      <c r="G8" s="16" t="inlineStr">
        <is>
          <t>P4</t>
        </is>
      </c>
    </row>
    <row r="9">
      <c r="D9" t="inlineStr">
        <is>
          <t>شمش سرب خالص (Pb 99.97)</t>
        </is>
      </c>
      <c r="E9" t="inlineStr">
        <is>
          <t>شمش آلیاژ سرب (Pb-Sb / Pb-Ca)</t>
        </is>
      </c>
      <c r="F9" t="inlineStr">
        <is>
          <t>گرانول پلی‌پروپیلن بازیافتی</t>
        </is>
      </c>
      <c r="G9" t="inlineStr">
        <is>
          <t>سولفات سدیم (محصول جانبی)</t>
        </is>
      </c>
    </row>
    <row r="10">
      <c r="A10" t="inlineStr">
        <is>
          <t>قیمت پایه (سال پایه)</t>
        </is>
      </c>
      <c r="B10" s="8" t="inlineStr">
        <is>
          <t>SAL.price</t>
        </is>
      </c>
      <c r="C10" s="9" t="inlineStr">
        <is>
          <t>میلیون ریال/تن</t>
        </is>
      </c>
      <c r="D10" s="14" t="n">
        <v>1050</v>
      </c>
      <c r="E10" s="14" t="n">
        <v>1082</v>
      </c>
      <c r="F10" s="14" t="n">
        <v>325</v>
      </c>
      <c r="G10" s="14" t="n">
        <v>60</v>
      </c>
    </row>
    <row r="11">
      <c r="A11" t="inlineStr">
        <is>
          <t>پیوند قیمت به LME (1=بله/0=خیر)</t>
        </is>
      </c>
      <c r="B11" s="8" t="inlineStr">
        <is>
          <t>SAL.lme</t>
        </is>
      </c>
      <c r="C11" s="9" t="inlineStr">
        <is>
          <t>1/0</t>
        </is>
      </c>
      <c r="D11" s="10" t="n">
        <v>1</v>
      </c>
      <c r="E11" s="10" t="n">
        <v>1</v>
      </c>
      <c r="F11" s="10" t="n">
        <v>0</v>
      </c>
      <c r="G11" s="10" t="n">
        <v>0</v>
      </c>
    </row>
    <row r="12">
      <c r="A12" t="inlineStr">
        <is>
          <t>ضریب تعدیل نسبت به LME</t>
        </is>
      </c>
      <c r="B12" s="8" t="inlineStr">
        <is>
          <t>SAL.lmef</t>
        </is>
      </c>
      <c r="C12" s="9" t="inlineStr">
        <is>
          <t>ضریب</t>
        </is>
      </c>
      <c r="D12" s="12" t="n">
        <v>1</v>
      </c>
      <c r="E12" s="12" t="n">
        <v>1.03</v>
      </c>
      <c r="F12" s="12" t="n">
        <v>1</v>
      </c>
      <c r="G12" s="12" t="n">
        <v>1</v>
      </c>
    </row>
    <row r="13">
      <c r="A13" t="inlineStr">
        <is>
          <t>نرخ رشد سالانه قیمت داخلی</t>
        </is>
      </c>
      <c r="B13" s="8" t="inlineStr">
        <is>
          <t>SAL.esc</t>
        </is>
      </c>
      <c r="C13" s="9" t="inlineStr">
        <is>
          <t>درصد</t>
        </is>
      </c>
      <c r="D13" s="11" t="n">
        <v>0.2</v>
      </c>
      <c r="E13" s="11" t="n">
        <v>0.2</v>
      </c>
      <c r="F13" s="11" t="n">
        <v>0.22</v>
      </c>
      <c r="G13" s="11" t="n">
        <v>0.2</v>
      </c>
    </row>
    <row r="14">
      <c r="A14" t="inlineStr">
        <is>
          <t>سهم ارزی (صادراتی/شاخص ارز)</t>
        </is>
      </c>
      <c r="B14" s="8" t="inlineStr">
        <is>
          <t>SAL.fxsh</t>
        </is>
      </c>
      <c r="C14" s="9" t="inlineStr">
        <is>
          <t>درصد</t>
        </is>
      </c>
      <c r="D14" s="11" t="n">
        <v>0.35</v>
      </c>
      <c r="E14" s="11" t="n">
        <v>0.35</v>
      </c>
      <c r="F14" s="11" t="n">
        <v>0.1</v>
      </c>
      <c r="G14" s="11" t="n">
        <v>0.5</v>
      </c>
    </row>
    <row r="15">
      <c r="A15" t="inlineStr">
        <is>
          <t>نرخ تخفیف و برگشت از فروش</t>
        </is>
      </c>
      <c r="B15" s="8" t="inlineStr">
        <is>
          <t>SAL.disc</t>
        </is>
      </c>
      <c r="C15" s="9" t="inlineStr">
        <is>
          <t>درصد</t>
        </is>
      </c>
      <c r="D15" s="17" t="n">
        <v>0.015</v>
      </c>
      <c r="E15" s="17" t="n">
        <v>0.015</v>
      </c>
      <c r="F15" s="17" t="n">
        <v>0.03</v>
      </c>
      <c r="G15" s="17" t="n">
        <v>0.05</v>
      </c>
    </row>
    <row r="16">
      <c r="A16" t="inlineStr">
        <is>
          <t>ضریب تحقق فروش (فروش/تولید)</t>
        </is>
      </c>
      <c r="B16" s="8" t="inlineStr">
        <is>
          <t>SAL.real</t>
        </is>
      </c>
      <c r="C16" s="9" t="inlineStr">
        <is>
          <t>ضریب</t>
        </is>
      </c>
      <c r="D16" s="12" t="n">
        <v>1</v>
      </c>
      <c r="E16" s="12" t="n">
        <v>1</v>
      </c>
      <c r="F16" s="12" t="n">
        <v>0.98</v>
      </c>
      <c r="G16" s="12" t="n">
        <v>0.95</v>
      </c>
    </row>
    <row r="17"/>
    <row r="18">
      <c r="A18" s="6" t="inlineStr">
        <is>
          <t>ب) سیاست‌های اعتباری و فروش</t>
        </is>
      </c>
      <c r="B18" s="7" t="n"/>
      <c r="C18" s="7" t="n"/>
      <c r="D18" s="7" t="n"/>
      <c r="E18" s="7" t="n"/>
      <c r="F18" s="7" t="n"/>
      <c r="G18" s="7" t="n"/>
      <c r="H18" s="7" t="n"/>
      <c r="I18" s="7" t="n"/>
      <c r="J18" s="7" t="n"/>
      <c r="K18" s="7" t="n"/>
      <c r="L18" s="7" t="n"/>
      <c r="M18" s="7" t="n"/>
      <c r="N18" s="7" t="n"/>
      <c r="O18" s="7" t="n"/>
      <c r="P18" s="7" t="n"/>
    </row>
    <row r="19">
      <c r="A19" t="inlineStr">
        <is>
          <t>نرخ برگشت از فروش و ادعاهای کیفی</t>
        </is>
      </c>
      <c r="B19" s="8" t="inlineStr">
        <is>
          <t>SAL.disc_late</t>
        </is>
      </c>
      <c r="C19" s="9" t="inlineStr">
        <is>
          <t>درصد</t>
        </is>
      </c>
      <c r="D19" s="17" t="n">
        <v>0.01</v>
      </c>
    </row>
    <row r="20">
      <c r="A20" t="inlineStr">
        <is>
          <t>دوره بازنگری قیمت‌ها (ماه)</t>
        </is>
      </c>
      <c r="B20" s="8" t="inlineStr">
        <is>
          <t>SAL.price_rev</t>
        </is>
      </c>
      <c r="C20" s="9" t="inlineStr">
        <is>
          <t>ماه</t>
        </is>
      </c>
      <c r="D20" s="14" t="n">
        <v>3</v>
      </c>
    </row>
    <row r="21">
      <c r="A21" t="inlineStr">
        <is>
          <t>سهم فروش قراردادی بلندمدت</t>
        </is>
      </c>
      <c r="B21" s="8" t="inlineStr">
        <is>
          <t>SAL.contract</t>
        </is>
      </c>
      <c r="C21" s="9" t="inlineStr">
        <is>
          <t>درصد</t>
        </is>
      </c>
      <c r="D21" s="11" t="n">
        <v>0.4</v>
      </c>
    </row>
    <row r="22">
      <c r="A22" t="inlineStr">
        <is>
          <t>سهم فروش نقدی/فوری</t>
        </is>
      </c>
      <c r="B22" s="8" t="inlineStr">
        <is>
          <t>SAL.spot</t>
        </is>
      </c>
      <c r="C22" s="9" t="inlineStr">
        <is>
          <t>درصد</t>
        </is>
      </c>
      <c r="D22" s="11" t="n">
        <v>0.6</v>
      </c>
    </row>
    <row r="23"/>
    <row r="24">
      <c r="A24" s="15" t="inlineStr">
        <is>
          <t>توضیح: «سهم ارزی» نشان می‌دهد چه بخشی از درآمدِ هر محصول با نرخ ارز تعدیل می‌شود (مبنای تحلیل حساسیت ارزی).</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P65"/>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۴. پارامترهای هزینه‌ای (FPC / OPC / DPC)</t>
        </is>
      </c>
      <c r="B1" s="2" t="inlineStr">
        <is>
          <t>لایه ورودی</t>
        </is>
      </c>
    </row>
    <row r="2">
      <c r="A2" s="3" t="inlineStr">
        <is>
          <t>نرخ‌های واحد، پرسنل، مراکز هزینهٔ خدماتی و ماتریس اقلام هزینه با مبنای محاسبه و تخصیص.</t>
        </is>
      </c>
    </row>
    <row r="3"/>
    <row r="4"/>
    <row r="5"/>
    <row r="6"/>
    <row r="7">
      <c r="A7" s="6" t="inlineStr">
        <is>
          <t>الف) نرخ‌ها و پارامترهای پایه</t>
        </is>
      </c>
      <c r="B7" s="7" t="n"/>
      <c r="C7" s="7" t="n"/>
      <c r="D7" s="7" t="n"/>
      <c r="E7" s="7" t="n"/>
      <c r="F7" s="7" t="n"/>
      <c r="G7" s="7" t="n"/>
      <c r="H7" s="7" t="n"/>
      <c r="I7" s="7" t="n"/>
      <c r="J7" s="7" t="n"/>
      <c r="K7" s="7" t="n"/>
      <c r="L7" s="7" t="n"/>
      <c r="M7" s="7" t="n"/>
      <c r="N7" s="7" t="n"/>
      <c r="O7" s="7" t="n"/>
      <c r="P7" s="7" t="n"/>
    </row>
    <row r="8">
      <c r="A8" t="inlineStr">
        <is>
          <t>سهم ارزی هزینه‌های متغیر</t>
        </is>
      </c>
      <c r="B8" s="8" t="inlineStr">
        <is>
          <t>CST.fx_var</t>
        </is>
      </c>
      <c r="C8" s="9" t="inlineStr">
        <is>
          <t>درصد</t>
        </is>
      </c>
      <c r="D8" s="11" t="n">
        <v>0.2</v>
      </c>
    </row>
    <row r="9">
      <c r="A9" t="inlineStr">
        <is>
          <t>سهم ارزی هزینه‌های ثابت</t>
        </is>
      </c>
      <c r="B9" s="8" t="inlineStr">
        <is>
          <t>CST.fx_fix</t>
        </is>
      </c>
      <c r="C9" s="9" t="inlineStr">
        <is>
          <t>درصد</t>
        </is>
      </c>
      <c r="D9" s="11" t="n">
        <v>0.05</v>
      </c>
    </row>
    <row r="10">
      <c r="A10" t="inlineStr">
        <is>
          <t>ماه‌های پرداخت حقوق در سال</t>
        </is>
      </c>
      <c r="B10" s="8" t="inlineStr">
        <is>
          <t>CST.months</t>
        </is>
      </c>
      <c r="C10" s="9" t="inlineStr">
        <is>
          <t>ماه</t>
        </is>
      </c>
      <c r="D10" s="14" t="n">
        <v>12</v>
      </c>
    </row>
    <row r="11">
      <c r="A11" t="inlineStr">
        <is>
          <t>ضریب مزایا، عیدی و سنوات</t>
        </is>
      </c>
      <c r="B11" s="8" t="inlineStr">
        <is>
          <t>CST.bonus</t>
        </is>
      </c>
      <c r="C11" s="9" t="inlineStr">
        <is>
          <t>ضریب</t>
        </is>
      </c>
      <c r="D11" s="12" t="n">
        <v>1.08</v>
      </c>
    </row>
    <row r="12"/>
    <row r="13">
      <c r="A13" s="6" t="inlineStr">
        <is>
          <t>ب) پرسنل (تعداد و حقوق ماهانهٔ پایه)</t>
        </is>
      </c>
      <c r="B13" s="7" t="n"/>
      <c r="C13" s="7" t="n"/>
      <c r="D13" s="7" t="n"/>
      <c r="E13" s="7" t="n"/>
      <c r="F13" s="7" t="n"/>
      <c r="G13" s="7" t="n"/>
      <c r="H13" s="7" t="n"/>
      <c r="I13" s="7" t="n"/>
      <c r="J13" s="7" t="n"/>
      <c r="K13" s="7" t="n"/>
      <c r="L13" s="7" t="n"/>
      <c r="M13" s="7" t="n"/>
      <c r="N13" s="7" t="n"/>
      <c r="O13" s="7" t="n"/>
      <c r="P13" s="7" t="n"/>
    </row>
    <row r="14">
      <c r="D14" s="16" t="inlineStr">
        <is>
          <t>کد طبقه</t>
        </is>
      </c>
      <c r="E14" s="16" t="inlineStr">
        <is>
          <t>تعداد نفر</t>
        </is>
      </c>
      <c r="F14" s="16" t="inlineStr">
        <is>
          <t>حقوق ماهانه</t>
        </is>
      </c>
      <c r="G14" s="16" t="inlineStr">
        <is>
          <t>واحد</t>
        </is>
      </c>
    </row>
    <row r="15">
      <c r="A15" t="inlineStr">
        <is>
          <t>تولید مستقیم</t>
        </is>
      </c>
      <c r="B15" s="8" t="inlineStr">
        <is>
          <t>PAY1</t>
        </is>
      </c>
      <c r="D15" s="14" t="n">
        <v>96</v>
      </c>
      <c r="E15" s="18" t="n">
        <v>250</v>
      </c>
      <c r="F15" s="19" t="inlineStr">
        <is>
          <t>نفر / میلیون ریال</t>
        </is>
      </c>
    </row>
    <row r="16">
      <c r="A16" t="inlineStr">
        <is>
          <t>تولید غیرمستقیم</t>
        </is>
      </c>
      <c r="B16" s="8" t="inlineStr">
        <is>
          <t>PAY2</t>
        </is>
      </c>
      <c r="D16" s="14" t="n">
        <v>24</v>
      </c>
      <c r="E16" s="18" t="n">
        <v>320</v>
      </c>
      <c r="F16" s="19" t="inlineStr">
        <is>
          <t>نفر / میلیون ریال</t>
        </is>
      </c>
    </row>
    <row r="17">
      <c r="A17" t="inlineStr">
        <is>
          <t>نگهداری و تعمیرات</t>
        </is>
      </c>
      <c r="B17" s="8" t="inlineStr">
        <is>
          <t>PAY3</t>
        </is>
      </c>
      <c r="D17" s="14" t="n">
        <v>18</v>
      </c>
      <c r="E17" s="18" t="n">
        <v>300</v>
      </c>
      <c r="F17" s="19" t="inlineStr">
        <is>
          <t>نفر / میلیون ریال</t>
        </is>
      </c>
    </row>
    <row r="18">
      <c r="A18" t="inlineStr">
        <is>
          <t>اداری و مالی</t>
        </is>
      </c>
      <c r="B18" s="8" t="inlineStr">
        <is>
          <t>PAY4</t>
        </is>
      </c>
      <c r="D18" s="14" t="n">
        <v>22</v>
      </c>
      <c r="E18" s="18" t="n">
        <v>380</v>
      </c>
      <c r="F18" s="19" t="inlineStr">
        <is>
          <t>نفر / میلیون ریال</t>
        </is>
      </c>
    </row>
    <row r="19">
      <c r="A19" t="inlineStr">
        <is>
          <t>فروش و بازاریابی</t>
        </is>
      </c>
      <c r="B19" s="8" t="inlineStr">
        <is>
          <t>PAY5</t>
        </is>
      </c>
      <c r="D19" s="14" t="n">
        <v>8</v>
      </c>
      <c r="E19" s="18" t="n">
        <v>350</v>
      </c>
      <c r="F19" s="19" t="inlineStr">
        <is>
          <t>نفر / میلیون ریال</t>
        </is>
      </c>
    </row>
    <row r="20"/>
    <row r="21">
      <c r="A21" s="6" t="inlineStr">
        <is>
          <t>ج) مراکز هزینهٔ خدماتی</t>
        </is>
      </c>
      <c r="B21" s="7" t="n"/>
      <c r="C21" s="7" t="n"/>
      <c r="D21" s="7" t="n"/>
      <c r="E21" s="7" t="n"/>
      <c r="F21" s="7" t="n"/>
      <c r="G21" s="7" t="n"/>
      <c r="H21" s="7" t="n"/>
      <c r="I21" s="7" t="n"/>
      <c r="J21" s="7" t="n"/>
      <c r="K21" s="7" t="n"/>
      <c r="L21" s="7" t="n"/>
      <c r="M21" s="7" t="n"/>
      <c r="N21" s="7" t="n"/>
      <c r="O21" s="7" t="n"/>
      <c r="P21" s="7" t="n"/>
    </row>
    <row r="22">
      <c r="D22" s="16" t="inlineStr">
        <is>
          <t>نام مرکز</t>
        </is>
      </c>
      <c r="E22" s="16" t="inlineStr">
        <is>
          <t>محرک تخصیص</t>
        </is>
      </c>
      <c r="F22" s="16" t="inlineStr">
        <is>
          <t>هزینه سالانهٔ پایه</t>
        </is>
      </c>
      <c r="G22" s="16" t="inlineStr">
        <is>
          <t>رفتار</t>
        </is>
      </c>
      <c r="H22" s="16" t="inlineStr">
        <is>
          <t>ترتیب</t>
        </is>
      </c>
    </row>
    <row r="23">
      <c r="A23" t="inlineStr">
        <is>
          <t>نگهداری و تعمیرات مرکزی</t>
        </is>
      </c>
      <c r="B23" s="8" t="inlineStr">
        <is>
          <t>SC1</t>
        </is>
      </c>
      <c r="D23" s="20" t="inlineStr">
        <is>
          <t>نگهداری و تعمیرات مرکزی</t>
        </is>
      </c>
      <c r="E23" s="20" t="inlineStr">
        <is>
          <t>MACHINE_HOURS</t>
        </is>
      </c>
      <c r="F23" s="18" t="n">
        <v>300000</v>
      </c>
      <c r="G23" s="20" t="inlineStr">
        <is>
          <t>F</t>
        </is>
      </c>
      <c r="H23" s="20" t="n">
        <v>1</v>
      </c>
    </row>
    <row r="24">
      <c r="A24" t="inlineStr">
        <is>
          <t>منابع انسانی و خدمات پشتیبانی</t>
        </is>
      </c>
      <c r="B24" s="8" t="inlineStr">
        <is>
          <t>SC2</t>
        </is>
      </c>
      <c r="D24" s="20" t="inlineStr">
        <is>
          <t>منابع انسانی و خدمات پشتیبانی</t>
        </is>
      </c>
      <c r="E24" s="20" t="inlineStr">
        <is>
          <t>HEADCOUNT</t>
        </is>
      </c>
      <c r="F24" s="18" t="n">
        <v>100000</v>
      </c>
      <c r="G24" s="20" t="inlineStr">
        <is>
          <t>F</t>
        </is>
      </c>
      <c r="H24" s="20" t="n">
        <v>2</v>
      </c>
    </row>
    <row r="25">
      <c r="A25" t="inlineStr">
        <is>
          <t>لجستیک و انبارداری</t>
        </is>
      </c>
      <c r="B25" s="8" t="inlineStr">
        <is>
          <t>SC3</t>
        </is>
      </c>
      <c r="D25" s="20" t="inlineStr">
        <is>
          <t>لجستیک و انبارداری</t>
        </is>
      </c>
      <c r="E25" s="20" t="inlineStr">
        <is>
          <t>THROUGHPUT</t>
        </is>
      </c>
      <c r="F25" s="18" t="n">
        <v>150000</v>
      </c>
      <c r="G25" s="20" t="inlineStr">
        <is>
          <t>F</t>
        </is>
      </c>
      <c r="H25" s="20" t="n">
        <v>3</v>
      </c>
    </row>
    <row r="26">
      <c r="A26" t="inlineStr">
        <is>
          <t>تصفیه‌خانه و محیط‌زیست</t>
        </is>
      </c>
      <c r="B26" s="8" t="inlineStr">
        <is>
          <t>SC4</t>
        </is>
      </c>
      <c r="D26" s="20" t="inlineStr">
        <is>
          <t>تصفیه‌خانه و محیط‌زیست</t>
        </is>
      </c>
      <c r="E26" s="20" t="inlineStr">
        <is>
          <t>WATER</t>
        </is>
      </c>
      <c r="F26" s="18" t="n">
        <v>250000</v>
      </c>
      <c r="G26" s="20" t="inlineStr">
        <is>
          <t>V</t>
        </is>
      </c>
      <c r="H26" s="20" t="n">
        <v>4</v>
      </c>
    </row>
    <row r="27">
      <c r="A27" t="inlineStr">
        <is>
          <t>آزمایشگاه و کنترل کیفیت</t>
        </is>
      </c>
      <c r="B27" s="8" t="inlineStr">
        <is>
          <t>SC5</t>
        </is>
      </c>
      <c r="D27" s="20" t="inlineStr">
        <is>
          <t>آزمایشگاه و کنترل کیفیت</t>
        </is>
      </c>
      <c r="E27" s="20" t="inlineStr">
        <is>
          <t>THROUGHPUT</t>
        </is>
      </c>
      <c r="F27" s="18" t="n">
        <v>80000</v>
      </c>
      <c r="G27" s="20" t="inlineStr">
        <is>
          <t>V</t>
        </is>
      </c>
      <c r="H27" s="20" t="n">
        <v>5</v>
      </c>
    </row>
    <row r="28"/>
    <row r="29">
      <c r="A29" s="15" t="inlineStr">
        <is>
          <t>رفتار هزینه: V = متغیر (تابع حجم)، F = ثابت (سالانه).</t>
        </is>
      </c>
    </row>
    <row r="30"/>
    <row r="31">
      <c r="A31" s="6" t="inlineStr">
        <is>
          <t>د) ماتریس اقلام هزینه (مبنای محاسبه، تعدیل و تخصیص)</t>
        </is>
      </c>
      <c r="B31" s="7" t="n"/>
      <c r="C31" s="7" t="n"/>
      <c r="D31" s="7" t="n"/>
      <c r="E31" s="7" t="n"/>
      <c r="F31" s="7" t="n"/>
      <c r="G31" s="7" t="n"/>
      <c r="H31" s="7" t="n"/>
      <c r="I31" s="7" t="n"/>
      <c r="J31" s="7" t="n"/>
      <c r="K31" s="7" t="n"/>
      <c r="L31" s="7" t="n"/>
      <c r="M31" s="7" t="n"/>
      <c r="N31" s="7" t="n"/>
      <c r="O31" s="7" t="n"/>
      <c r="P31" s="7" t="n"/>
    </row>
    <row r="32">
      <c r="D32" s="16" t="inlineStr">
        <is>
          <t>طبقه</t>
        </is>
      </c>
      <c r="E32" s="16" t="inlineStr">
        <is>
          <t>مبنای محاسبه</t>
        </is>
      </c>
      <c r="F32" s="16" t="inlineStr">
        <is>
          <t>پارامتر / مرجع</t>
        </is>
      </c>
      <c r="G32" s="16" t="inlineStr">
        <is>
          <t>شاخص تعدیل</t>
        </is>
      </c>
      <c r="H32" s="16" t="inlineStr">
        <is>
          <t>مبنای تخصیص</t>
        </is>
      </c>
      <c r="I32" s="16" t="inlineStr">
        <is>
          <t>رفتار</t>
        </is>
      </c>
    </row>
    <row r="33">
      <c r="A33" t="inlineStr">
        <is>
          <t>باتری ضایعاتی (مواد اولیه اصلی)</t>
        </is>
      </c>
      <c r="B33" s="8" t="inlineStr">
        <is>
          <t>DPC-01</t>
        </is>
      </c>
      <c r="C33" s="19" t="inlineStr">
        <is>
          <t>میلیون ریال/تن</t>
        </is>
      </c>
      <c r="D33" s="20" t="inlineStr">
        <is>
          <t>DPC</t>
        </is>
      </c>
      <c r="E33" s="20" t="inlineStr">
        <is>
          <t>SCRAP_LME</t>
        </is>
      </c>
      <c r="F33" s="18" t="n">
        <v>348</v>
      </c>
      <c r="G33" s="20" t="inlineStr">
        <is>
          <t>NONE</t>
        </is>
      </c>
      <c r="H33" s="20" t="inlineStr">
        <is>
          <t>THROUGHPUT</t>
        </is>
      </c>
      <c r="I33" s="20" t="inlineStr">
        <is>
          <t>V</t>
        </is>
      </c>
    </row>
    <row r="34">
      <c r="A34" t="inlineStr">
        <is>
          <t>مواد مصرفی و واکنشگرها</t>
        </is>
      </c>
      <c r="B34" s="8" t="inlineStr">
        <is>
          <t>DPC-02</t>
        </is>
      </c>
      <c r="C34" s="19" t="inlineStr">
        <is>
          <t>میلیون ریال/تن</t>
        </is>
      </c>
      <c r="D34" s="20" t="inlineStr">
        <is>
          <t>DPC</t>
        </is>
      </c>
      <c r="E34" s="20" t="inlineStr">
        <is>
          <t>PER_TON_BATT</t>
        </is>
      </c>
      <c r="F34" s="18" t="n">
        <v>15</v>
      </c>
      <c r="G34" s="20" t="inlineStr">
        <is>
          <t>CPI</t>
        </is>
      </c>
      <c r="H34" s="20" t="inlineStr">
        <is>
          <t>THROUGHPUT</t>
        </is>
      </c>
      <c r="I34" s="20" t="inlineStr">
        <is>
          <t>V</t>
        </is>
      </c>
    </row>
    <row r="35">
      <c r="A35" t="inlineStr">
        <is>
          <t>دستمزد مستقیم تولید</t>
        </is>
      </c>
      <c r="B35" s="8" t="inlineStr">
        <is>
          <t>DPC-03</t>
        </is>
      </c>
      <c r="C35" s="19" t="inlineStr">
        <is>
          <t>─</t>
        </is>
      </c>
      <c r="D35" s="20" t="inlineStr">
        <is>
          <t>DPC</t>
        </is>
      </c>
      <c r="E35" s="20" t="inlineStr">
        <is>
          <t>PAY</t>
        </is>
      </c>
      <c r="F35" s="20" t="inlineStr">
        <is>
          <t>PAY:1</t>
        </is>
      </c>
      <c r="G35" s="20" t="inlineStr">
        <is>
          <t>WAGE</t>
        </is>
      </c>
      <c r="H35" s="20" t="inlineStr">
        <is>
          <t>HEADCOUNT</t>
        </is>
      </c>
      <c r="I35" s="20" t="inlineStr">
        <is>
          <t>V</t>
        </is>
      </c>
    </row>
    <row r="36">
      <c r="A36" t="inlineStr">
        <is>
          <t>مواد بسته‌بندی</t>
        </is>
      </c>
      <c r="B36" s="8" t="inlineStr">
        <is>
          <t>DPC-04</t>
        </is>
      </c>
      <c r="C36" s="19" t="inlineStr">
        <is>
          <t>میلیون ریال/تن</t>
        </is>
      </c>
      <c r="D36" s="20" t="inlineStr">
        <is>
          <t>DPC</t>
        </is>
      </c>
      <c r="E36" s="20" t="inlineStr">
        <is>
          <t>PER_TON_PROD</t>
        </is>
      </c>
      <c r="F36" s="18" t="n">
        <v>4</v>
      </c>
      <c r="G36" s="20" t="inlineStr">
        <is>
          <t>CPI</t>
        </is>
      </c>
      <c r="H36" s="20" t="inlineStr">
        <is>
          <t>THROUGHPUT</t>
        </is>
      </c>
      <c r="I36" s="20" t="inlineStr">
        <is>
          <t>V</t>
        </is>
      </c>
    </row>
    <row r="37">
      <c r="A37" t="inlineStr">
        <is>
          <t>حمل‌ونقل ورودی مواد</t>
        </is>
      </c>
      <c r="B37" s="8" t="inlineStr">
        <is>
          <t>DPC-05</t>
        </is>
      </c>
      <c r="C37" s="19" t="inlineStr">
        <is>
          <t>میلیون ریال/تن</t>
        </is>
      </c>
      <c r="D37" s="20" t="inlineStr">
        <is>
          <t>DPC</t>
        </is>
      </c>
      <c r="E37" s="20" t="inlineStr">
        <is>
          <t>PER_TON_BATT</t>
        </is>
      </c>
      <c r="F37" s="18" t="n">
        <v>6</v>
      </c>
      <c r="G37" s="20" t="inlineStr">
        <is>
          <t>CPI</t>
        </is>
      </c>
      <c r="H37" s="20" t="inlineStr">
        <is>
          <t>THROUGHPUT</t>
        </is>
      </c>
      <c r="I37" s="20" t="inlineStr">
        <is>
          <t>V</t>
        </is>
      </c>
    </row>
    <row r="38">
      <c r="A38" t="inlineStr">
        <is>
          <t>انرژی الکتریکی فرآیندی</t>
        </is>
      </c>
      <c r="B38" s="8" t="inlineStr">
        <is>
          <t>DPC-06</t>
        </is>
      </c>
      <c r="C38" s="19" t="inlineStr">
        <is>
          <t>میلیون ریال/kWh</t>
        </is>
      </c>
      <c r="D38" s="20" t="inlineStr">
        <is>
          <t>DPC</t>
        </is>
      </c>
      <c r="E38" s="20" t="inlineStr">
        <is>
          <t>PER_KWH</t>
        </is>
      </c>
      <c r="F38" s="21" t="n">
        <v>0.006</v>
      </c>
      <c r="G38" s="20" t="inlineStr">
        <is>
          <t>ENERGY</t>
        </is>
      </c>
      <c r="H38" s="20" t="inlineStr">
        <is>
          <t>MACHINE_HOURS</t>
        </is>
      </c>
      <c r="I38" s="20" t="inlineStr">
        <is>
          <t>V</t>
        </is>
      </c>
    </row>
    <row r="39">
      <c r="A39" t="inlineStr">
        <is>
          <t>سوخت و مواد احیاکننده</t>
        </is>
      </c>
      <c r="B39" s="8" t="inlineStr">
        <is>
          <t>OPC-01</t>
        </is>
      </c>
      <c r="C39" s="19" t="inlineStr">
        <is>
          <t>میلیون ریال/تن</t>
        </is>
      </c>
      <c r="D39" s="20" t="inlineStr">
        <is>
          <t>OPC</t>
        </is>
      </c>
      <c r="E39" s="20" t="inlineStr">
        <is>
          <t>PER_TON_BATT</t>
        </is>
      </c>
      <c r="F39" s="18" t="n">
        <v>12.5</v>
      </c>
      <c r="G39" s="20" t="inlineStr">
        <is>
          <t>ENERGY</t>
        </is>
      </c>
      <c r="H39" s="20" t="inlineStr">
        <is>
          <t>THROUGHPUT</t>
        </is>
      </c>
      <c r="I39" s="20" t="inlineStr">
        <is>
          <t>V</t>
        </is>
      </c>
    </row>
    <row r="40">
      <c r="A40" t="inlineStr">
        <is>
          <t>آب و پساب</t>
        </is>
      </c>
      <c r="B40" s="8" t="inlineStr">
        <is>
          <t>OPC-02</t>
        </is>
      </c>
      <c r="C40" s="19" t="inlineStr">
        <is>
          <t>میلیون ریال/m3</t>
        </is>
      </c>
      <c r="D40" s="20" t="inlineStr">
        <is>
          <t>OPC</t>
        </is>
      </c>
      <c r="E40" s="20" t="inlineStr">
        <is>
          <t>PER_M3</t>
        </is>
      </c>
      <c r="F40" s="21" t="n">
        <v>0.25</v>
      </c>
      <c r="G40" s="20" t="inlineStr">
        <is>
          <t>CPI</t>
        </is>
      </c>
      <c r="H40" s="20" t="inlineStr">
        <is>
          <t>WATER</t>
        </is>
      </c>
      <c r="I40" s="20" t="inlineStr">
        <is>
          <t>V</t>
        </is>
      </c>
    </row>
    <row r="41">
      <c r="A41" t="inlineStr">
        <is>
          <t>دفع پسماند و لجن</t>
        </is>
      </c>
      <c r="B41" s="8" t="inlineStr">
        <is>
          <t>OPC-03</t>
        </is>
      </c>
      <c r="C41" s="19" t="inlineStr">
        <is>
          <t>میلیون ریال/تن</t>
        </is>
      </c>
      <c r="D41" s="20" t="inlineStr">
        <is>
          <t>OPC</t>
        </is>
      </c>
      <c r="E41" s="20" t="inlineStr">
        <is>
          <t>PER_TON_BATT</t>
        </is>
      </c>
      <c r="F41" s="18" t="n">
        <v>7.5</v>
      </c>
      <c r="G41" s="20" t="inlineStr">
        <is>
          <t>CPI</t>
        </is>
      </c>
      <c r="H41" s="20" t="inlineStr">
        <is>
          <t>THROUGHPUT</t>
        </is>
      </c>
      <c r="I41" s="20" t="inlineStr">
        <is>
          <t>V</t>
        </is>
      </c>
    </row>
    <row r="42">
      <c r="A42" t="inlineStr">
        <is>
          <t>نگهداری و تعمیرات متغیر</t>
        </is>
      </c>
      <c r="B42" s="8" t="inlineStr">
        <is>
          <t>OPC-04</t>
        </is>
      </c>
      <c r="C42" s="19" t="inlineStr">
        <is>
          <t>میلیون ریال/تن</t>
        </is>
      </c>
      <c r="D42" s="20" t="inlineStr">
        <is>
          <t>OPC</t>
        </is>
      </c>
      <c r="E42" s="20" t="inlineStr">
        <is>
          <t>PER_TON_BATT</t>
        </is>
      </c>
      <c r="F42" s="18" t="n">
        <v>9</v>
      </c>
      <c r="G42" s="20" t="inlineStr">
        <is>
          <t>CPI</t>
        </is>
      </c>
      <c r="H42" s="20" t="inlineStr">
        <is>
          <t>MACHINE_HOURS</t>
        </is>
      </c>
      <c r="I42" s="20" t="inlineStr">
        <is>
          <t>V</t>
        </is>
      </c>
    </row>
    <row r="43">
      <c r="A43" t="inlineStr">
        <is>
          <t>مرکز خدماتی: نگهداری و تعمیرات</t>
        </is>
      </c>
      <c r="B43" s="8" t="inlineStr">
        <is>
          <t>OPC-05</t>
        </is>
      </c>
      <c r="C43" s="19" t="inlineStr">
        <is>
          <t>─</t>
        </is>
      </c>
      <c r="D43" s="20" t="inlineStr">
        <is>
          <t>OPC</t>
        </is>
      </c>
      <c r="E43" s="20" t="inlineStr">
        <is>
          <t>SRV</t>
        </is>
      </c>
      <c r="F43" s="20" t="inlineStr">
        <is>
          <t>SRV:1</t>
        </is>
      </c>
      <c r="G43" s="20" t="inlineStr">
        <is>
          <t>CPI</t>
        </is>
      </c>
      <c r="H43" s="20" t="inlineStr">
        <is>
          <t>SRV</t>
        </is>
      </c>
      <c r="I43" s="20" t="inlineStr">
        <is>
          <t>F</t>
        </is>
      </c>
    </row>
    <row r="44">
      <c r="A44" t="inlineStr">
        <is>
          <t>مرکز خدماتی: لجستیک و انبارداری</t>
        </is>
      </c>
      <c r="B44" s="8" t="inlineStr">
        <is>
          <t>OPC-06</t>
        </is>
      </c>
      <c r="C44" s="19" t="inlineStr">
        <is>
          <t>─</t>
        </is>
      </c>
      <c r="D44" s="20" t="inlineStr">
        <is>
          <t>OPC</t>
        </is>
      </c>
      <c r="E44" s="20" t="inlineStr">
        <is>
          <t>SRV</t>
        </is>
      </c>
      <c r="F44" s="20" t="inlineStr">
        <is>
          <t>SRV:3</t>
        </is>
      </c>
      <c r="G44" s="20" t="inlineStr">
        <is>
          <t>CPI</t>
        </is>
      </c>
      <c r="H44" s="20" t="inlineStr">
        <is>
          <t>SRV</t>
        </is>
      </c>
      <c r="I44" s="20" t="inlineStr">
        <is>
          <t>F</t>
        </is>
      </c>
    </row>
    <row r="45">
      <c r="A45" t="inlineStr">
        <is>
          <t>مرکز خدماتی: تصفیه‌خانه</t>
        </is>
      </c>
      <c r="B45" s="8" t="inlineStr">
        <is>
          <t>OPC-07</t>
        </is>
      </c>
      <c r="C45" s="19" t="inlineStr">
        <is>
          <t>─</t>
        </is>
      </c>
      <c r="D45" s="20" t="inlineStr">
        <is>
          <t>OPC</t>
        </is>
      </c>
      <c r="E45" s="20" t="inlineStr">
        <is>
          <t>SRV</t>
        </is>
      </c>
      <c r="F45" s="20" t="inlineStr">
        <is>
          <t>SRV:4</t>
        </is>
      </c>
      <c r="G45" s="20" t="inlineStr">
        <is>
          <t>CPI</t>
        </is>
      </c>
      <c r="H45" s="20" t="inlineStr">
        <is>
          <t>SRV</t>
        </is>
      </c>
      <c r="I45" s="20" t="inlineStr">
        <is>
          <t>V</t>
        </is>
      </c>
    </row>
    <row r="46">
      <c r="A46" t="inlineStr">
        <is>
          <t>مرکز خدماتی: آزمایشگاه و QC</t>
        </is>
      </c>
      <c r="B46" s="8" t="inlineStr">
        <is>
          <t>OPC-08</t>
        </is>
      </c>
      <c r="C46" s="19" t="inlineStr">
        <is>
          <t>─</t>
        </is>
      </c>
      <c r="D46" s="20" t="inlineStr">
        <is>
          <t>OPC</t>
        </is>
      </c>
      <c r="E46" s="20" t="inlineStr">
        <is>
          <t>SRV</t>
        </is>
      </c>
      <c r="F46" s="20" t="inlineStr">
        <is>
          <t>SRV:5</t>
        </is>
      </c>
      <c r="G46" s="20" t="inlineStr">
        <is>
          <t>CPI</t>
        </is>
      </c>
      <c r="H46" s="20" t="inlineStr">
        <is>
          <t>SRV</t>
        </is>
      </c>
      <c r="I46" s="20" t="inlineStr">
        <is>
          <t>V</t>
        </is>
      </c>
    </row>
    <row r="47">
      <c r="A47" t="inlineStr">
        <is>
          <t>هزینه فروش، توزیع و کارمزد فروش</t>
        </is>
      </c>
      <c r="B47" s="8" t="inlineStr">
        <is>
          <t>OPC-09</t>
        </is>
      </c>
      <c r="C47" s="19" t="inlineStr">
        <is>
          <t>درصد از درآمد</t>
        </is>
      </c>
      <c r="D47" s="20" t="inlineStr">
        <is>
          <t>OPC</t>
        </is>
      </c>
      <c r="E47" s="20" t="inlineStr">
        <is>
          <t>PCT_REV</t>
        </is>
      </c>
      <c r="F47" s="21" t="n">
        <v>0.012</v>
      </c>
      <c r="G47" s="20" t="inlineStr">
        <is>
          <t>NONE</t>
        </is>
      </c>
      <c r="H47" s="20" t="inlineStr">
        <is>
          <t>THROUGHPUT</t>
        </is>
      </c>
      <c r="I47" s="20" t="inlineStr">
        <is>
          <t>V</t>
        </is>
      </c>
    </row>
    <row r="48">
      <c r="A48" t="inlineStr">
        <is>
          <t>استهلاک دارایی‌های ثابت</t>
        </is>
      </c>
      <c r="B48" s="8" t="inlineStr">
        <is>
          <t>FPC-01</t>
        </is>
      </c>
      <c r="C48" s="19" t="inlineStr">
        <is>
          <t>─</t>
        </is>
      </c>
      <c r="D48" s="20" t="inlineStr">
        <is>
          <t>FPC</t>
        </is>
      </c>
      <c r="E48" s="20" t="inlineStr">
        <is>
          <t>DEP</t>
        </is>
      </c>
      <c r="F48" s="20" t="inlineStr">
        <is>
          <t>DEP</t>
        </is>
      </c>
      <c r="G48" s="20" t="inlineStr">
        <is>
          <t>NONE</t>
        </is>
      </c>
      <c r="H48" s="20" t="inlineStr">
        <is>
          <t>POWER</t>
        </is>
      </c>
      <c r="I48" s="20" t="inlineStr">
        <is>
          <t>F</t>
        </is>
      </c>
    </row>
    <row r="49">
      <c r="A49" t="inlineStr">
        <is>
          <t>بیمه دارایی‌ها</t>
        </is>
      </c>
      <c r="B49" s="8" t="inlineStr">
        <is>
          <t>FPC-02</t>
        </is>
      </c>
      <c r="C49" s="19" t="inlineStr">
        <is>
          <t>درصد ارزش دفتری</t>
        </is>
      </c>
      <c r="D49" s="20" t="inlineStr">
        <is>
          <t>FPC</t>
        </is>
      </c>
      <c r="E49" s="20" t="inlineStr">
        <is>
          <t>PCT_ASSET</t>
        </is>
      </c>
      <c r="F49" s="21" t="n">
        <v>0.006</v>
      </c>
      <c r="G49" s="20" t="inlineStr">
        <is>
          <t>NONE</t>
        </is>
      </c>
      <c r="H49" s="20" t="inlineStr">
        <is>
          <t>POWER</t>
        </is>
      </c>
      <c r="I49" s="20" t="inlineStr">
        <is>
          <t>F</t>
        </is>
      </c>
    </row>
    <row r="50">
      <c r="A50" t="inlineStr">
        <is>
          <t>اجاره و حق‌الامتیاز</t>
        </is>
      </c>
      <c r="B50" s="8" t="inlineStr">
        <is>
          <t>FPC-03</t>
        </is>
      </c>
      <c r="C50" s="19" t="inlineStr">
        <is>
          <t>میلیون ریال/سال</t>
        </is>
      </c>
      <c r="D50" s="20" t="inlineStr">
        <is>
          <t>FPC</t>
        </is>
      </c>
      <c r="E50" s="20" t="inlineStr">
        <is>
          <t>ANNUAL</t>
        </is>
      </c>
      <c r="F50" s="18" t="n">
        <v>80000</v>
      </c>
      <c r="G50" s="20" t="inlineStr">
        <is>
          <t>CPI</t>
        </is>
      </c>
      <c r="H50" s="20" t="inlineStr">
        <is>
          <t>AREA</t>
        </is>
      </c>
      <c r="I50" s="20" t="inlineStr">
        <is>
          <t>F</t>
        </is>
      </c>
    </row>
    <row r="51">
      <c r="A51" t="inlineStr">
        <is>
          <t>حقوق غیرمستقیم تولید</t>
        </is>
      </c>
      <c r="B51" s="8" t="inlineStr">
        <is>
          <t>FPC-04</t>
        </is>
      </c>
      <c r="C51" s="19" t="inlineStr">
        <is>
          <t>─</t>
        </is>
      </c>
      <c r="D51" s="20" t="inlineStr">
        <is>
          <t>FPC</t>
        </is>
      </c>
      <c r="E51" s="20" t="inlineStr">
        <is>
          <t>PAY</t>
        </is>
      </c>
      <c r="F51" s="20" t="inlineStr">
        <is>
          <t>PAY:2</t>
        </is>
      </c>
      <c r="G51" s="20" t="inlineStr">
        <is>
          <t>WAGE</t>
        </is>
      </c>
      <c r="H51" s="20" t="inlineStr">
        <is>
          <t>HEADCOUNT</t>
        </is>
      </c>
      <c r="I51" s="20" t="inlineStr">
        <is>
          <t>F</t>
        </is>
      </c>
    </row>
    <row r="52">
      <c r="A52" t="inlineStr">
        <is>
          <t>حقوق نگهداری و تعمیرات</t>
        </is>
      </c>
      <c r="B52" s="8" t="inlineStr">
        <is>
          <t>FPC-05</t>
        </is>
      </c>
      <c r="C52" s="19" t="inlineStr">
        <is>
          <t>─</t>
        </is>
      </c>
      <c r="D52" s="20" t="inlineStr">
        <is>
          <t>FPC</t>
        </is>
      </c>
      <c r="E52" s="20" t="inlineStr">
        <is>
          <t>PAY</t>
        </is>
      </c>
      <c r="F52" s="20" t="inlineStr">
        <is>
          <t>PAY:3</t>
        </is>
      </c>
      <c r="G52" s="20" t="inlineStr">
        <is>
          <t>WAGE</t>
        </is>
      </c>
      <c r="H52" s="20" t="inlineStr">
        <is>
          <t>HEADCOUNT</t>
        </is>
      </c>
      <c r="I52" s="20" t="inlineStr">
        <is>
          <t>F</t>
        </is>
      </c>
    </row>
    <row r="53">
      <c r="A53" t="inlineStr">
        <is>
          <t>حقوق اداری و مالی</t>
        </is>
      </c>
      <c r="B53" s="8" t="inlineStr">
        <is>
          <t>FPC-06</t>
        </is>
      </c>
      <c r="C53" s="19" t="inlineStr">
        <is>
          <t>─</t>
        </is>
      </c>
      <c r="D53" s="20" t="inlineStr">
        <is>
          <t>FPC</t>
        </is>
      </c>
      <c r="E53" s="20" t="inlineStr">
        <is>
          <t>PAY</t>
        </is>
      </c>
      <c r="F53" s="20" t="inlineStr">
        <is>
          <t>PAY:4</t>
        </is>
      </c>
      <c r="G53" s="20" t="inlineStr">
        <is>
          <t>WAGE</t>
        </is>
      </c>
      <c r="H53" s="20" t="inlineStr">
        <is>
          <t>HEADCOUNT</t>
        </is>
      </c>
      <c r="I53" s="20" t="inlineStr">
        <is>
          <t>F</t>
        </is>
      </c>
    </row>
    <row r="54">
      <c r="A54" t="inlineStr">
        <is>
          <t>حقوق فروش و بازاریابی</t>
        </is>
      </c>
      <c r="B54" s="8" t="inlineStr">
        <is>
          <t>FPC-07</t>
        </is>
      </c>
      <c r="C54" s="19" t="inlineStr">
        <is>
          <t>─</t>
        </is>
      </c>
      <c r="D54" s="20" t="inlineStr">
        <is>
          <t>FPC</t>
        </is>
      </c>
      <c r="E54" s="20" t="inlineStr">
        <is>
          <t>PAY</t>
        </is>
      </c>
      <c r="F54" s="20" t="inlineStr">
        <is>
          <t>PAY:5</t>
        </is>
      </c>
      <c r="G54" s="20" t="inlineStr">
        <is>
          <t>WAGE</t>
        </is>
      </c>
      <c r="H54" s="20" t="inlineStr">
        <is>
          <t>HEADCOUNT</t>
        </is>
      </c>
      <c r="I54" s="20" t="inlineStr">
        <is>
          <t>F</t>
        </is>
      </c>
    </row>
    <row r="55">
      <c r="A55" t="inlineStr">
        <is>
          <t>هزینه‌های عمومی و اداری غیرپرسنلی</t>
        </is>
      </c>
      <c r="B55" s="8" t="inlineStr">
        <is>
          <t>FPC-08</t>
        </is>
      </c>
      <c r="C55" s="19" t="inlineStr">
        <is>
          <t>میلیون ریال/سال</t>
        </is>
      </c>
      <c r="D55" s="20" t="inlineStr">
        <is>
          <t>FPC</t>
        </is>
      </c>
      <c r="E55" s="20" t="inlineStr">
        <is>
          <t>ANNUAL</t>
        </is>
      </c>
      <c r="F55" s="18" t="n">
        <v>300000</v>
      </c>
      <c r="G55" s="20" t="inlineStr">
        <is>
          <t>CPI</t>
        </is>
      </c>
      <c r="H55" s="20" t="inlineStr">
        <is>
          <t>HEADCOUNT</t>
        </is>
      </c>
      <c r="I55" s="20" t="inlineStr">
        <is>
          <t>F</t>
        </is>
      </c>
    </row>
    <row r="56">
      <c r="A56" t="inlineStr">
        <is>
          <t>تبلیغات و بازاریابی ثابت</t>
        </is>
      </c>
      <c r="B56" s="8" t="inlineStr">
        <is>
          <t>FPC-09</t>
        </is>
      </c>
      <c r="C56" s="19" t="inlineStr">
        <is>
          <t>میلیون ریال/سال</t>
        </is>
      </c>
      <c r="D56" s="20" t="inlineStr">
        <is>
          <t>FPC</t>
        </is>
      </c>
      <c r="E56" s="20" t="inlineStr">
        <is>
          <t>ANNUAL</t>
        </is>
      </c>
      <c r="F56" s="18" t="n">
        <v>120000</v>
      </c>
      <c r="G56" s="20" t="inlineStr">
        <is>
          <t>CPI</t>
        </is>
      </c>
      <c r="H56" s="20" t="inlineStr">
        <is>
          <t>AREA</t>
        </is>
      </c>
      <c r="I56" s="20" t="inlineStr">
        <is>
          <t>F</t>
        </is>
      </c>
    </row>
    <row r="57">
      <c r="A57" t="inlineStr">
        <is>
          <t>بار پایه انرژی</t>
        </is>
      </c>
      <c r="B57" s="8" t="inlineStr">
        <is>
          <t>FPC-10</t>
        </is>
      </c>
      <c r="C57" s="19" t="inlineStr">
        <is>
          <t>میلیون ریال/سال</t>
        </is>
      </c>
      <c r="D57" s="20" t="inlineStr">
        <is>
          <t>FPC</t>
        </is>
      </c>
      <c r="E57" s="20" t="inlineStr">
        <is>
          <t>ANNUAL</t>
        </is>
      </c>
      <c r="F57" s="18" t="n">
        <v>400000</v>
      </c>
      <c r="G57" s="20" t="inlineStr">
        <is>
          <t>ENERGY</t>
        </is>
      </c>
      <c r="H57" s="20" t="inlineStr">
        <is>
          <t>POWER</t>
        </is>
      </c>
      <c r="I57" s="20" t="inlineStr">
        <is>
          <t>F</t>
        </is>
      </c>
    </row>
    <row r="58">
      <c r="A58" t="inlineStr">
        <is>
          <t>مرکز خدماتی: منابع انسانی</t>
        </is>
      </c>
      <c r="B58" s="8" t="inlineStr">
        <is>
          <t>FPC-11</t>
        </is>
      </c>
      <c r="C58" s="19" t="inlineStr">
        <is>
          <t>─</t>
        </is>
      </c>
      <c r="D58" s="20" t="inlineStr">
        <is>
          <t>FPC</t>
        </is>
      </c>
      <c r="E58" s="20" t="inlineStr">
        <is>
          <t>SRV</t>
        </is>
      </c>
      <c r="F58" s="20" t="inlineStr">
        <is>
          <t>SRV:2</t>
        </is>
      </c>
      <c r="G58" s="20" t="inlineStr">
        <is>
          <t>CPI</t>
        </is>
      </c>
      <c r="H58" s="20" t="inlineStr">
        <is>
          <t>SRV</t>
        </is>
      </c>
      <c r="I58" s="20" t="inlineStr">
        <is>
          <t>F</t>
        </is>
      </c>
    </row>
    <row r="59">
      <c r="A59" t="inlineStr">
        <is>
          <t>سایر هزینه‌های ثابت</t>
        </is>
      </c>
      <c r="B59" s="8" t="inlineStr">
        <is>
          <t>FPC-12</t>
        </is>
      </c>
      <c r="C59" s="19" t="inlineStr">
        <is>
          <t>میلیون ریال/سال</t>
        </is>
      </c>
      <c r="D59" s="20" t="inlineStr">
        <is>
          <t>FPC</t>
        </is>
      </c>
      <c r="E59" s="20" t="inlineStr">
        <is>
          <t>ANNUAL</t>
        </is>
      </c>
      <c r="F59" s="18" t="n">
        <v>150000</v>
      </c>
      <c r="G59" s="20" t="inlineStr">
        <is>
          <t>CPI</t>
        </is>
      </c>
      <c r="H59" s="20" t="inlineStr">
        <is>
          <t>AREA</t>
        </is>
      </c>
      <c r="I59" s="20" t="inlineStr">
        <is>
          <t>F</t>
        </is>
      </c>
    </row>
    <row r="60"/>
    <row r="61">
      <c r="A61" s="15" t="inlineStr">
        <is>
          <t>راهنما: مبنای محاسبه ← SCRAP_LME (خرید مواد اولیه، پیوند به LME×ارز)، PER_TON_BATT، PER_TON_PROD،</t>
        </is>
      </c>
    </row>
    <row r="62">
      <c r="A62" s="15" t="inlineStr">
        <is>
          <t>PER_KWH، PER_M3، ANNUAL (مبلغ سالانه)، PCT_REV (درصد از درآمد)، PCT_ASSET (درصد ارزش دفتری)،</t>
        </is>
      </c>
    </row>
    <row r="63">
      <c r="A63" s="15" t="inlineStr">
        <is>
          <t>DEP (استهلاک از موتور دارایی‌ها)، PAY:n (طبقه حقوقی n)، SRV:n (مرکز خدماتی n).</t>
        </is>
      </c>
    </row>
    <row r="64">
      <c r="A64" s="15" t="inlineStr">
        <is>
          <t>شاخص تعدیل: CPI / WAGE / ENERGY / PPI / FX / NONE. مبنای تخصیص: THROUGHPUT / MACHINE_HOURS /</t>
        </is>
      </c>
    </row>
    <row r="65">
      <c r="A65" s="15" t="inlineStr">
        <is>
          <t>HEADCOUNT / POWER / AREA / WATER / SRV (تخصیص از جدول مراکز خدماتی).</t>
        </is>
      </c>
    </row>
  </sheetData>
  <dataValidations count="5">
    <dataValidation sqref="D33:D59" showDropDown="0" showInputMessage="0" showErrorMessage="0" allowBlank="1" errorTitle="ورودی نامعتبر" error="مقدار باید یکی از گزینه‌های مجاز باشد" type="list">
      <formula1>"DPC,OPC,FPC"</formula1>
    </dataValidation>
    <dataValidation sqref="E33:E59" showDropDown="0" showInputMessage="0" showErrorMessage="0" allowBlank="1" errorTitle="ورودی نامعتبر" error="مقدار باید یکی از گزینه‌های مجاز باشد" type="list">
      <formula1>"SCRAP_LME,PER_TON_BATT,PER_TON_PROD,PER_KWH,PER_M3,ANNUAL,PCT_REV,PCT_ASSET,DEP,PAY,SRV"</formula1>
    </dataValidation>
    <dataValidation sqref="G33:G59" showDropDown="0" showInputMessage="0" showErrorMessage="0" allowBlank="1" errorTitle="ورودی نامعتبر" error="مقدار باید یکی از گزینه‌های مجاز باشد" type="list">
      <formula1>"CPI,WAGE,ENERGY,PPI,FX,NONE"</formula1>
    </dataValidation>
    <dataValidation sqref="H33:H59" showDropDown="0" showInputMessage="0" showErrorMessage="0" allowBlank="1" errorTitle="ورودی نامعتبر" error="مقدار باید یکی از گزینه‌های مجاز باشد" type="list">
      <formula1>"THROUGHPUT,MACHINE_HOURS,HEADCOUNT,POWER,AREA,WATER,SRV"</formula1>
    </dataValidation>
    <dataValidation sqref="I33:I59" showDropDown="0" showInputMessage="0" showErrorMessage="0" allowBlank="1" errorTitle="ورودی نامعتبر" error="مقدار باید یکی از گزینه‌های مجاز باشد" type="list">
      <formula1>"V,F"</formula1>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P20"/>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۵. سیاست‌های سرمایه در گردش و چرخه نقدینگی</t>
        </is>
      </c>
      <c r="B1" s="2" t="inlineStr">
        <is>
          <t>لایه ورودی</t>
        </is>
      </c>
    </row>
    <row r="2">
      <c r="A2" s="3" t="inlineStr">
        <is>
          <t>روزهای موجودی، دریافتنی و پرداختنی برای محاسبهٔ چرخهٔ تبدیل نقد (CCC).</t>
        </is>
      </c>
    </row>
    <row r="3"/>
    <row r="4"/>
    <row r="5"/>
    <row r="6"/>
    <row r="7">
      <c r="A7" s="6" t="inlineStr">
        <is>
          <t>الف) دوره‌های سرمایه در گردش (روز)</t>
        </is>
      </c>
      <c r="B7" s="7" t="n"/>
      <c r="C7" s="7" t="n"/>
      <c r="D7" s="7" t="n"/>
      <c r="E7" s="7" t="n"/>
      <c r="F7" s="7" t="n"/>
      <c r="G7" s="7" t="n"/>
      <c r="H7" s="7" t="n"/>
      <c r="I7" s="7" t="n"/>
      <c r="J7" s="7" t="n"/>
      <c r="K7" s="7" t="n"/>
      <c r="L7" s="7" t="n"/>
      <c r="M7" s="7" t="n"/>
      <c r="N7" s="7" t="n"/>
      <c r="O7" s="7" t="n"/>
      <c r="P7" s="7" t="n"/>
    </row>
    <row r="8">
      <c r="A8" t="inlineStr">
        <is>
          <t>موجودی مواد اولیه (باتری ضایعاتی)</t>
        </is>
      </c>
      <c r="B8" s="8" t="inlineStr">
        <is>
          <t>WC.dio_rm</t>
        </is>
      </c>
      <c r="C8" s="9" t="inlineStr">
        <is>
          <t>روز</t>
        </is>
      </c>
      <c r="D8" s="14" t="n">
        <v>25</v>
      </c>
    </row>
    <row r="9">
      <c r="A9" t="inlineStr">
        <is>
          <t>موجودی کالای در جریان ساخت</t>
        </is>
      </c>
      <c r="B9" s="8" t="inlineStr">
        <is>
          <t>WC.dio_wip</t>
        </is>
      </c>
      <c r="C9" s="9" t="inlineStr">
        <is>
          <t>روز</t>
        </is>
      </c>
      <c r="D9" s="14" t="n">
        <v>8</v>
      </c>
    </row>
    <row r="10">
      <c r="A10" t="inlineStr">
        <is>
          <t>موجودی محصول نهایی</t>
        </is>
      </c>
      <c r="B10" s="8" t="inlineStr">
        <is>
          <t>WC.dio_fg</t>
        </is>
      </c>
      <c r="C10" s="9" t="inlineStr">
        <is>
          <t>روز</t>
        </is>
      </c>
      <c r="D10" s="14" t="n">
        <v>15</v>
      </c>
    </row>
    <row r="11">
      <c r="A11" t="inlineStr">
        <is>
          <t>موجودی مواد مصرفی و قطعات یدکی</t>
        </is>
      </c>
      <c r="B11" s="8" t="inlineStr">
        <is>
          <t>WC.dio_cons</t>
        </is>
      </c>
      <c r="C11" s="9" t="inlineStr">
        <is>
          <t>روز</t>
        </is>
      </c>
      <c r="D11" s="14" t="n">
        <v>30</v>
      </c>
    </row>
    <row r="12">
      <c r="A12" t="inlineStr">
        <is>
          <t>دوره وصول مطالبات (DSO)</t>
        </is>
      </c>
      <c r="B12" s="8" t="inlineStr">
        <is>
          <t>WC.dso</t>
        </is>
      </c>
      <c r="C12" s="9" t="inlineStr">
        <is>
          <t>روز</t>
        </is>
      </c>
      <c r="D12" s="14" t="n">
        <v>45</v>
      </c>
    </row>
    <row r="13">
      <c r="A13" t="inlineStr">
        <is>
          <t>دوره پرداخت بدهی‌ها (DPO)</t>
        </is>
      </c>
      <c r="B13" s="8" t="inlineStr">
        <is>
          <t>WC.dpo</t>
        </is>
      </c>
      <c r="C13" s="9" t="inlineStr">
        <is>
          <t>روز</t>
        </is>
      </c>
      <c r="D13" s="14" t="n">
        <v>40</v>
      </c>
    </row>
    <row r="14">
      <c r="A14" t="inlineStr">
        <is>
          <t>دوره پرداخت مالیات</t>
        </is>
      </c>
      <c r="B14" s="8" t="inlineStr">
        <is>
          <t>WC.dpo_tax</t>
        </is>
      </c>
      <c r="C14" s="9" t="inlineStr">
        <is>
          <t>روز</t>
        </is>
      </c>
      <c r="D14" s="14" t="n">
        <v>30</v>
      </c>
    </row>
    <row r="15">
      <c r="A15" t="inlineStr">
        <is>
          <t>ذخیره نقدی عملیاتی (روز هزینه نقدی)</t>
        </is>
      </c>
      <c r="B15" s="8" t="inlineStr">
        <is>
          <t>WC.cashdays</t>
        </is>
      </c>
      <c r="C15" s="9" t="inlineStr">
        <is>
          <t>روز</t>
        </is>
      </c>
      <c r="D15" s="14" t="n">
        <v>15</v>
      </c>
    </row>
    <row r="16"/>
    <row r="17">
      <c r="A17" s="6" t="inlineStr">
        <is>
          <t>ب) سیاست‌های تأمین مالی سرمایه در گردش</t>
        </is>
      </c>
      <c r="B17" s="7" t="n"/>
      <c r="C17" s="7" t="n"/>
      <c r="D17" s="7" t="n"/>
      <c r="E17" s="7" t="n"/>
      <c r="F17" s="7" t="n"/>
      <c r="G17" s="7" t="n"/>
      <c r="H17" s="7" t="n"/>
      <c r="I17" s="7" t="n"/>
      <c r="J17" s="7" t="n"/>
      <c r="K17" s="7" t="n"/>
      <c r="L17" s="7" t="n"/>
      <c r="M17" s="7" t="n"/>
      <c r="N17" s="7" t="n"/>
      <c r="O17" s="7" t="n"/>
      <c r="P17" s="7" t="n"/>
    </row>
    <row r="18">
      <c r="A18" t="inlineStr">
        <is>
          <t>سهم سرمایه در گردش تأمین‌شده از تسهیلات کوتاه‌مدت</t>
        </is>
      </c>
      <c r="B18" s="8" t="inlineStr">
        <is>
          <t>WC.wc_loan_share</t>
        </is>
      </c>
      <c r="C18" s="9" t="inlineStr">
        <is>
          <t>درصد</t>
        </is>
      </c>
      <c r="D18" s="11" t="n">
        <v>0.3</v>
      </c>
    </row>
    <row r="19">
      <c r="A19" t="inlineStr">
        <is>
          <t>نرخ ذخیره مطالبات مشکوک‌الوصول</t>
        </is>
      </c>
      <c r="B19" s="8" t="inlineStr">
        <is>
          <t>WC.bad_debt</t>
        </is>
      </c>
      <c r="C19" s="9" t="inlineStr">
        <is>
          <t>درصد</t>
        </is>
      </c>
      <c r="D19" s="17" t="n">
        <v>0.01</v>
      </c>
    </row>
    <row r="20">
      <c r="A20" t="inlineStr">
        <is>
          <t>ضریب کاهش ارزش موجودی (کهنگی)</t>
        </is>
      </c>
      <c r="B20" s="8" t="inlineStr">
        <is>
          <t>WC.inv_obs</t>
        </is>
      </c>
      <c r="C20" s="9" t="inlineStr">
        <is>
          <t>درصد</t>
        </is>
      </c>
      <c r="D20" s="17" t="n">
        <v>0.005</v>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P34"/>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۶. ساختار سرمایه، تأمین مالی و برنامه CAPEX</t>
        </is>
      </c>
      <c r="B1" s="2" t="inlineStr">
        <is>
          <t>لایه ورودی</t>
        </is>
      </c>
    </row>
    <row r="2">
      <c r="A2" s="3" t="inlineStr">
        <is>
          <t>درصد بدهی و حقوق صاحبان سهام، نرخ‌های بهره، دوره بازپرداخت، کارمزدها و برنامه تزریق سرمایه.</t>
        </is>
      </c>
    </row>
    <row r="3"/>
    <row r="4"/>
    <row r="5"/>
    <row r="6"/>
    <row r="7">
      <c r="A7" s="6" t="inlineStr">
        <is>
          <t>الف) برنامه سرمایه‌گذاری ثابت (CAPEX)</t>
        </is>
      </c>
      <c r="B7" s="7" t="n"/>
      <c r="C7" s="7" t="n"/>
      <c r="D7" s="7" t="n"/>
      <c r="E7" s="7" t="n"/>
      <c r="F7" s="7" t="n"/>
      <c r="G7" s="7" t="n"/>
      <c r="H7" s="7" t="n"/>
      <c r="I7" s="7" t="n"/>
      <c r="J7" s="7" t="n"/>
      <c r="K7" s="7" t="n"/>
      <c r="L7" s="7" t="n"/>
      <c r="M7" s="7" t="n"/>
      <c r="N7" s="7" t="n"/>
      <c r="O7" s="7" t="n"/>
      <c r="P7" s="7" t="n"/>
    </row>
    <row r="8">
      <c r="D8" s="16" t="inlineStr">
        <is>
          <t>مبلغ کل</t>
        </is>
      </c>
      <c r="E8" s="16" t="inlineStr">
        <is>
          <t>سهم ارزی</t>
        </is>
      </c>
      <c r="F8" s="16" t="inlineStr">
        <is>
          <t>عمر مفید</t>
        </is>
      </c>
      <c r="G8" s="16" t="inlineStr">
        <is>
          <t>دوره جایگزینی</t>
        </is>
      </c>
      <c r="H8" s="16" t="inlineStr">
        <is>
          <t>درصد جایگزینی</t>
        </is>
      </c>
      <c r="I8" s="16" t="inlineStr">
        <is>
          <t>ارزش اسقاط</t>
        </is>
      </c>
      <c r="J8" s="16" t="inlineStr">
        <is>
          <t>تزریق t=0</t>
        </is>
      </c>
      <c r="K8" s="16" t="inlineStr">
        <is>
          <t>تزریق t=1</t>
        </is>
      </c>
      <c r="L8" s="16" t="inlineStr">
        <is>
          <t>تزریق t=2</t>
        </is>
      </c>
    </row>
    <row r="9">
      <c r="A9" t="inlineStr">
        <is>
          <t>زمین</t>
        </is>
      </c>
      <c r="B9" s="8" t="inlineStr">
        <is>
          <t>CAP-01</t>
        </is>
      </c>
      <c r="C9" s="19" t="inlineStr">
        <is>
          <t>میلیون ریال</t>
        </is>
      </c>
      <c r="D9" s="18" t="n">
        <v>300000</v>
      </c>
      <c r="E9" s="22" t="n">
        <v>0</v>
      </c>
      <c r="F9" s="18" t="n">
        <v>0</v>
      </c>
      <c r="G9" s="18" t="n">
        <v>0</v>
      </c>
      <c r="H9" s="22" t="n">
        <v>0</v>
      </c>
      <c r="I9" s="23" t="n">
        <v>1</v>
      </c>
      <c r="J9" s="22" t="n">
        <v>1</v>
      </c>
      <c r="K9" s="22" t="n">
        <v>0</v>
      </c>
      <c r="L9" s="22" t="n">
        <v>0</v>
      </c>
    </row>
    <row r="10">
      <c r="A10" t="inlineStr">
        <is>
          <t>محوطه‌سازی و ساختمان</t>
        </is>
      </c>
      <c r="B10" s="8" t="inlineStr">
        <is>
          <t>CAP-02</t>
        </is>
      </c>
      <c r="C10" s="19" t="inlineStr">
        <is>
          <t>میلیون ریال</t>
        </is>
      </c>
      <c r="D10" s="18" t="n">
        <v>1600000</v>
      </c>
      <c r="E10" s="22" t="n">
        <v>0.1</v>
      </c>
      <c r="F10" s="18" t="n">
        <v>30</v>
      </c>
      <c r="G10" s="18" t="n">
        <v>0</v>
      </c>
      <c r="H10" s="22" t="n">
        <v>0</v>
      </c>
      <c r="I10" s="23" t="n">
        <v>0.3</v>
      </c>
      <c r="J10" s="22" t="n">
        <v>0.75</v>
      </c>
      <c r="K10" s="22" t="n">
        <v>0.25</v>
      </c>
      <c r="L10" s="22" t="n">
        <v>0</v>
      </c>
    </row>
    <row r="11">
      <c r="A11" t="inlineStr">
        <is>
          <t>ماشین‌آلات وارداتی</t>
        </is>
      </c>
      <c r="B11" s="8" t="inlineStr">
        <is>
          <t>CAP-03</t>
        </is>
      </c>
      <c r="C11" s="19" t="inlineStr">
        <is>
          <t>میلیون ریال</t>
        </is>
      </c>
      <c r="D11" s="18" t="n">
        <v>4800000</v>
      </c>
      <c r="E11" s="22" t="n">
        <v>0.9</v>
      </c>
      <c r="F11" s="18" t="n">
        <v>15</v>
      </c>
      <c r="G11" s="18" t="n">
        <v>0</v>
      </c>
      <c r="H11" s="22" t="n">
        <v>0.6</v>
      </c>
      <c r="I11" s="23" t="n">
        <v>0.1</v>
      </c>
      <c r="J11" s="22" t="n">
        <v>0.75</v>
      </c>
      <c r="K11" s="22" t="n">
        <v>0.25</v>
      </c>
      <c r="L11" s="22" t="n">
        <v>0</v>
      </c>
    </row>
    <row r="12">
      <c r="A12" t="inlineStr">
        <is>
          <t>ماشین‌آلات داخلی</t>
        </is>
      </c>
      <c r="B12" s="8" t="inlineStr">
        <is>
          <t>CAP-04</t>
        </is>
      </c>
      <c r="C12" s="19" t="inlineStr">
        <is>
          <t>میلیون ریال</t>
        </is>
      </c>
      <c r="D12" s="18" t="n">
        <v>1900000</v>
      </c>
      <c r="E12" s="22" t="n">
        <v>0.25</v>
      </c>
      <c r="F12" s="18" t="n">
        <v>12</v>
      </c>
      <c r="G12" s="18" t="n">
        <v>12</v>
      </c>
      <c r="H12" s="22" t="n">
        <v>0.7</v>
      </c>
      <c r="I12" s="23" t="n">
        <v>0.1</v>
      </c>
      <c r="J12" s="22" t="n">
        <v>0.75</v>
      </c>
      <c r="K12" s="22" t="n">
        <v>0.25</v>
      </c>
      <c r="L12" s="22" t="n">
        <v>0</v>
      </c>
    </row>
    <row r="13">
      <c r="A13" t="inlineStr">
        <is>
          <t>تأسیسات و تجهیزات جانبی</t>
        </is>
      </c>
      <c r="B13" s="8" t="inlineStr">
        <is>
          <t>CAP-05</t>
        </is>
      </c>
      <c r="C13" s="19" t="inlineStr">
        <is>
          <t>میلیون ریال</t>
        </is>
      </c>
      <c r="D13" s="18" t="n">
        <v>1200000</v>
      </c>
      <c r="E13" s="22" t="n">
        <v>0.4</v>
      </c>
      <c r="F13" s="18" t="n">
        <v>15</v>
      </c>
      <c r="G13" s="18" t="n">
        <v>0</v>
      </c>
      <c r="H13" s="22" t="n">
        <v>0.5</v>
      </c>
      <c r="I13" s="23" t="n">
        <v>0.1</v>
      </c>
      <c r="J13" s="22" t="n">
        <v>0.75</v>
      </c>
      <c r="K13" s="22" t="n">
        <v>0.25</v>
      </c>
      <c r="L13" s="22" t="n">
        <v>0</v>
      </c>
    </row>
    <row r="14">
      <c r="A14" t="inlineStr">
        <is>
          <t>تصفیه‌خانه و تجهیزات زیست‌محیطی</t>
        </is>
      </c>
      <c r="B14" s="8" t="inlineStr">
        <is>
          <t>CAP-06</t>
        </is>
      </c>
      <c r="C14" s="19" t="inlineStr">
        <is>
          <t>میلیون ریال</t>
        </is>
      </c>
      <c r="D14" s="18" t="n">
        <v>1050000</v>
      </c>
      <c r="E14" s="22" t="n">
        <v>0.3</v>
      </c>
      <c r="F14" s="18" t="n">
        <v>12</v>
      </c>
      <c r="G14" s="18" t="n">
        <v>12</v>
      </c>
      <c r="H14" s="22" t="n">
        <v>0.7</v>
      </c>
      <c r="I14" s="23" t="n">
        <v>0.1</v>
      </c>
      <c r="J14" s="22" t="n">
        <v>0.75</v>
      </c>
      <c r="K14" s="22" t="n">
        <v>0.25</v>
      </c>
      <c r="L14" s="22" t="n">
        <v>0</v>
      </c>
    </row>
    <row r="15">
      <c r="A15" t="inlineStr">
        <is>
          <t>تجهیزات حمل‌ونقل داخلی</t>
        </is>
      </c>
      <c r="B15" s="8" t="inlineStr">
        <is>
          <t>CAP-07</t>
        </is>
      </c>
      <c r="C15" s="19" t="inlineStr">
        <is>
          <t>میلیون ریال</t>
        </is>
      </c>
      <c r="D15" s="18" t="n">
        <v>700000</v>
      </c>
      <c r="E15" s="22" t="n">
        <v>0.2</v>
      </c>
      <c r="F15" s="18" t="n">
        <v>8</v>
      </c>
      <c r="G15" s="18" t="n">
        <v>8</v>
      </c>
      <c r="H15" s="22" t="n">
        <v>0.8</v>
      </c>
      <c r="I15" s="23" t="n">
        <v>0.15</v>
      </c>
      <c r="J15" s="22" t="n">
        <v>0.6</v>
      </c>
      <c r="K15" s="22" t="n">
        <v>0.4</v>
      </c>
      <c r="L15" s="22" t="n">
        <v>0</v>
      </c>
    </row>
    <row r="16">
      <c r="A16" t="inlineStr">
        <is>
          <t>آزمایشگاه و ابزار دقیق</t>
        </is>
      </c>
      <c r="B16" s="8" t="inlineStr">
        <is>
          <t>CAP-08</t>
        </is>
      </c>
      <c r="C16" s="19" t="inlineStr">
        <is>
          <t>میلیون ریال</t>
        </is>
      </c>
      <c r="D16" s="18" t="n">
        <v>450000</v>
      </c>
      <c r="E16" s="22" t="n">
        <v>0.6</v>
      </c>
      <c r="F16" s="18" t="n">
        <v>10</v>
      </c>
      <c r="G16" s="18" t="n">
        <v>10</v>
      </c>
      <c r="H16" s="22" t="n">
        <v>0.6</v>
      </c>
      <c r="I16" s="23" t="n">
        <v>0.1</v>
      </c>
      <c r="J16" s="22" t="n">
        <v>0.5</v>
      </c>
      <c r="K16" s="22" t="n">
        <v>0.5</v>
      </c>
      <c r="L16" s="22" t="n">
        <v>0</v>
      </c>
    </row>
    <row r="17">
      <c r="A17" t="inlineStr">
        <is>
          <t>مهندسی، نصب و راه‌اندازی</t>
        </is>
      </c>
      <c r="B17" s="8" t="inlineStr">
        <is>
          <t>CAP-09</t>
        </is>
      </c>
      <c r="C17" s="19" t="inlineStr">
        <is>
          <t>میلیون ریال</t>
        </is>
      </c>
      <c r="D17" s="18" t="n">
        <v>900000</v>
      </c>
      <c r="E17" s="22" t="n">
        <v>0.1</v>
      </c>
      <c r="F17" s="18" t="n">
        <v>15</v>
      </c>
      <c r="G17" s="18" t="n">
        <v>0</v>
      </c>
      <c r="H17" s="22" t="n">
        <v>0</v>
      </c>
      <c r="I17" s="23" t="n">
        <v>0</v>
      </c>
      <c r="J17" s="22" t="n">
        <v>0.6</v>
      </c>
      <c r="K17" s="22" t="n">
        <v>0.4</v>
      </c>
      <c r="L17" s="22" t="n">
        <v>0</v>
      </c>
    </row>
    <row r="18">
      <c r="A18" t="inlineStr">
        <is>
          <t>هزینه‌های پیش از بهره‌برداری</t>
        </is>
      </c>
      <c r="B18" s="8" t="inlineStr">
        <is>
          <t>CAP-10</t>
        </is>
      </c>
      <c r="C18" s="19" t="inlineStr">
        <is>
          <t>میلیون ریال</t>
        </is>
      </c>
      <c r="D18" s="18" t="n">
        <v>420000</v>
      </c>
      <c r="E18" s="22" t="n">
        <v>0.05</v>
      </c>
      <c r="F18" s="18" t="n">
        <v>5</v>
      </c>
      <c r="G18" s="18" t="n">
        <v>5</v>
      </c>
      <c r="H18" s="22" t="n">
        <v>0.5</v>
      </c>
      <c r="I18" s="23" t="n">
        <v>0</v>
      </c>
      <c r="J18" s="22" t="n">
        <v>0.3</v>
      </c>
      <c r="K18" s="22" t="n">
        <v>0.5</v>
      </c>
      <c r="L18" s="22" t="n">
        <v>0.2</v>
      </c>
    </row>
    <row r="19">
      <c r="A19" t="inlineStr">
        <is>
          <t>ذخیره احتیاطی فیزیکی</t>
        </is>
      </c>
      <c r="B19" s="8" t="inlineStr">
        <is>
          <t>CAP-11</t>
        </is>
      </c>
      <c r="C19" s="19" t="inlineStr">
        <is>
          <t>میلیون ریال</t>
        </is>
      </c>
      <c r="D19" s="18" t="n">
        <v>1200000</v>
      </c>
      <c r="E19" s="22" t="n">
        <v>0.4</v>
      </c>
      <c r="F19" s="18" t="n">
        <v>15</v>
      </c>
      <c r="G19" s="18" t="n">
        <v>0</v>
      </c>
      <c r="H19" s="22" t="n">
        <v>0</v>
      </c>
      <c r="I19" s="23" t="n">
        <v>0.1</v>
      </c>
      <c r="J19" s="22" t="n">
        <v>0.4</v>
      </c>
      <c r="K19" s="22" t="n">
        <v>0.4</v>
      </c>
      <c r="L19" s="22" t="n">
        <v>0.2</v>
      </c>
    </row>
    <row r="20"/>
    <row r="21">
      <c r="A21" s="15" t="inlineStr">
        <is>
          <t>توضیح: عمر مفید صفر = مستهلک نمی‌شود (زمین). دوره جایگزینی صفر = جایگزینی در افق مدل ندارد.</t>
        </is>
      </c>
    </row>
    <row r="22"/>
    <row r="23">
      <c r="A23" s="6" t="inlineStr">
        <is>
          <t>ب) ساختار تأمین مالی</t>
        </is>
      </c>
      <c r="B23" s="7" t="n"/>
      <c r="C23" s="7" t="n"/>
      <c r="D23" s="7" t="n"/>
      <c r="E23" s="7" t="n"/>
      <c r="F23" s="7" t="n"/>
      <c r="G23" s="7" t="n"/>
      <c r="H23" s="7" t="n"/>
      <c r="I23" s="7" t="n"/>
      <c r="J23" s="7" t="n"/>
      <c r="K23" s="7" t="n"/>
      <c r="L23" s="7" t="n"/>
      <c r="M23" s="7" t="n"/>
      <c r="N23" s="7" t="n"/>
      <c r="O23" s="7" t="n"/>
      <c r="P23" s="7" t="n"/>
    </row>
    <row r="24">
      <c r="A24" t="inlineStr">
        <is>
          <t>سهم تسهیلات بلندمدت از CAPEX</t>
        </is>
      </c>
      <c r="B24" s="8" t="inlineStr">
        <is>
          <t>FIN.debt_share</t>
        </is>
      </c>
      <c r="C24" s="9" t="inlineStr">
        <is>
          <t>درصد</t>
        </is>
      </c>
      <c r="D24" s="11" t="n">
        <v>0.6</v>
      </c>
    </row>
    <row r="25">
      <c r="A25" t="inlineStr">
        <is>
          <t>نرخ سود تسهیلات بلندمدت</t>
        </is>
      </c>
      <c r="B25" s="8" t="inlineStr">
        <is>
          <t>FIN.kd</t>
        </is>
      </c>
      <c r="C25" s="9" t="inlineStr">
        <is>
          <t>درصد</t>
        </is>
      </c>
      <c r="D25" s="11" t="n">
        <v>0.22</v>
      </c>
    </row>
    <row r="26">
      <c r="A26" t="inlineStr">
        <is>
          <t>کارمزد تخصیص/تعهد یکجا</t>
        </is>
      </c>
      <c r="B26" s="8" t="inlineStr">
        <is>
          <t>FIN.fee_arr</t>
        </is>
      </c>
      <c r="C26" s="9" t="inlineStr">
        <is>
          <t>درصد</t>
        </is>
      </c>
      <c r="D26" s="17" t="n">
        <v>0.015</v>
      </c>
    </row>
    <row r="27">
      <c r="A27" t="inlineStr">
        <is>
          <t>کارمزد تعهد روی مانده استفاده‌نشده</t>
        </is>
      </c>
      <c r="B27" s="8" t="inlineStr">
        <is>
          <t>FIN.fee_com</t>
        </is>
      </c>
      <c r="C27" s="9" t="inlineStr">
        <is>
          <t>درصد</t>
        </is>
      </c>
      <c r="D27" s="17" t="n">
        <v>0.005</v>
      </c>
    </row>
    <row r="28">
      <c r="A28" t="inlineStr">
        <is>
          <t>شاخص سال شروع بازپرداخت (t)</t>
        </is>
      </c>
      <c r="B28" s="8" t="inlineStr">
        <is>
          <t>FIN.repay_start</t>
        </is>
      </c>
      <c r="C28" s="9" t="inlineStr">
        <is>
          <t>شاخص</t>
        </is>
      </c>
      <c r="D28" s="10" t="n">
        <v>2</v>
      </c>
    </row>
    <row r="29">
      <c r="A29" t="inlineStr">
        <is>
          <t>دوره بازپرداخت (سال)</t>
        </is>
      </c>
      <c r="B29" s="8" t="inlineStr">
        <is>
          <t>FIN.repay_years</t>
        </is>
      </c>
      <c r="C29" s="9" t="inlineStr">
        <is>
          <t>سال</t>
        </is>
      </c>
      <c r="D29" s="14" t="n">
        <v>8</v>
      </c>
    </row>
    <row r="30">
      <c r="A30" t="inlineStr">
        <is>
          <t>روش بازپرداخت (1=اقساط مساوی اصل / 2=آنویتی)</t>
        </is>
      </c>
      <c r="B30" s="8" t="inlineStr">
        <is>
          <t>FIN.repay_method</t>
        </is>
      </c>
      <c r="C30" s="9" t="inlineStr">
        <is>
          <t>1/2</t>
        </is>
      </c>
      <c r="D30" s="10" t="n">
        <v>1</v>
      </c>
    </row>
    <row r="31">
      <c r="A31" t="inlineStr">
        <is>
          <t>نرخ سود تسهیلات کوتاه‌مدت (سرمایه در گردش)</t>
        </is>
      </c>
      <c r="B31" s="8" t="inlineStr">
        <is>
          <t>FIN.kd_st</t>
        </is>
      </c>
      <c r="C31" s="9" t="inlineStr">
        <is>
          <t>درصد</t>
        </is>
      </c>
      <c r="D31" s="11" t="n">
        <v>0.24</v>
      </c>
    </row>
    <row r="32">
      <c r="A32" t="inlineStr">
        <is>
          <t>حداقل DSCR قراردادی</t>
        </is>
      </c>
      <c r="B32" s="8" t="inlineStr">
        <is>
          <t>FIN.min_dscr</t>
        </is>
      </c>
      <c r="C32" s="9" t="inlineStr">
        <is>
          <t>ضریب</t>
        </is>
      </c>
      <c r="D32" s="12" t="n">
        <v>1.3</v>
      </c>
    </row>
    <row r="33">
      <c r="A33" t="inlineStr">
        <is>
          <t>سیاست تقسیم سود (درصد از سود خالص)</t>
        </is>
      </c>
      <c r="B33" s="8" t="inlineStr">
        <is>
          <t>FIN.payout</t>
        </is>
      </c>
      <c r="C33" s="9" t="inlineStr">
        <is>
          <t>درصد</t>
        </is>
      </c>
      <c r="D33" s="11" t="n">
        <v>0.4</v>
      </c>
    </row>
    <row r="34">
      <c r="A34" t="inlineStr">
        <is>
          <t>نرخ سود سپرده/درآمد غیرعملیاتی نقد</t>
        </is>
      </c>
      <c r="B34" s="8" t="inlineStr">
        <is>
          <t>FIN.i_income</t>
        </is>
      </c>
      <c r="C34" s="9" t="inlineStr">
        <is>
          <t>درصد</t>
        </is>
      </c>
      <c r="D34" s="11" t="n">
        <v>0.1</v>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P31"/>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۷. تعریف سناریوها و محورهای حساسیت</t>
        </is>
      </c>
      <c r="B1" s="2" t="inlineStr">
        <is>
          <t>لایه ورودی</t>
        </is>
      </c>
    </row>
    <row r="2">
      <c r="A2" s="3" t="inlineStr">
        <is>
          <t>ضرایب تعدیل مفروضات کلیدی در سناریوهای پایه / خوش‌بینانه / بدبینانه و محورهای ماتریس حساسیت.</t>
        </is>
      </c>
    </row>
    <row r="3"/>
    <row r="4"/>
    <row r="5"/>
    <row r="6"/>
    <row r="7">
      <c r="A7" s="6" t="inlineStr">
        <is>
          <t>الف) انتخاب سناریوی فعال</t>
        </is>
      </c>
      <c r="B7" s="7" t="n"/>
      <c r="C7" s="7" t="n"/>
      <c r="D7" s="7" t="n"/>
      <c r="E7" s="7" t="n"/>
      <c r="F7" s="7" t="n"/>
      <c r="G7" s="7" t="n"/>
      <c r="H7" s="7" t="n"/>
      <c r="I7" s="7" t="n"/>
      <c r="J7" s="7" t="n"/>
      <c r="K7" s="7" t="n"/>
      <c r="L7" s="7" t="n"/>
      <c r="M7" s="7" t="n"/>
      <c r="N7" s="7" t="n"/>
      <c r="O7" s="7" t="n"/>
      <c r="P7" s="7" t="n"/>
    </row>
    <row r="8">
      <c r="A8" t="inlineStr">
        <is>
          <t>سناریوی فعال (۱=پایه، ۲=خوش‌بینانه، ۳=بدبینانه)</t>
        </is>
      </c>
      <c r="B8" s="8" t="inlineStr">
        <is>
          <t>SCEN.active_in</t>
        </is>
      </c>
      <c r="C8" s="9" t="inlineStr">
        <is>
          <t>شاخص</t>
        </is>
      </c>
      <c r="D8" s="10" t="n">
        <v>1</v>
      </c>
    </row>
    <row r="9">
      <c r="A9" s="15" t="inlineStr">
        <is>
          <t>تغییر این سلول کل مدل را به‌صورت زنجیره‌ای به‌روزرسانی می‌کند (ورودی ← موتور ← خروجی).</t>
        </is>
      </c>
    </row>
    <row r="10"/>
    <row r="11">
      <c r="A11" s="6" t="inlineStr">
        <is>
          <t>ب) جدول ضرایب سناریوها</t>
        </is>
      </c>
      <c r="B11" s="7" t="n"/>
      <c r="C11" s="7" t="n"/>
      <c r="D11" s="7" t="n"/>
      <c r="E11" s="7" t="n"/>
      <c r="F11" s="7" t="n"/>
      <c r="G11" s="7" t="n"/>
      <c r="H11" s="7" t="n"/>
      <c r="I11" s="7" t="n"/>
      <c r="J11" s="7" t="n"/>
      <c r="K11" s="7" t="n"/>
      <c r="L11" s="7" t="n"/>
      <c r="M11" s="7" t="n"/>
      <c r="N11" s="7" t="n"/>
      <c r="O11" s="7" t="n"/>
      <c r="P11" s="7" t="n"/>
    </row>
    <row r="12">
      <c r="D12" s="16" t="inlineStr">
        <is>
          <t>پایه</t>
        </is>
      </c>
      <c r="E12" s="16" t="inlineStr">
        <is>
          <t>خوش‌بینانه</t>
        </is>
      </c>
      <c r="F12" s="16" t="inlineStr">
        <is>
          <t>بدبینانه</t>
        </is>
      </c>
    </row>
    <row r="13">
      <c r="A13" t="inlineStr">
        <is>
          <t>ضریب حجم تولید و فروش</t>
        </is>
      </c>
      <c r="B13" s="8" t="inlineStr">
        <is>
          <t>VOL</t>
        </is>
      </c>
      <c r="C13" s="9" t="inlineStr">
        <is>
          <t>ضریب</t>
        </is>
      </c>
      <c r="D13" s="12" t="n">
        <v>1</v>
      </c>
      <c r="E13" s="12" t="n">
        <v>1.08</v>
      </c>
      <c r="F13" s="12" t="n">
        <v>0.88</v>
      </c>
    </row>
    <row r="14">
      <c r="A14" t="inlineStr">
        <is>
          <t>ضریب قیمت فروش محصولات</t>
        </is>
      </c>
      <c r="B14" s="8" t="inlineStr">
        <is>
          <t>PRICE</t>
        </is>
      </c>
      <c r="C14" s="9" t="inlineStr">
        <is>
          <t>ضریب</t>
        </is>
      </c>
      <c r="D14" s="12" t="n">
        <v>1</v>
      </c>
      <c r="E14" s="12" t="n">
        <v>1.1</v>
      </c>
      <c r="F14" s="12" t="n">
        <v>0.9</v>
      </c>
    </row>
    <row r="15">
      <c r="A15" t="inlineStr">
        <is>
          <t>ضریب قیمت خرید باتری ضایعاتی</t>
        </is>
      </c>
      <c r="B15" s="8" t="inlineStr">
        <is>
          <t>RM</t>
        </is>
      </c>
      <c r="C15" s="9" t="inlineStr">
        <is>
          <t>ضریب</t>
        </is>
      </c>
      <c r="D15" s="12" t="n">
        <v>1</v>
      </c>
      <c r="E15" s="12" t="n">
        <v>0.95</v>
      </c>
      <c r="F15" s="12" t="n">
        <v>1.08</v>
      </c>
    </row>
    <row r="16">
      <c r="A16" t="inlineStr">
        <is>
          <t>ضریب سایر هزینه‌های متغیر</t>
        </is>
      </c>
      <c r="B16" s="8" t="inlineStr">
        <is>
          <t>VAR</t>
        </is>
      </c>
      <c r="C16" s="9" t="inlineStr">
        <is>
          <t>ضریب</t>
        </is>
      </c>
      <c r="D16" s="12" t="n">
        <v>1</v>
      </c>
      <c r="E16" s="12" t="n">
        <v>0.97</v>
      </c>
      <c r="F16" s="12" t="n">
        <v>1.1</v>
      </c>
    </row>
    <row r="17">
      <c r="A17" t="inlineStr">
        <is>
          <t>ضریب هزینه‌های ثابت</t>
        </is>
      </c>
      <c r="B17" s="8" t="inlineStr">
        <is>
          <t>FIX</t>
        </is>
      </c>
      <c r="C17" s="9" t="inlineStr">
        <is>
          <t>ضریب</t>
        </is>
      </c>
      <c r="D17" s="12" t="n">
        <v>1</v>
      </c>
      <c r="E17" s="12" t="n">
        <v>0.95</v>
      </c>
      <c r="F17" s="12" t="n">
        <v>1.12</v>
      </c>
    </row>
    <row r="18">
      <c r="A18" t="inlineStr">
        <is>
          <t>ضریب سرمایه‌گذاری ثابت</t>
        </is>
      </c>
      <c r="B18" s="8" t="inlineStr">
        <is>
          <t>CAPEX</t>
        </is>
      </c>
      <c r="C18" s="9" t="inlineStr">
        <is>
          <t>ضریب</t>
        </is>
      </c>
      <c r="D18" s="12" t="n">
        <v>1</v>
      </c>
      <c r="E18" s="12" t="n">
        <v>0.95</v>
      </c>
      <c r="F18" s="12" t="n">
        <v>1.15</v>
      </c>
    </row>
    <row r="19">
      <c r="A19" t="inlineStr">
        <is>
          <t>ضریب نرخ ارز</t>
        </is>
      </c>
      <c r="B19" s="8" t="inlineStr">
        <is>
          <t>FX</t>
        </is>
      </c>
      <c r="C19" s="9" t="inlineStr">
        <is>
          <t>ضریب</t>
        </is>
      </c>
      <c r="D19" s="12" t="n">
        <v>1</v>
      </c>
      <c r="E19" s="12" t="n">
        <v>1.05</v>
      </c>
      <c r="F19" s="12" t="n">
        <v>0.95</v>
      </c>
    </row>
    <row r="20">
      <c r="A20" t="inlineStr">
        <is>
          <t>تعدیل نرخ تنزیل</t>
        </is>
      </c>
      <c r="B20" s="8" t="inlineStr">
        <is>
          <t>WACC</t>
        </is>
      </c>
      <c r="C20" s="9" t="inlineStr">
        <is>
          <t>واحد درصد</t>
        </is>
      </c>
      <c r="D20" s="11" t="n">
        <v>0</v>
      </c>
      <c r="E20" s="11" t="n">
        <v>-0.02</v>
      </c>
      <c r="F20" s="11" t="n">
        <v>0.03</v>
      </c>
    </row>
    <row r="21">
      <c r="A21" t="inlineStr">
        <is>
          <t>تعدیل نرخ سود تسهیلات</t>
        </is>
      </c>
      <c r="B21" s="8" t="inlineStr">
        <is>
          <t>KD</t>
        </is>
      </c>
      <c r="C21" s="9" t="inlineStr">
        <is>
          <t>واحد درصد</t>
        </is>
      </c>
      <c r="D21" s="11" t="n">
        <v>0</v>
      </c>
      <c r="E21" s="11" t="n">
        <v>-0.01</v>
      </c>
      <c r="F21" s="11" t="n">
        <v>0.03</v>
      </c>
    </row>
    <row r="22"/>
    <row r="23">
      <c r="A23" s="6" t="inlineStr">
        <is>
          <t>ج) محورهای ماتریس حساسیت</t>
        </is>
      </c>
      <c r="B23" s="7" t="n"/>
      <c r="C23" s="7" t="n"/>
      <c r="D23" s="7" t="n"/>
      <c r="E23" s="7" t="n"/>
      <c r="F23" s="7" t="n"/>
      <c r="G23" s="7" t="n"/>
      <c r="H23" s="7" t="n"/>
      <c r="I23" s="7" t="n"/>
      <c r="J23" s="7" t="n"/>
      <c r="K23" s="7" t="n"/>
      <c r="L23" s="7" t="n"/>
      <c r="M23" s="7" t="n"/>
      <c r="N23" s="7" t="n"/>
      <c r="O23" s="7" t="n"/>
      <c r="P23" s="7" t="n"/>
    </row>
    <row r="24">
      <c r="A24" t="inlineStr">
        <is>
          <t>انحراف نرخ بهره/تنزیل</t>
        </is>
      </c>
      <c r="B24" s="8" t="inlineStr">
        <is>
          <t>SCEN.ax_rate</t>
        </is>
      </c>
      <c r="C24" s="9" t="inlineStr">
        <is>
          <t>درصد</t>
        </is>
      </c>
      <c r="D24" s="11" t="n">
        <v>-0.03</v>
      </c>
      <c r="E24" s="11" t="n">
        <v>-0.015</v>
      </c>
      <c r="F24" s="11" t="n">
        <v>0</v>
      </c>
      <c r="G24" s="11" t="n">
        <v>0.015</v>
      </c>
      <c r="H24" s="11" t="n">
        <v>0.03</v>
      </c>
    </row>
    <row r="25">
      <c r="A25" t="inlineStr">
        <is>
          <t>انحراف نرخ ارز</t>
        </is>
      </c>
      <c r="B25" s="8" t="inlineStr">
        <is>
          <t>SCEN.ax_fx</t>
        </is>
      </c>
      <c r="C25" s="9" t="inlineStr">
        <is>
          <t>درصد</t>
        </is>
      </c>
      <c r="D25" s="11" t="n">
        <v>-0.2</v>
      </c>
      <c r="E25" s="11" t="n">
        <v>-0.1</v>
      </c>
      <c r="F25" s="11" t="n">
        <v>0</v>
      </c>
      <c r="G25" s="11" t="n">
        <v>0.1</v>
      </c>
      <c r="H25" s="11" t="n">
        <v>0.2</v>
      </c>
    </row>
    <row r="26">
      <c r="A26" t="inlineStr">
        <is>
          <t>انحراف قیمت فروش</t>
        </is>
      </c>
      <c r="B26" s="8" t="inlineStr">
        <is>
          <t>SCEN.ax_price</t>
        </is>
      </c>
      <c r="C26" s="9" t="inlineStr">
        <is>
          <t>درصد</t>
        </is>
      </c>
      <c r="D26" s="11" t="n">
        <v>-0.15</v>
      </c>
      <c r="E26" s="11" t="n">
        <v>-0.075</v>
      </c>
      <c r="F26" s="11" t="n">
        <v>0</v>
      </c>
      <c r="G26" s="11" t="n">
        <v>0.075</v>
      </c>
      <c r="H26" s="11" t="n">
        <v>0.15</v>
      </c>
    </row>
    <row r="27"/>
    <row r="28">
      <c r="A28" s="6" t="inlineStr">
        <is>
          <t>د) شرح سناریوها</t>
        </is>
      </c>
      <c r="B28" s="7" t="n"/>
      <c r="C28" s="7" t="n"/>
      <c r="D28" s="7" t="n"/>
      <c r="E28" s="7" t="n"/>
      <c r="F28" s="7" t="n"/>
      <c r="G28" s="7" t="n"/>
      <c r="H28" s="7" t="n"/>
      <c r="I28" s="7" t="n"/>
      <c r="J28" s="7" t="n"/>
      <c r="K28" s="7" t="n"/>
      <c r="L28" s="7" t="n"/>
      <c r="M28" s="7" t="n"/>
      <c r="N28" s="7" t="n"/>
      <c r="O28" s="7" t="n"/>
      <c r="P28" s="7" t="n"/>
    </row>
    <row r="29">
      <c r="A29" s="15" t="inlineStr">
        <is>
          <t>پایه: مفروضاتِ مندرج در شیت‌های ورودی بدون تعدیل (تمام ضرایب برابر یک یا صفر).</t>
        </is>
      </c>
    </row>
    <row r="30">
      <c r="A30" s="15" t="inlineStr">
        <is>
          <t>خوش‌بینانه: رشد حجم و قیمت، کنترل هزینه‌ها و دسترسی بهتر به تأمین مالی.</t>
        </is>
      </c>
    </row>
    <row r="31">
      <c r="A31" s="15" t="inlineStr">
        <is>
          <t>بدبینانه: افت حجم و قیمت، افزایش هزینه‌ها، افزایش CAPEX و نرخ تأمین مالی.</t>
        </is>
      </c>
    </row>
  </sheetData>
  <pageMargins left="0.75" right="0.75" top="1" bottom="1" header="0.5" footer="0.5"/>
</worksheet>
</file>

<file path=xl/worksheets/sheet8.xml><?xml version="1.0" encoding="utf-8"?>
<worksheet xmlns="http://schemas.openxmlformats.org/spreadsheetml/2006/main">
  <sheetPr>
    <tabColor rgb="00A6A6A6"/>
    <outlinePr summaryBelow="1" summaryRight="1"/>
    <pageSetUpPr/>
  </sheetPr>
  <dimension ref="A1:P141"/>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موتور سناریو و حساسیت</t>
        </is>
      </c>
      <c r="B1" s="2" t="inlineStr">
        <is>
          <t>موتور محاسبات</t>
        </is>
      </c>
    </row>
    <row r="2">
      <c r="A2" s="3" t="inlineStr">
        <is>
          <t>اعمال ضرایب سناریوی فعال روی مفروضات کلیدی، ساخت مسیرهای تعدیل‌شده و شاخص‌های قیمتی.</t>
        </is>
      </c>
    </row>
    <row r="3"/>
    <row r="4"/>
    <row r="5"/>
    <row r="6"/>
    <row r="7">
      <c r="A7" s="4" t="inlineStr">
        <is>
          <t>دوره (t)</t>
        </is>
      </c>
      <c r="D7" s="5">
        <f>'IN_MACRO'!D$23</f>
        <v/>
      </c>
      <c r="E7" s="5">
        <f>'IN_MACRO'!E$23</f>
        <v/>
      </c>
      <c r="F7" s="5">
        <f>'IN_MACRO'!F$23</f>
        <v/>
      </c>
      <c r="G7" s="5">
        <f>'IN_MACRO'!G$23</f>
        <v/>
      </c>
      <c r="H7" s="5">
        <f>'IN_MACRO'!H$23</f>
        <v/>
      </c>
      <c r="I7" s="5">
        <f>'IN_MACRO'!I$23</f>
        <v/>
      </c>
      <c r="J7" s="5">
        <f>'IN_MACRO'!J$23</f>
        <v/>
      </c>
      <c r="K7" s="5">
        <f>'IN_MACRO'!K$23</f>
        <v/>
      </c>
      <c r="L7" s="5">
        <f>'IN_MACRO'!L$23</f>
        <v/>
      </c>
      <c r="M7" s="5">
        <f>'IN_MACRO'!M$23</f>
        <v/>
      </c>
      <c r="N7" s="5">
        <f>'IN_MACRO'!N$23</f>
        <v/>
      </c>
      <c r="O7" s="5">
        <f>'IN_MACRO'!O$23</f>
        <v/>
      </c>
      <c r="P7" s="5">
        <f>'IN_MACRO'!P$23</f>
        <v/>
      </c>
    </row>
    <row r="8">
      <c r="A8" s="4" t="inlineStr">
        <is>
          <t>سال تقویمی</t>
        </is>
      </c>
      <c r="D8" s="5">
        <f>'IN_MACRO'!D$24</f>
        <v/>
      </c>
      <c r="E8" s="5">
        <f>'IN_MACRO'!E$24</f>
        <v/>
      </c>
      <c r="F8" s="5">
        <f>'IN_MACRO'!F$24</f>
        <v/>
      </c>
      <c r="G8" s="5">
        <f>'IN_MACRO'!G$24</f>
        <v/>
      </c>
      <c r="H8" s="5">
        <f>'IN_MACRO'!H$24</f>
        <v/>
      </c>
      <c r="I8" s="5">
        <f>'IN_MACRO'!I$24</f>
        <v/>
      </c>
      <c r="J8" s="5">
        <f>'IN_MACRO'!J$24</f>
        <v/>
      </c>
      <c r="K8" s="5">
        <f>'IN_MACRO'!K$24</f>
        <v/>
      </c>
      <c r="L8" s="5">
        <f>'IN_MACRO'!L$24</f>
        <v/>
      </c>
      <c r="M8" s="5">
        <f>'IN_MACRO'!M$24</f>
        <v/>
      </c>
      <c r="N8" s="5">
        <f>'IN_MACRO'!N$24</f>
        <v/>
      </c>
      <c r="O8" s="5">
        <f>'IN_MACRO'!O$24</f>
        <v/>
      </c>
      <c r="P8" s="5">
        <f>'IN_MACRO'!P$24</f>
        <v/>
      </c>
    </row>
    <row r="9">
      <c r="A9" s="6" t="inlineStr">
        <is>
          <t>الف) سناریوی فعال و ضرایب تعدیل</t>
        </is>
      </c>
      <c r="B9" s="7" t="n"/>
      <c r="C9" s="7" t="n"/>
      <c r="D9" s="7" t="n"/>
      <c r="E9" s="7" t="n"/>
      <c r="F9" s="7" t="n"/>
      <c r="G9" s="7" t="n"/>
      <c r="H9" s="7" t="n"/>
      <c r="I9" s="7" t="n"/>
      <c r="J9" s="7" t="n"/>
      <c r="K9" s="7" t="n"/>
      <c r="L9" s="7" t="n"/>
      <c r="M9" s="7" t="n"/>
      <c r="N9" s="7" t="n"/>
      <c r="O9" s="7" t="n"/>
      <c r="P9" s="7" t="n"/>
    </row>
    <row r="10">
      <c r="A10" t="inlineStr">
        <is>
          <t>سناریوی فعال (۱=پایه / ۲=خوش‌بینانه / ۳=بدبینانه)</t>
        </is>
      </c>
      <c r="C10" s="9" t="inlineStr">
        <is>
          <t>شاخص</t>
        </is>
      </c>
      <c r="D10">
        <f>'IN_SCEN'!$D$8</f>
        <v/>
      </c>
    </row>
    <row r="11">
      <c r="A11" t="inlineStr">
        <is>
          <t>ضریب حجم تولید و فروش — مقدار فعال</t>
        </is>
      </c>
      <c r="B11" s="8" t="inlineStr">
        <is>
          <t>VOL</t>
        </is>
      </c>
      <c r="C11" s="9" t="inlineStr">
        <is>
          <t>ضریب</t>
        </is>
      </c>
      <c r="D11" s="12">
        <f>'IN_SCEN'!$D$13</f>
        <v/>
      </c>
      <c r="E11" s="12">
        <f>'IN_SCEN'!$E$13</f>
        <v/>
      </c>
      <c r="F11" s="12">
        <f>'IN_SCEN'!$F$13</f>
        <v/>
      </c>
      <c r="G11" s="12">
        <f>INDEX('IN_SCEN'!$D$13:$F$13,'ENG_SCEN'!$D$10)</f>
        <v/>
      </c>
      <c r="H11" s="12" t="n"/>
      <c r="I11" s="12" t="n"/>
      <c r="J11" s="12" t="n"/>
      <c r="K11" s="12" t="n"/>
      <c r="L11" s="12" t="n"/>
      <c r="M11" s="12" t="n"/>
      <c r="N11" s="12" t="n"/>
      <c r="O11" s="12" t="n"/>
      <c r="P11" s="12" t="n"/>
    </row>
    <row r="12">
      <c r="A12" t="inlineStr">
        <is>
          <t>ضریب قیمت فروش محصولات — مقدار فعال</t>
        </is>
      </c>
      <c r="B12" s="8" t="inlineStr">
        <is>
          <t>PRICE</t>
        </is>
      </c>
      <c r="C12" s="9" t="inlineStr">
        <is>
          <t>ضریب</t>
        </is>
      </c>
      <c r="D12" s="12">
        <f>'IN_SCEN'!$D$14</f>
        <v/>
      </c>
      <c r="E12" s="12">
        <f>'IN_SCEN'!$E$14</f>
        <v/>
      </c>
      <c r="F12" s="12">
        <f>'IN_SCEN'!$F$14</f>
        <v/>
      </c>
      <c r="G12" s="12">
        <f>INDEX('IN_SCEN'!$D$14:$F$14,'ENG_SCEN'!$D$10)</f>
        <v/>
      </c>
      <c r="H12" s="12" t="n"/>
      <c r="I12" s="12" t="n"/>
      <c r="J12" s="12" t="n"/>
      <c r="K12" s="12" t="n"/>
      <c r="L12" s="12" t="n"/>
      <c r="M12" s="12" t="n"/>
      <c r="N12" s="12" t="n"/>
      <c r="O12" s="12" t="n"/>
      <c r="P12" s="12" t="n"/>
    </row>
    <row r="13">
      <c r="A13" t="inlineStr">
        <is>
          <t>ضریب قیمت خرید باتری ضایعاتی — مقدار فعال</t>
        </is>
      </c>
      <c r="B13" s="8" t="inlineStr">
        <is>
          <t>RM</t>
        </is>
      </c>
      <c r="C13" s="9" t="inlineStr">
        <is>
          <t>ضریب</t>
        </is>
      </c>
      <c r="D13" s="12">
        <f>'IN_SCEN'!$D$15</f>
        <v/>
      </c>
      <c r="E13" s="12">
        <f>'IN_SCEN'!$E$15</f>
        <v/>
      </c>
      <c r="F13" s="12">
        <f>'IN_SCEN'!$F$15</f>
        <v/>
      </c>
      <c r="G13" s="12">
        <f>INDEX('IN_SCEN'!$D$15:$F$15,'ENG_SCEN'!$D$10)</f>
        <v/>
      </c>
      <c r="H13" s="12" t="n"/>
      <c r="I13" s="12" t="n"/>
      <c r="J13" s="12" t="n"/>
      <c r="K13" s="12" t="n"/>
      <c r="L13" s="12" t="n"/>
      <c r="M13" s="12" t="n"/>
      <c r="N13" s="12" t="n"/>
      <c r="O13" s="12" t="n"/>
      <c r="P13" s="12" t="n"/>
    </row>
    <row r="14">
      <c r="A14" t="inlineStr">
        <is>
          <t>ضریب سایر هزینه‌های متغیر — مقدار فعال</t>
        </is>
      </c>
      <c r="B14" s="8" t="inlineStr">
        <is>
          <t>VAR</t>
        </is>
      </c>
      <c r="C14" s="9" t="inlineStr">
        <is>
          <t>ضریب</t>
        </is>
      </c>
      <c r="D14" s="12">
        <f>'IN_SCEN'!$D$16</f>
        <v/>
      </c>
      <c r="E14" s="12">
        <f>'IN_SCEN'!$E$16</f>
        <v/>
      </c>
      <c r="F14" s="12">
        <f>'IN_SCEN'!$F$16</f>
        <v/>
      </c>
      <c r="G14" s="12">
        <f>INDEX('IN_SCEN'!$D$16:$F$16,'ENG_SCEN'!$D$10)</f>
        <v/>
      </c>
      <c r="H14" s="12" t="n"/>
      <c r="I14" s="12" t="n"/>
      <c r="J14" s="12" t="n"/>
      <c r="K14" s="12" t="n"/>
      <c r="L14" s="12" t="n"/>
      <c r="M14" s="12" t="n"/>
      <c r="N14" s="12" t="n"/>
      <c r="O14" s="12" t="n"/>
      <c r="P14" s="12" t="n"/>
    </row>
    <row r="15">
      <c r="A15" t="inlineStr">
        <is>
          <t>ضریب هزینه‌های ثابت — مقدار فعال</t>
        </is>
      </c>
      <c r="B15" s="8" t="inlineStr">
        <is>
          <t>FIX</t>
        </is>
      </c>
      <c r="C15" s="9" t="inlineStr">
        <is>
          <t>ضریب</t>
        </is>
      </c>
      <c r="D15" s="12">
        <f>'IN_SCEN'!$D$17</f>
        <v/>
      </c>
      <c r="E15" s="12">
        <f>'IN_SCEN'!$E$17</f>
        <v/>
      </c>
      <c r="F15" s="12">
        <f>'IN_SCEN'!$F$17</f>
        <v/>
      </c>
      <c r="G15" s="12">
        <f>INDEX('IN_SCEN'!$D$17:$F$17,'ENG_SCEN'!$D$10)</f>
        <v/>
      </c>
      <c r="H15" s="12" t="n"/>
      <c r="I15" s="12" t="n"/>
      <c r="J15" s="12" t="n"/>
      <c r="K15" s="12" t="n"/>
      <c r="L15" s="12" t="n"/>
      <c r="M15" s="12" t="n"/>
      <c r="N15" s="12" t="n"/>
      <c r="O15" s="12" t="n"/>
      <c r="P15" s="12" t="n"/>
    </row>
    <row r="16">
      <c r="A16" t="inlineStr">
        <is>
          <t>ضریب سرمایه‌گذاری ثابت — مقدار فعال</t>
        </is>
      </c>
      <c r="B16" s="8" t="inlineStr">
        <is>
          <t>CAPEX</t>
        </is>
      </c>
      <c r="C16" s="9" t="inlineStr">
        <is>
          <t>ضریب</t>
        </is>
      </c>
      <c r="D16" s="12">
        <f>'IN_SCEN'!$D$18</f>
        <v/>
      </c>
      <c r="E16" s="12">
        <f>'IN_SCEN'!$E$18</f>
        <v/>
      </c>
      <c r="F16" s="12">
        <f>'IN_SCEN'!$F$18</f>
        <v/>
      </c>
      <c r="G16" s="12">
        <f>INDEX('IN_SCEN'!$D$18:$F$18,'ENG_SCEN'!$D$10)</f>
        <v/>
      </c>
      <c r="H16" s="12" t="n"/>
      <c r="I16" s="12" t="n"/>
      <c r="J16" s="12" t="n"/>
      <c r="K16" s="12" t="n"/>
      <c r="L16" s="12" t="n"/>
      <c r="M16" s="12" t="n"/>
      <c r="N16" s="12" t="n"/>
      <c r="O16" s="12" t="n"/>
      <c r="P16" s="12" t="n"/>
    </row>
    <row r="17">
      <c r="A17" t="inlineStr">
        <is>
          <t>ضریب نرخ ارز — مقدار فعال</t>
        </is>
      </c>
      <c r="B17" s="8" t="inlineStr">
        <is>
          <t>FX</t>
        </is>
      </c>
      <c r="C17" s="9" t="inlineStr">
        <is>
          <t>ضریب</t>
        </is>
      </c>
      <c r="D17" s="12">
        <f>'IN_SCEN'!$D$19</f>
        <v/>
      </c>
      <c r="E17" s="12">
        <f>'IN_SCEN'!$E$19</f>
        <v/>
      </c>
      <c r="F17" s="12">
        <f>'IN_SCEN'!$F$19</f>
        <v/>
      </c>
      <c r="G17" s="12">
        <f>INDEX('IN_SCEN'!$D$19:$F$19,'ENG_SCEN'!$D$10)</f>
        <v/>
      </c>
      <c r="H17" s="12" t="n"/>
      <c r="I17" s="12" t="n"/>
      <c r="J17" s="12" t="n"/>
      <c r="K17" s="12" t="n"/>
      <c r="L17" s="12" t="n"/>
      <c r="M17" s="12" t="n"/>
      <c r="N17" s="12" t="n"/>
      <c r="O17" s="12" t="n"/>
      <c r="P17" s="12" t="n"/>
    </row>
    <row r="18">
      <c r="A18" t="inlineStr">
        <is>
          <t>تعدیل نرخ تنزیل — مقدار فعال</t>
        </is>
      </c>
      <c r="B18" s="8" t="inlineStr">
        <is>
          <t>WACC</t>
        </is>
      </c>
      <c r="C18" s="9" t="inlineStr">
        <is>
          <t>واحد درصد</t>
        </is>
      </c>
      <c r="D18" s="11">
        <f>'IN_SCEN'!$D$20</f>
        <v/>
      </c>
      <c r="E18" s="11">
        <f>'IN_SCEN'!$E$20</f>
        <v/>
      </c>
      <c r="F18" s="11">
        <f>'IN_SCEN'!$F$20</f>
        <v/>
      </c>
      <c r="G18" s="11">
        <f>INDEX('IN_SCEN'!$D$20:$F$20,'ENG_SCEN'!$D$10)</f>
        <v/>
      </c>
      <c r="H18" s="11" t="n"/>
      <c r="I18" s="11" t="n"/>
      <c r="J18" s="11" t="n"/>
      <c r="K18" s="11" t="n"/>
      <c r="L18" s="11" t="n"/>
      <c r="M18" s="11" t="n"/>
      <c r="N18" s="11" t="n"/>
      <c r="O18" s="11" t="n"/>
      <c r="P18" s="11" t="n"/>
    </row>
    <row r="19">
      <c r="A19" t="inlineStr">
        <is>
          <t>تعدیل نرخ سود تسهیلات — مقدار فعال</t>
        </is>
      </c>
      <c r="B19" s="8" t="inlineStr">
        <is>
          <t>KD</t>
        </is>
      </c>
      <c r="C19" s="9" t="inlineStr">
        <is>
          <t>واحد درصد</t>
        </is>
      </c>
      <c r="D19" s="11">
        <f>'IN_SCEN'!$D$21</f>
        <v/>
      </c>
      <c r="E19" s="11">
        <f>'IN_SCEN'!$E$21</f>
        <v/>
      </c>
      <c r="F19" s="11">
        <f>'IN_SCEN'!$F$21</f>
        <v/>
      </c>
      <c r="G19" s="11">
        <f>INDEX('IN_SCEN'!$D$21:$F$21,'ENG_SCEN'!$D$10)</f>
        <v/>
      </c>
      <c r="H19" s="11" t="n"/>
      <c r="I19" s="11" t="n"/>
      <c r="J19" s="11" t="n"/>
      <c r="K19" s="11" t="n"/>
      <c r="L19" s="11" t="n"/>
      <c r="M19" s="11" t="n"/>
      <c r="N19" s="11" t="n"/>
      <c r="O19" s="11" t="n"/>
      <c r="P19" s="11" t="n"/>
    </row>
    <row r="20"/>
    <row r="21">
      <c r="A21" s="6" t="inlineStr">
        <is>
          <t>ب) مسیرهای تعدیل‌شدهٔ اقتصاد کلان</t>
        </is>
      </c>
      <c r="B21" s="7" t="n"/>
      <c r="C21" s="7" t="n"/>
      <c r="D21" s="7" t="n"/>
      <c r="E21" s="7" t="n"/>
      <c r="F21" s="7" t="n"/>
      <c r="G21" s="7" t="n"/>
      <c r="H21" s="7" t="n"/>
      <c r="I21" s="7" t="n"/>
      <c r="J21" s="7" t="n"/>
      <c r="K21" s="7" t="n"/>
      <c r="L21" s="7" t="n"/>
      <c r="M21" s="7" t="n"/>
      <c r="N21" s="7" t="n"/>
      <c r="O21" s="7" t="n"/>
      <c r="P21" s="7" t="n"/>
    </row>
    <row r="22">
      <c r="A22" t="inlineStr">
        <is>
          <t>شاخص تورم عمومی</t>
        </is>
      </c>
      <c r="B22" s="8" t="inlineStr">
        <is>
          <t>SCEN.infl</t>
        </is>
      </c>
      <c r="C22" s="9" t="inlineStr">
        <is>
          <t>─</t>
        </is>
      </c>
      <c r="D22" s="11">
        <f>'IN_MACRO'!$D$25</f>
        <v/>
      </c>
      <c r="E22" s="11">
        <f>'IN_MACRO'!$E$25</f>
        <v/>
      </c>
      <c r="F22" s="11">
        <f>'IN_MACRO'!$F$25</f>
        <v/>
      </c>
      <c r="G22" s="11">
        <f>'IN_MACRO'!$G$25</f>
        <v/>
      </c>
      <c r="H22" s="11">
        <f>'IN_MACRO'!$H$25</f>
        <v/>
      </c>
      <c r="I22" s="11">
        <f>'IN_MACRO'!$I$25</f>
        <v/>
      </c>
      <c r="J22" s="11">
        <f>'IN_MACRO'!$J$25</f>
        <v/>
      </c>
      <c r="K22" s="11">
        <f>'IN_MACRO'!$K$25</f>
        <v/>
      </c>
      <c r="L22" s="11">
        <f>'IN_MACRO'!$L$25</f>
        <v/>
      </c>
      <c r="M22" s="11">
        <f>'IN_MACRO'!$M$25</f>
        <v/>
      </c>
      <c r="N22" s="11">
        <f>'IN_MACRO'!$N$25</f>
        <v/>
      </c>
      <c r="O22" s="11">
        <f>'IN_MACRO'!$O$25</f>
        <v/>
      </c>
      <c r="P22" s="11">
        <f>'IN_MACRO'!$P$25</f>
        <v/>
      </c>
    </row>
    <row r="23">
      <c r="A23" t="inlineStr">
        <is>
          <t>شاخص رشد دستمزد</t>
        </is>
      </c>
      <c r="B23" s="8" t="inlineStr">
        <is>
          <t>SCEN.wage</t>
        </is>
      </c>
      <c r="C23" s="9" t="inlineStr">
        <is>
          <t>─</t>
        </is>
      </c>
      <c r="D23" s="11">
        <f>'IN_MACRO'!$D$26</f>
        <v/>
      </c>
      <c r="E23" s="11">
        <f>'IN_MACRO'!$E$26</f>
        <v/>
      </c>
      <c r="F23" s="11">
        <f>'IN_MACRO'!$F$26</f>
        <v/>
      </c>
      <c r="G23" s="11">
        <f>'IN_MACRO'!$G$26</f>
        <v/>
      </c>
      <c r="H23" s="11">
        <f>'IN_MACRO'!$H$26</f>
        <v/>
      </c>
      <c r="I23" s="11">
        <f>'IN_MACRO'!$I$26</f>
        <v/>
      </c>
      <c r="J23" s="11">
        <f>'IN_MACRO'!$J$26</f>
        <v/>
      </c>
      <c r="K23" s="11">
        <f>'IN_MACRO'!$K$26</f>
        <v/>
      </c>
      <c r="L23" s="11">
        <f>'IN_MACRO'!$L$26</f>
        <v/>
      </c>
      <c r="M23" s="11">
        <f>'IN_MACRO'!$M$26</f>
        <v/>
      </c>
      <c r="N23" s="11">
        <f>'IN_MACRO'!$N$26</f>
        <v/>
      </c>
      <c r="O23" s="11">
        <f>'IN_MACRO'!$O$26</f>
        <v/>
      </c>
      <c r="P23" s="11">
        <f>'IN_MACRO'!$P$26</f>
        <v/>
      </c>
    </row>
    <row r="24">
      <c r="A24" t="inlineStr">
        <is>
          <t>شاخص رشد قیمت انرژی</t>
        </is>
      </c>
      <c r="B24" s="8" t="inlineStr">
        <is>
          <t>SCEN.energy</t>
        </is>
      </c>
      <c r="C24" s="9" t="inlineStr">
        <is>
          <t>─</t>
        </is>
      </c>
      <c r="D24" s="11">
        <f>'IN_MACRO'!$D$27</f>
        <v/>
      </c>
      <c r="E24" s="11">
        <f>'IN_MACRO'!$E$27</f>
        <v/>
      </c>
      <c r="F24" s="11">
        <f>'IN_MACRO'!$F$27</f>
        <v/>
      </c>
      <c r="G24" s="11">
        <f>'IN_MACRO'!$G$27</f>
        <v/>
      </c>
      <c r="H24" s="11">
        <f>'IN_MACRO'!$H$27</f>
        <v/>
      </c>
      <c r="I24" s="11">
        <f>'IN_MACRO'!$I$27</f>
        <v/>
      </c>
      <c r="J24" s="11">
        <f>'IN_MACRO'!$J$27</f>
        <v/>
      </c>
      <c r="K24" s="11">
        <f>'IN_MACRO'!$K$27</f>
        <v/>
      </c>
      <c r="L24" s="11">
        <f>'IN_MACRO'!$L$27</f>
        <v/>
      </c>
      <c r="M24" s="11">
        <f>'IN_MACRO'!$M$27</f>
        <v/>
      </c>
      <c r="N24" s="11">
        <f>'IN_MACRO'!$N$27</f>
        <v/>
      </c>
      <c r="O24" s="11">
        <f>'IN_MACRO'!$O$27</f>
        <v/>
      </c>
      <c r="P24" s="11">
        <f>'IN_MACRO'!$P$27</f>
        <v/>
      </c>
    </row>
    <row r="25">
      <c r="A25" t="inlineStr">
        <is>
          <t>شاخص قیمت تولیدکننده</t>
        </is>
      </c>
      <c r="B25" s="8" t="inlineStr">
        <is>
          <t>SCEN.ppi</t>
        </is>
      </c>
      <c r="C25" s="9" t="inlineStr">
        <is>
          <t>─</t>
        </is>
      </c>
      <c r="D25" s="11">
        <f>'IN_MACRO'!$D$32</f>
        <v/>
      </c>
      <c r="E25" s="11">
        <f>'IN_MACRO'!$E$32</f>
        <v/>
      </c>
      <c r="F25" s="11">
        <f>'IN_MACRO'!$F$32</f>
        <v/>
      </c>
      <c r="G25" s="11">
        <f>'IN_MACRO'!$G$32</f>
        <v/>
      </c>
      <c r="H25" s="11">
        <f>'IN_MACRO'!$H$32</f>
        <v/>
      </c>
      <c r="I25" s="11">
        <f>'IN_MACRO'!$I$32</f>
        <v/>
      </c>
      <c r="J25" s="11">
        <f>'IN_MACRO'!$J$32</f>
        <v/>
      </c>
      <c r="K25" s="11">
        <f>'IN_MACRO'!$K$32</f>
        <v/>
      </c>
      <c r="L25" s="11">
        <f>'IN_MACRO'!$L$32</f>
        <v/>
      </c>
      <c r="M25" s="11">
        <f>'IN_MACRO'!$M$32</f>
        <v/>
      </c>
      <c r="N25" s="11">
        <f>'IN_MACRO'!$N$32</f>
        <v/>
      </c>
      <c r="O25" s="11">
        <f>'IN_MACRO'!$O$32</f>
        <v/>
      </c>
      <c r="P25" s="11">
        <f>'IN_MACRO'!$P$32</f>
        <v/>
      </c>
    </row>
    <row r="26">
      <c r="A26" t="inlineStr">
        <is>
          <t>نرخ سود بدون ریسک</t>
        </is>
      </c>
      <c r="B26" s="8" t="inlineStr">
        <is>
          <t>SCEN.rf</t>
        </is>
      </c>
      <c r="C26" s="9" t="inlineStr">
        <is>
          <t>─</t>
        </is>
      </c>
      <c r="D26" s="11">
        <f>'IN_MACRO'!$D$30</f>
        <v/>
      </c>
      <c r="E26" s="11">
        <f>'IN_MACRO'!$E$30</f>
        <v/>
      </c>
      <c r="F26" s="11">
        <f>'IN_MACRO'!$F$30</f>
        <v/>
      </c>
      <c r="G26" s="11">
        <f>'IN_MACRO'!$G$30</f>
        <v/>
      </c>
      <c r="H26" s="11">
        <f>'IN_MACRO'!$H$30</f>
        <v/>
      </c>
      <c r="I26" s="11">
        <f>'IN_MACRO'!$I$30</f>
        <v/>
      </c>
      <c r="J26" s="11">
        <f>'IN_MACRO'!$J$30</f>
        <v/>
      </c>
      <c r="K26" s="11">
        <f>'IN_MACRO'!$K$30</f>
        <v/>
      </c>
      <c r="L26" s="11">
        <f>'IN_MACRO'!$L$30</f>
        <v/>
      </c>
      <c r="M26" s="11">
        <f>'IN_MACRO'!$M$30</f>
        <v/>
      </c>
      <c r="N26" s="11">
        <f>'IN_MACRO'!$N$30</f>
        <v/>
      </c>
      <c r="O26" s="11">
        <f>'IN_MACRO'!$O$30</f>
        <v/>
      </c>
      <c r="P26" s="11">
        <f>'IN_MACRO'!$P$30</f>
        <v/>
      </c>
    </row>
    <row r="27">
      <c r="A27" t="inlineStr">
        <is>
          <t>رشد GDP بخش هدف</t>
        </is>
      </c>
      <c r="B27" s="8" t="inlineStr">
        <is>
          <t>SCEN.gdp</t>
        </is>
      </c>
      <c r="C27" s="9" t="inlineStr">
        <is>
          <t>─</t>
        </is>
      </c>
      <c r="D27" s="11">
        <f>'IN_MACRO'!$D$31</f>
        <v/>
      </c>
      <c r="E27" s="11">
        <f>'IN_MACRO'!$E$31</f>
        <v/>
      </c>
      <c r="F27" s="11">
        <f>'IN_MACRO'!$F$31</f>
        <v/>
      </c>
      <c r="G27" s="11">
        <f>'IN_MACRO'!$G$31</f>
        <v/>
      </c>
      <c r="H27" s="11">
        <f>'IN_MACRO'!$H$31</f>
        <v/>
      </c>
      <c r="I27" s="11">
        <f>'IN_MACRO'!$I$31</f>
        <v/>
      </c>
      <c r="J27" s="11">
        <f>'IN_MACRO'!$J$31</f>
        <v/>
      </c>
      <c r="K27" s="11">
        <f>'IN_MACRO'!$K$31</f>
        <v/>
      </c>
      <c r="L27" s="11">
        <f>'IN_MACRO'!$L$31</f>
        <v/>
      </c>
      <c r="M27" s="11">
        <f>'IN_MACRO'!$M$31</f>
        <v/>
      </c>
      <c r="N27" s="11">
        <f>'IN_MACRO'!$N$31</f>
        <v/>
      </c>
      <c r="O27" s="11">
        <f>'IN_MACRO'!$O$31</f>
        <v/>
      </c>
      <c r="P27" s="11">
        <f>'IN_MACRO'!$P$31</f>
        <v/>
      </c>
    </row>
    <row r="28">
      <c r="A28" t="inlineStr">
        <is>
          <t>قیمت جهانی سرب LME</t>
        </is>
      </c>
      <c r="B28" s="8" t="inlineStr">
        <is>
          <t>SCEN.lme</t>
        </is>
      </c>
      <c r="C28" s="9" t="inlineStr">
        <is>
          <t>─</t>
        </is>
      </c>
      <c r="D28" s="14">
        <f>'IN_MACRO'!$D$29</f>
        <v/>
      </c>
      <c r="E28" s="14">
        <f>'IN_MACRO'!$E$29</f>
        <v/>
      </c>
      <c r="F28" s="14">
        <f>'IN_MACRO'!$F$29</f>
        <v/>
      </c>
      <c r="G28" s="14">
        <f>'IN_MACRO'!$G$29</f>
        <v/>
      </c>
      <c r="H28" s="14">
        <f>'IN_MACRO'!$H$29</f>
        <v/>
      </c>
      <c r="I28" s="14">
        <f>'IN_MACRO'!$I$29</f>
        <v/>
      </c>
      <c r="J28" s="14">
        <f>'IN_MACRO'!$J$29</f>
        <v/>
      </c>
      <c r="K28" s="14">
        <f>'IN_MACRO'!$K$29</f>
        <v/>
      </c>
      <c r="L28" s="14">
        <f>'IN_MACRO'!$L$29</f>
        <v/>
      </c>
      <c r="M28" s="14">
        <f>'IN_MACRO'!$M$29</f>
        <v/>
      </c>
      <c r="N28" s="14">
        <f>'IN_MACRO'!$N$29</f>
        <v/>
      </c>
      <c r="O28" s="14">
        <f>'IN_MACRO'!$O$29</f>
        <v/>
      </c>
      <c r="P28" s="14">
        <f>'IN_MACRO'!$P$29</f>
        <v/>
      </c>
    </row>
    <row r="29">
      <c r="A29" t="inlineStr">
        <is>
          <t>نرخ ارز (تعدیل‌شده)</t>
        </is>
      </c>
      <c r="B29" s="8" t="inlineStr">
        <is>
          <t>SCEN.fx</t>
        </is>
      </c>
      <c r="C29" s="9" t="inlineStr">
        <is>
          <t>─</t>
        </is>
      </c>
      <c r="D29" s="14">
        <f>'IN_MACRO'!$D$28*'ENG_SCEN'!$G$17</f>
        <v/>
      </c>
      <c r="E29" s="14">
        <f>'IN_MACRO'!$E$28*'ENG_SCEN'!$G$17</f>
        <v/>
      </c>
      <c r="F29" s="14">
        <f>'IN_MACRO'!$F$28*'ENG_SCEN'!$G$17</f>
        <v/>
      </c>
      <c r="G29" s="14">
        <f>'IN_MACRO'!$G$28*'ENG_SCEN'!$G$17</f>
        <v/>
      </c>
      <c r="H29" s="14">
        <f>'IN_MACRO'!$H$28*'ENG_SCEN'!$G$17</f>
        <v/>
      </c>
      <c r="I29" s="14">
        <f>'IN_MACRO'!$I$28*'ENG_SCEN'!$G$17</f>
        <v/>
      </c>
      <c r="J29" s="14">
        <f>'IN_MACRO'!$J$28*'ENG_SCEN'!$G$17</f>
        <v/>
      </c>
      <c r="K29" s="14">
        <f>'IN_MACRO'!$K$28*'ENG_SCEN'!$G$17</f>
        <v/>
      </c>
      <c r="L29" s="14">
        <f>'IN_MACRO'!$L$28*'ENG_SCEN'!$G$17</f>
        <v/>
      </c>
      <c r="M29" s="14">
        <f>'IN_MACRO'!$M$28*'ENG_SCEN'!$G$17</f>
        <v/>
      </c>
      <c r="N29" s="14">
        <f>'IN_MACRO'!$N$28*'ENG_SCEN'!$G$17</f>
        <v/>
      </c>
      <c r="O29" s="14">
        <f>'IN_MACRO'!$O$28*'ENG_SCEN'!$G$17</f>
        <v/>
      </c>
      <c r="P29" s="14">
        <f>'IN_MACRO'!$P$28*'ENG_SCEN'!$G$17</f>
        <v/>
      </c>
    </row>
    <row r="30"/>
    <row r="31">
      <c r="A31" s="6" t="inlineStr">
        <is>
          <t>ج) شاخص‌های قیمتی تجمعی (سال پایه = ۱)</t>
        </is>
      </c>
      <c r="B31" s="7" t="n"/>
      <c r="C31" s="7" t="n"/>
      <c r="D31" s="7" t="n"/>
      <c r="E31" s="7" t="n"/>
      <c r="F31" s="7" t="n"/>
      <c r="G31" s="7" t="n"/>
      <c r="H31" s="7" t="n"/>
      <c r="I31" s="7" t="n"/>
      <c r="J31" s="7" t="n"/>
      <c r="K31" s="7" t="n"/>
      <c r="L31" s="7" t="n"/>
      <c r="M31" s="7" t="n"/>
      <c r="N31" s="7" t="n"/>
      <c r="O31" s="7" t="n"/>
      <c r="P31" s="7" t="n"/>
    </row>
    <row r="32">
      <c r="A32" t="inlineStr">
        <is>
          <t>شاخص تورم عمومی</t>
        </is>
      </c>
      <c r="C32" s="9" t="inlineStr">
        <is>
          <t>ضریب</t>
        </is>
      </c>
      <c r="D32" s="12">
        <f>1</f>
        <v/>
      </c>
      <c r="E32" s="12">
        <f>D32*(1+'ENG_SCEN'!$E$22)</f>
        <v/>
      </c>
      <c r="F32" s="12">
        <f>E32*(1+'ENG_SCEN'!$F$22)</f>
        <v/>
      </c>
      <c r="G32" s="12">
        <f>F32*(1+'ENG_SCEN'!$G$22)</f>
        <v/>
      </c>
      <c r="H32" s="12">
        <f>G32*(1+'ENG_SCEN'!$H$22)</f>
        <v/>
      </c>
      <c r="I32" s="12">
        <f>H32*(1+'ENG_SCEN'!$I$22)</f>
        <v/>
      </c>
      <c r="J32" s="12">
        <f>I32*(1+'ENG_SCEN'!$J$22)</f>
        <v/>
      </c>
      <c r="K32" s="12">
        <f>J32*(1+'ENG_SCEN'!$K$22)</f>
        <v/>
      </c>
      <c r="L32" s="12">
        <f>K32*(1+'ENG_SCEN'!$L$22)</f>
        <v/>
      </c>
      <c r="M32" s="12">
        <f>L32*(1+'ENG_SCEN'!$M$22)</f>
        <v/>
      </c>
      <c r="N32" s="12">
        <f>M32*(1+'ENG_SCEN'!$N$22)</f>
        <v/>
      </c>
      <c r="O32" s="12">
        <f>N32*(1+'ENG_SCEN'!$O$22)</f>
        <v/>
      </c>
      <c r="P32" s="12">
        <f>O32*(1+'ENG_SCEN'!$P$22)</f>
        <v/>
      </c>
    </row>
    <row r="33">
      <c r="A33" t="inlineStr">
        <is>
          <t>شاخص دستمزد</t>
        </is>
      </c>
      <c r="C33" s="9" t="inlineStr">
        <is>
          <t>ضریب</t>
        </is>
      </c>
      <c r="D33" s="12">
        <f>1</f>
        <v/>
      </c>
      <c r="E33" s="12">
        <f>D33*(1+'ENG_SCEN'!$E$23)</f>
        <v/>
      </c>
      <c r="F33" s="12">
        <f>E33*(1+'ENG_SCEN'!$F$23)</f>
        <v/>
      </c>
      <c r="G33" s="12">
        <f>F33*(1+'ENG_SCEN'!$G$23)</f>
        <v/>
      </c>
      <c r="H33" s="12">
        <f>G33*(1+'ENG_SCEN'!$H$23)</f>
        <v/>
      </c>
      <c r="I33" s="12">
        <f>H33*(1+'ENG_SCEN'!$I$23)</f>
        <v/>
      </c>
      <c r="J33" s="12">
        <f>I33*(1+'ENG_SCEN'!$J$23)</f>
        <v/>
      </c>
      <c r="K33" s="12">
        <f>J33*(1+'ENG_SCEN'!$K$23)</f>
        <v/>
      </c>
      <c r="L33" s="12">
        <f>K33*(1+'ENG_SCEN'!$L$23)</f>
        <v/>
      </c>
      <c r="M33" s="12">
        <f>L33*(1+'ENG_SCEN'!$M$23)</f>
        <v/>
      </c>
      <c r="N33" s="12">
        <f>M33*(1+'ENG_SCEN'!$N$23)</f>
        <v/>
      </c>
      <c r="O33" s="12">
        <f>N33*(1+'ENG_SCEN'!$O$23)</f>
        <v/>
      </c>
      <c r="P33" s="12">
        <f>O33*(1+'ENG_SCEN'!$P$23)</f>
        <v/>
      </c>
    </row>
    <row r="34">
      <c r="A34" t="inlineStr">
        <is>
          <t>شاخص قیمت انرژی</t>
        </is>
      </c>
      <c r="C34" s="9" t="inlineStr">
        <is>
          <t>ضریب</t>
        </is>
      </c>
      <c r="D34" s="12">
        <f>1</f>
        <v/>
      </c>
      <c r="E34" s="12">
        <f>D34*(1+'ENG_SCEN'!$E$24)</f>
        <v/>
      </c>
      <c r="F34" s="12">
        <f>E34*(1+'ENG_SCEN'!$F$24)</f>
        <v/>
      </c>
      <c r="G34" s="12">
        <f>F34*(1+'ENG_SCEN'!$G$24)</f>
        <v/>
      </c>
      <c r="H34" s="12">
        <f>G34*(1+'ENG_SCEN'!$H$24)</f>
        <v/>
      </c>
      <c r="I34" s="12">
        <f>H34*(1+'ENG_SCEN'!$I$24)</f>
        <v/>
      </c>
      <c r="J34" s="12">
        <f>I34*(1+'ENG_SCEN'!$J$24)</f>
        <v/>
      </c>
      <c r="K34" s="12">
        <f>J34*(1+'ENG_SCEN'!$K$24)</f>
        <v/>
      </c>
      <c r="L34" s="12">
        <f>K34*(1+'ENG_SCEN'!$L$24)</f>
        <v/>
      </c>
      <c r="M34" s="12">
        <f>L34*(1+'ENG_SCEN'!$M$24)</f>
        <v/>
      </c>
      <c r="N34" s="12">
        <f>M34*(1+'ENG_SCEN'!$N$24)</f>
        <v/>
      </c>
      <c r="O34" s="12">
        <f>N34*(1+'ENG_SCEN'!$O$24)</f>
        <v/>
      </c>
      <c r="P34" s="12">
        <f>O34*(1+'ENG_SCEN'!$P$24)</f>
        <v/>
      </c>
    </row>
    <row r="35">
      <c r="A35" t="inlineStr">
        <is>
          <t>شاخص قیمت تولیدکننده</t>
        </is>
      </c>
      <c r="C35" s="9" t="inlineStr">
        <is>
          <t>ضریب</t>
        </is>
      </c>
      <c r="D35" s="12">
        <f>1</f>
        <v/>
      </c>
      <c r="E35" s="12">
        <f>D35*(1+'ENG_SCEN'!$E$25)</f>
        <v/>
      </c>
      <c r="F35" s="12">
        <f>E35*(1+'ENG_SCEN'!$F$25)</f>
        <v/>
      </c>
      <c r="G35" s="12">
        <f>F35*(1+'ENG_SCEN'!$G$25)</f>
        <v/>
      </c>
      <c r="H35" s="12">
        <f>G35*(1+'ENG_SCEN'!$H$25)</f>
        <v/>
      </c>
      <c r="I35" s="12">
        <f>H35*(1+'ENG_SCEN'!$I$25)</f>
        <v/>
      </c>
      <c r="J35" s="12">
        <f>I35*(1+'ENG_SCEN'!$J$25)</f>
        <v/>
      </c>
      <c r="K35" s="12">
        <f>J35*(1+'ENG_SCEN'!$K$25)</f>
        <v/>
      </c>
      <c r="L35" s="12">
        <f>K35*(1+'ENG_SCEN'!$L$25)</f>
        <v/>
      </c>
      <c r="M35" s="12">
        <f>L35*(1+'ENG_SCEN'!$M$25)</f>
        <v/>
      </c>
      <c r="N35" s="12">
        <f>M35*(1+'ENG_SCEN'!$N$25)</f>
        <v/>
      </c>
      <c r="O35" s="12">
        <f>N35*(1+'ENG_SCEN'!$O$25)</f>
        <v/>
      </c>
      <c r="P35" s="12">
        <f>O35*(1+'ENG_SCEN'!$P$25)</f>
        <v/>
      </c>
    </row>
    <row r="36">
      <c r="A36" t="inlineStr">
        <is>
          <t>شاخص نرخ ارز</t>
        </is>
      </c>
      <c r="D36" s="12">
        <f>'ENG_SCEN'!$D$29/'ENG_SCEN'!$D$29</f>
        <v/>
      </c>
      <c r="E36" s="12">
        <f>'ENG_SCEN'!$E$29/'ENG_SCEN'!$D$29</f>
        <v/>
      </c>
      <c r="F36" s="12">
        <f>'ENG_SCEN'!$F$29/'ENG_SCEN'!$D$29</f>
        <v/>
      </c>
      <c r="G36" s="12">
        <f>'ENG_SCEN'!$G$29/'ENG_SCEN'!$D$29</f>
        <v/>
      </c>
      <c r="H36" s="12">
        <f>'ENG_SCEN'!$H$29/'ENG_SCEN'!$D$29</f>
        <v/>
      </c>
      <c r="I36" s="12">
        <f>'ENG_SCEN'!$I$29/'ENG_SCEN'!$D$29</f>
        <v/>
      </c>
      <c r="J36" s="12">
        <f>'ENG_SCEN'!$J$29/'ENG_SCEN'!$D$29</f>
        <v/>
      </c>
      <c r="K36" s="12">
        <f>'ENG_SCEN'!$K$29/'ENG_SCEN'!$D$29</f>
        <v/>
      </c>
      <c r="L36" s="12">
        <f>'ENG_SCEN'!$L$29/'ENG_SCEN'!$D$29</f>
        <v/>
      </c>
      <c r="M36" s="12">
        <f>'ENG_SCEN'!$M$29/'ENG_SCEN'!$D$29</f>
        <v/>
      </c>
      <c r="N36" s="12">
        <f>'ENG_SCEN'!$N$29/'ENG_SCEN'!$D$29</f>
        <v/>
      </c>
      <c r="O36" s="12">
        <f>'ENG_SCEN'!$O$29/'ENG_SCEN'!$D$29</f>
        <v/>
      </c>
      <c r="P36" s="12">
        <f>'ENG_SCEN'!$P$29/'ENG_SCEN'!$D$29</f>
        <v/>
      </c>
    </row>
    <row r="37">
      <c r="A37" t="inlineStr">
        <is>
          <t>شاخص ترکیبی LME×ارز</t>
        </is>
      </c>
      <c r="D37" s="12">
        <f>('ENG_SCEN'!$D$28*'ENG_SCEN'!$D$29)/('ENG_SCEN'!$D$28*'ENG_SCEN'!$D$29)</f>
        <v/>
      </c>
      <c r="E37" s="12">
        <f>('ENG_SCEN'!$E$28*'ENG_SCEN'!$E$29)/('ENG_SCEN'!$D$28*'ENG_SCEN'!$D$29)</f>
        <v/>
      </c>
      <c r="F37" s="12">
        <f>('ENG_SCEN'!$F$28*'ENG_SCEN'!$F$29)/('ENG_SCEN'!$D$28*'ENG_SCEN'!$D$29)</f>
        <v/>
      </c>
      <c r="G37" s="12">
        <f>('ENG_SCEN'!$G$28*'ENG_SCEN'!$G$29)/('ENG_SCEN'!$D$28*'ENG_SCEN'!$D$29)</f>
        <v/>
      </c>
      <c r="H37" s="12">
        <f>('ENG_SCEN'!$H$28*'ENG_SCEN'!$H$29)/('ENG_SCEN'!$D$28*'ENG_SCEN'!$D$29)</f>
        <v/>
      </c>
      <c r="I37" s="12">
        <f>('ENG_SCEN'!$I$28*'ENG_SCEN'!$I$29)/('ENG_SCEN'!$D$28*'ENG_SCEN'!$D$29)</f>
        <v/>
      </c>
      <c r="J37" s="12">
        <f>('ENG_SCEN'!$J$28*'ENG_SCEN'!$J$29)/('ENG_SCEN'!$D$28*'ENG_SCEN'!$D$29)</f>
        <v/>
      </c>
      <c r="K37" s="12">
        <f>('ENG_SCEN'!$K$28*'ENG_SCEN'!$K$29)/('ENG_SCEN'!$D$28*'ENG_SCEN'!$D$29)</f>
        <v/>
      </c>
      <c r="L37" s="12">
        <f>('ENG_SCEN'!$L$28*'ENG_SCEN'!$L$29)/('ENG_SCEN'!$D$28*'ENG_SCEN'!$D$29)</f>
        <v/>
      </c>
      <c r="M37" s="12">
        <f>('ENG_SCEN'!$M$28*'ENG_SCEN'!$M$29)/('ENG_SCEN'!$D$28*'ENG_SCEN'!$D$29)</f>
        <v/>
      </c>
      <c r="N37" s="12">
        <f>('ENG_SCEN'!$N$28*'ENG_SCEN'!$N$29)/('ENG_SCEN'!$D$28*'ENG_SCEN'!$D$29)</f>
        <v/>
      </c>
      <c r="O37" s="12">
        <f>('ENG_SCEN'!$O$28*'ENG_SCEN'!$O$29)/('ENG_SCEN'!$D$28*'ENG_SCEN'!$D$29)</f>
        <v/>
      </c>
      <c r="P37" s="12">
        <f>('ENG_SCEN'!$P$28*'ENG_SCEN'!$P$29)/('ENG_SCEN'!$D$28*'ENG_SCEN'!$D$29)</f>
        <v/>
      </c>
    </row>
    <row r="38"/>
    <row r="39">
      <c r="A39" s="6" t="inlineStr">
        <is>
          <t>د) مدل سایهٔ سه سناریو (پایه / خوش‌بینانه / بدبینانه)</t>
        </is>
      </c>
      <c r="B39" s="7" t="n"/>
      <c r="C39" s="7" t="n"/>
      <c r="D39" s="7" t="n"/>
      <c r="E39" s="7" t="n"/>
      <c r="F39" s="7" t="n"/>
      <c r="G39" s="7" t="n"/>
      <c r="H39" s="7" t="n"/>
      <c r="I39" s="7" t="n"/>
      <c r="J39" s="7" t="n"/>
      <c r="K39" s="7" t="n"/>
      <c r="L39" s="7" t="n"/>
      <c r="M39" s="7" t="n"/>
      <c r="N39" s="7" t="n"/>
      <c r="O39" s="7" t="n"/>
      <c r="P39" s="7" t="n"/>
    </row>
    <row r="40">
      <c r="A40" s="15" t="inlineStr">
        <is>
          <t>توضیح: مدل تفصیلی برای «سناریوی فعال» اجرا می‌شود؛ این مدل سایه با استفاده از نسبت‌های ساختاریِ استخراج‌شده از همان مدل تفصیلی (فرمول‌محور، بدون عدد ثابت) شاخص‌های هر سه سناریو را هم‌زمان محاسبه می‌کند.</t>
        </is>
      </c>
    </row>
    <row r="41">
      <c r="A41" s="24" t="inlineStr">
        <is>
          <t>سناریوی 1: پایه</t>
        </is>
      </c>
    </row>
    <row r="42">
      <c r="A42" t="inlineStr">
        <is>
          <t>[1] حجم فروش محصولات (تن)</t>
        </is>
      </c>
      <c r="B42" s="8" t="inlineStr">
        <is>
          <t>SB1.vol</t>
        </is>
      </c>
      <c r="C42" s="9" t="inlineStr">
        <is>
          <t>تن</t>
        </is>
      </c>
      <c r="D42" s="14">
        <f>'ENG_OPS'!$D$82*'IN_SCEN'!$D$13</f>
        <v/>
      </c>
      <c r="E42" s="14">
        <f>'ENG_OPS'!$E$82*'IN_SCEN'!$D$13</f>
        <v/>
      </c>
      <c r="F42" s="14">
        <f>'ENG_OPS'!$F$82*'IN_SCEN'!$D$13</f>
        <v/>
      </c>
      <c r="G42" s="14">
        <f>'ENG_OPS'!$G$82*'IN_SCEN'!$D$13</f>
        <v/>
      </c>
      <c r="H42" s="14">
        <f>'ENG_OPS'!$H$82*'IN_SCEN'!$D$13</f>
        <v/>
      </c>
      <c r="I42" s="14">
        <f>'ENG_OPS'!$I$82*'IN_SCEN'!$D$13</f>
        <v/>
      </c>
      <c r="J42" s="14">
        <f>'ENG_OPS'!$J$82*'IN_SCEN'!$D$13</f>
        <v/>
      </c>
      <c r="K42" s="14">
        <f>'ENG_OPS'!$K$82*'IN_SCEN'!$D$13</f>
        <v/>
      </c>
      <c r="L42" s="14">
        <f>'ENG_OPS'!$L$82*'IN_SCEN'!$D$13</f>
        <v/>
      </c>
      <c r="M42" s="14">
        <f>'ENG_OPS'!$M$82*'IN_SCEN'!$D$13</f>
        <v/>
      </c>
      <c r="N42" s="14">
        <f>'ENG_OPS'!$N$82*'IN_SCEN'!$D$13</f>
        <v/>
      </c>
      <c r="O42" s="14">
        <f>'ENG_OPS'!$O$82*'IN_SCEN'!$D$13</f>
        <v/>
      </c>
      <c r="P42" s="14">
        <f>'ENG_OPS'!$P$82*'IN_SCEN'!$D$13</f>
        <v/>
      </c>
    </row>
    <row r="43">
      <c r="A43" t="inlineStr">
        <is>
          <t>[1] درآمد خالص هر تن</t>
        </is>
      </c>
      <c r="B43" s="8" t="inlineStr">
        <is>
          <t>SB1.price</t>
        </is>
      </c>
      <c r="C43" s="9" t="inlineStr">
        <is>
          <t>میلیون ریال/تن</t>
        </is>
      </c>
      <c r="D43" s="13">
        <f>'ENG_OPS'!$D$83*'IN_SCEN'!$D$14</f>
        <v/>
      </c>
      <c r="E43" s="13">
        <f>'ENG_OPS'!$E$83*'IN_SCEN'!$D$14</f>
        <v/>
      </c>
      <c r="F43" s="13">
        <f>'ENG_OPS'!$F$83*'IN_SCEN'!$D$14</f>
        <v/>
      </c>
      <c r="G43" s="13">
        <f>'ENG_OPS'!$G$83*'IN_SCEN'!$D$14</f>
        <v/>
      </c>
      <c r="H43" s="13">
        <f>'ENG_OPS'!$H$83*'IN_SCEN'!$D$14</f>
        <v/>
      </c>
      <c r="I43" s="13">
        <f>'ENG_OPS'!$I$83*'IN_SCEN'!$D$14</f>
        <v/>
      </c>
      <c r="J43" s="13">
        <f>'ENG_OPS'!$J$83*'IN_SCEN'!$D$14</f>
        <v/>
      </c>
      <c r="K43" s="13">
        <f>'ENG_OPS'!$K$83*'IN_SCEN'!$D$14</f>
        <v/>
      </c>
      <c r="L43" s="13">
        <f>'ENG_OPS'!$L$83*'IN_SCEN'!$D$14</f>
        <v/>
      </c>
      <c r="M43" s="13">
        <f>'ENG_OPS'!$M$83*'IN_SCEN'!$D$14</f>
        <v/>
      </c>
      <c r="N43" s="13">
        <f>'ENG_OPS'!$N$83*'IN_SCEN'!$D$14</f>
        <v/>
      </c>
      <c r="O43" s="13">
        <f>'ENG_OPS'!$O$83*'IN_SCEN'!$D$14</f>
        <v/>
      </c>
      <c r="P43" s="13">
        <f>'ENG_OPS'!$P$83*'IN_SCEN'!$D$14</f>
        <v/>
      </c>
    </row>
    <row r="44">
      <c r="A44" t="inlineStr">
        <is>
          <t>[1] درآمد خالص</t>
        </is>
      </c>
      <c r="B44" s="8" t="inlineStr">
        <is>
          <t>SB1.rev</t>
        </is>
      </c>
      <c r="C44" s="9" t="inlineStr">
        <is>
          <t>میلیون ریال</t>
        </is>
      </c>
      <c r="D44" s="14">
        <f>'ENG_SCEN'!$D$42*'ENG_SCEN'!$D$43</f>
        <v/>
      </c>
      <c r="E44" s="14">
        <f>'ENG_SCEN'!$E$42*'ENG_SCEN'!$E$43</f>
        <v/>
      </c>
      <c r="F44" s="14">
        <f>'ENG_SCEN'!$F$42*'ENG_SCEN'!$F$43</f>
        <v/>
      </c>
      <c r="G44" s="14">
        <f>'ENG_SCEN'!$G$42*'ENG_SCEN'!$G$43</f>
        <v/>
      </c>
      <c r="H44" s="14">
        <f>'ENG_SCEN'!$H$42*'ENG_SCEN'!$H$43</f>
        <v/>
      </c>
      <c r="I44" s="14">
        <f>'ENG_SCEN'!$I$42*'ENG_SCEN'!$I$43</f>
        <v/>
      </c>
      <c r="J44" s="14">
        <f>'ENG_SCEN'!$J$42*'ENG_SCEN'!$J$43</f>
        <v/>
      </c>
      <c r="K44" s="14">
        <f>'ENG_SCEN'!$K$42*'ENG_SCEN'!$K$43</f>
        <v/>
      </c>
      <c r="L44" s="14">
        <f>'ENG_SCEN'!$L$42*'ENG_SCEN'!$L$43</f>
        <v/>
      </c>
      <c r="M44" s="14">
        <f>'ENG_SCEN'!$M$42*'ENG_SCEN'!$M$43</f>
        <v/>
      </c>
      <c r="N44" s="14">
        <f>'ENG_SCEN'!$N$42*'ENG_SCEN'!$N$43</f>
        <v/>
      </c>
      <c r="O44" s="14">
        <f>'ENG_SCEN'!$O$42*'ENG_SCEN'!$O$43</f>
        <v/>
      </c>
      <c r="P44" s="14">
        <f>'ENG_SCEN'!$P$42*'ENG_SCEN'!$P$43</f>
        <v/>
      </c>
    </row>
    <row r="45">
      <c r="A45" t="inlineStr">
        <is>
          <t>[1] هزینه مواد اولیه</t>
        </is>
      </c>
      <c r="B45" s="8" t="inlineStr">
        <is>
          <t>SB1.rm</t>
        </is>
      </c>
      <c r="C45" s="9" t="inlineStr">
        <is>
          <t>میلیون ریال</t>
        </is>
      </c>
      <c r="D45" s="14">
        <f>@@ENG_COST|EC.rm|0@@*'IN_SCEN'!$D$13*'IN_SCEN'!$D$15</f>
        <v/>
      </c>
      <c r="E45" s="14">
        <f>@@ENG_COST|EC.rm|1@@*'IN_SCEN'!$D$13*'IN_SCEN'!$D$15</f>
        <v/>
      </c>
      <c r="F45" s="14">
        <f>@@ENG_COST|EC.rm|2@@*'IN_SCEN'!$D$13*'IN_SCEN'!$D$15</f>
        <v/>
      </c>
      <c r="G45" s="14">
        <f>@@ENG_COST|EC.rm|3@@*'IN_SCEN'!$D$13*'IN_SCEN'!$D$15</f>
        <v/>
      </c>
      <c r="H45" s="14">
        <f>@@ENG_COST|EC.rm|4@@*'IN_SCEN'!$D$13*'IN_SCEN'!$D$15</f>
        <v/>
      </c>
      <c r="I45" s="14">
        <f>@@ENG_COST|EC.rm|5@@*'IN_SCEN'!$D$13*'IN_SCEN'!$D$15</f>
        <v/>
      </c>
      <c r="J45" s="14">
        <f>@@ENG_COST|EC.rm|6@@*'IN_SCEN'!$D$13*'IN_SCEN'!$D$15</f>
        <v/>
      </c>
      <c r="K45" s="14">
        <f>@@ENG_COST|EC.rm|7@@*'IN_SCEN'!$D$13*'IN_SCEN'!$D$15</f>
        <v/>
      </c>
      <c r="L45" s="14">
        <f>@@ENG_COST|EC.rm|8@@*'IN_SCEN'!$D$13*'IN_SCEN'!$D$15</f>
        <v/>
      </c>
      <c r="M45" s="14">
        <f>@@ENG_COST|EC.rm|9@@*'IN_SCEN'!$D$13*'IN_SCEN'!$D$15</f>
        <v/>
      </c>
      <c r="N45" s="14">
        <f>@@ENG_COST|EC.rm|10@@*'IN_SCEN'!$D$13*'IN_SCEN'!$D$15</f>
        <v/>
      </c>
      <c r="O45" s="14">
        <f>@@ENG_COST|EC.rm|11@@*'IN_SCEN'!$D$13*'IN_SCEN'!$D$15</f>
        <v/>
      </c>
      <c r="P45" s="14">
        <f>@@ENG_COST|EC.rm|12@@*'IN_SCEN'!$D$13*'IN_SCEN'!$D$15</f>
        <v/>
      </c>
    </row>
    <row r="46">
      <c r="A46" t="inlineStr">
        <is>
          <t>[1] سایر هزینه‌های متغیر</t>
        </is>
      </c>
      <c r="B46" s="8" t="inlineStr">
        <is>
          <t>SB1.var</t>
        </is>
      </c>
      <c r="C46" s="9" t="inlineStr">
        <is>
          <t>میلیون ریال</t>
        </is>
      </c>
      <c r="D46" s="14">
        <f>@@ENG_COST|EC.var_ex_rm|0@@*'IN_SCEN'!$D$13*'IN_SCEN'!$D$16</f>
        <v/>
      </c>
      <c r="E46" s="14">
        <f>@@ENG_COST|EC.var_ex_rm|1@@*'IN_SCEN'!$D$13*'IN_SCEN'!$D$16</f>
        <v/>
      </c>
      <c r="F46" s="14">
        <f>@@ENG_COST|EC.var_ex_rm|2@@*'IN_SCEN'!$D$13*'IN_SCEN'!$D$16</f>
        <v/>
      </c>
      <c r="G46" s="14">
        <f>@@ENG_COST|EC.var_ex_rm|3@@*'IN_SCEN'!$D$13*'IN_SCEN'!$D$16</f>
        <v/>
      </c>
      <c r="H46" s="14">
        <f>@@ENG_COST|EC.var_ex_rm|4@@*'IN_SCEN'!$D$13*'IN_SCEN'!$D$16</f>
        <v/>
      </c>
      <c r="I46" s="14">
        <f>@@ENG_COST|EC.var_ex_rm|5@@*'IN_SCEN'!$D$13*'IN_SCEN'!$D$16</f>
        <v/>
      </c>
      <c r="J46" s="14">
        <f>@@ENG_COST|EC.var_ex_rm|6@@*'IN_SCEN'!$D$13*'IN_SCEN'!$D$16</f>
        <v/>
      </c>
      <c r="K46" s="14">
        <f>@@ENG_COST|EC.var_ex_rm|7@@*'IN_SCEN'!$D$13*'IN_SCEN'!$D$16</f>
        <v/>
      </c>
      <c r="L46" s="14">
        <f>@@ENG_COST|EC.var_ex_rm|8@@*'IN_SCEN'!$D$13*'IN_SCEN'!$D$16</f>
        <v/>
      </c>
      <c r="M46" s="14">
        <f>@@ENG_COST|EC.var_ex_rm|9@@*'IN_SCEN'!$D$13*'IN_SCEN'!$D$16</f>
        <v/>
      </c>
      <c r="N46" s="14">
        <f>@@ENG_COST|EC.var_ex_rm|10@@*'IN_SCEN'!$D$13*'IN_SCEN'!$D$16</f>
        <v/>
      </c>
      <c r="O46" s="14">
        <f>@@ENG_COST|EC.var_ex_rm|11@@*'IN_SCEN'!$D$13*'IN_SCEN'!$D$16</f>
        <v/>
      </c>
      <c r="P46" s="14">
        <f>@@ENG_COST|EC.var_ex_rm|12@@*'IN_SCEN'!$D$13*'IN_SCEN'!$D$16</f>
        <v/>
      </c>
    </row>
    <row r="47">
      <c r="A47" t="inlineStr">
        <is>
          <t>[1] هزینه‌های ثابت نقدی</t>
        </is>
      </c>
      <c r="B47" s="8" t="inlineStr">
        <is>
          <t>SB1.fix</t>
        </is>
      </c>
      <c r="C47" s="9" t="inlineStr">
        <is>
          <t>میلیون ریال</t>
        </is>
      </c>
      <c r="D47" s="14">
        <f>@@ENG_COST|EC.fixed_cash|0@@*'IN_SCEN'!$D$17</f>
        <v/>
      </c>
      <c r="E47" s="14">
        <f>@@ENG_COST|EC.fixed_cash|1@@*'IN_SCEN'!$D$17</f>
        <v/>
      </c>
      <c r="F47" s="14">
        <f>@@ENG_COST|EC.fixed_cash|2@@*'IN_SCEN'!$D$17</f>
        <v/>
      </c>
      <c r="G47" s="14">
        <f>@@ENG_COST|EC.fixed_cash|3@@*'IN_SCEN'!$D$17</f>
        <v/>
      </c>
      <c r="H47" s="14">
        <f>@@ENG_COST|EC.fixed_cash|4@@*'IN_SCEN'!$D$17</f>
        <v/>
      </c>
      <c r="I47" s="14">
        <f>@@ENG_COST|EC.fixed_cash|5@@*'IN_SCEN'!$D$17</f>
        <v/>
      </c>
      <c r="J47" s="14">
        <f>@@ENG_COST|EC.fixed_cash|6@@*'IN_SCEN'!$D$17</f>
        <v/>
      </c>
      <c r="K47" s="14">
        <f>@@ENG_COST|EC.fixed_cash|7@@*'IN_SCEN'!$D$17</f>
        <v/>
      </c>
      <c r="L47" s="14">
        <f>@@ENG_COST|EC.fixed_cash|8@@*'IN_SCEN'!$D$17</f>
        <v/>
      </c>
      <c r="M47" s="14">
        <f>@@ENG_COST|EC.fixed_cash|9@@*'IN_SCEN'!$D$17</f>
        <v/>
      </c>
      <c r="N47" s="14">
        <f>@@ENG_COST|EC.fixed_cash|10@@*'IN_SCEN'!$D$17</f>
        <v/>
      </c>
      <c r="O47" s="14">
        <f>@@ENG_COST|EC.fixed_cash|11@@*'IN_SCEN'!$D$17</f>
        <v/>
      </c>
      <c r="P47" s="14">
        <f>@@ENG_COST|EC.fixed_cash|12@@*'IN_SCEN'!$D$17</f>
        <v/>
      </c>
    </row>
    <row r="48">
      <c r="A48" t="inlineStr">
        <is>
          <t>[1] استهلاک</t>
        </is>
      </c>
      <c r="B48" s="8" t="inlineStr">
        <is>
          <t>SB1.dep</t>
        </is>
      </c>
      <c r="C48" s="9" t="inlineStr">
        <is>
          <t>میلیون ریال</t>
        </is>
      </c>
      <c r="D48" s="14">
        <f>@@ENG_CAPEX|CAPEX.dep_total|0@@*'IN_SCEN'!$D$18</f>
        <v/>
      </c>
      <c r="E48" s="14">
        <f>@@ENG_CAPEX|CAPEX.dep_total|1@@*'IN_SCEN'!$D$18</f>
        <v/>
      </c>
      <c r="F48" s="14">
        <f>@@ENG_CAPEX|CAPEX.dep_total|2@@*'IN_SCEN'!$D$18</f>
        <v/>
      </c>
      <c r="G48" s="14">
        <f>@@ENG_CAPEX|CAPEX.dep_total|3@@*'IN_SCEN'!$D$18</f>
        <v/>
      </c>
      <c r="H48" s="14">
        <f>@@ENG_CAPEX|CAPEX.dep_total|4@@*'IN_SCEN'!$D$18</f>
        <v/>
      </c>
      <c r="I48" s="14">
        <f>@@ENG_CAPEX|CAPEX.dep_total|5@@*'IN_SCEN'!$D$18</f>
        <v/>
      </c>
      <c r="J48" s="14">
        <f>@@ENG_CAPEX|CAPEX.dep_total|6@@*'IN_SCEN'!$D$18</f>
        <v/>
      </c>
      <c r="K48" s="14">
        <f>@@ENG_CAPEX|CAPEX.dep_total|7@@*'IN_SCEN'!$D$18</f>
        <v/>
      </c>
      <c r="L48" s="14">
        <f>@@ENG_CAPEX|CAPEX.dep_total|8@@*'IN_SCEN'!$D$18</f>
        <v/>
      </c>
      <c r="M48" s="14">
        <f>@@ENG_CAPEX|CAPEX.dep_total|9@@*'IN_SCEN'!$D$18</f>
        <v/>
      </c>
      <c r="N48" s="14">
        <f>@@ENG_CAPEX|CAPEX.dep_total|10@@*'IN_SCEN'!$D$18</f>
        <v/>
      </c>
      <c r="O48" s="14">
        <f>@@ENG_CAPEX|CAPEX.dep_total|11@@*'IN_SCEN'!$D$18</f>
        <v/>
      </c>
      <c r="P48" s="14">
        <f>@@ENG_CAPEX|CAPEX.dep_total|12@@*'IN_SCEN'!$D$18</f>
        <v/>
      </c>
    </row>
    <row r="49">
      <c r="A49" t="inlineStr">
        <is>
          <t>[1] EBITDA</t>
        </is>
      </c>
      <c r="B49" s="8" t="inlineStr">
        <is>
          <t>SB1.ebitda</t>
        </is>
      </c>
      <c r="C49" s="9" t="inlineStr">
        <is>
          <t>میلیون ریال</t>
        </is>
      </c>
      <c r="D49" s="14">
        <f>'ENG_SCEN'!$D$44-'ENG_SCEN'!$D$45-'ENG_SCEN'!$D$46-'ENG_SCEN'!$D$47</f>
        <v/>
      </c>
      <c r="E49" s="14">
        <f>'ENG_SCEN'!$E$44-'ENG_SCEN'!$E$45-'ENG_SCEN'!$E$46-'ENG_SCEN'!$E$47</f>
        <v/>
      </c>
      <c r="F49" s="14">
        <f>'ENG_SCEN'!$F$44-'ENG_SCEN'!$F$45-'ENG_SCEN'!$F$46-'ENG_SCEN'!$F$47</f>
        <v/>
      </c>
      <c r="G49" s="14">
        <f>'ENG_SCEN'!$G$44-'ENG_SCEN'!$G$45-'ENG_SCEN'!$G$46-'ENG_SCEN'!$G$47</f>
        <v/>
      </c>
      <c r="H49" s="14">
        <f>'ENG_SCEN'!$H$44-'ENG_SCEN'!$H$45-'ENG_SCEN'!$H$46-'ENG_SCEN'!$H$47</f>
        <v/>
      </c>
      <c r="I49" s="14">
        <f>'ENG_SCEN'!$I$44-'ENG_SCEN'!$I$45-'ENG_SCEN'!$I$46-'ENG_SCEN'!$I$47</f>
        <v/>
      </c>
      <c r="J49" s="14">
        <f>'ENG_SCEN'!$J$44-'ENG_SCEN'!$J$45-'ENG_SCEN'!$J$46-'ENG_SCEN'!$J$47</f>
        <v/>
      </c>
      <c r="K49" s="14">
        <f>'ENG_SCEN'!$K$44-'ENG_SCEN'!$K$45-'ENG_SCEN'!$K$46-'ENG_SCEN'!$K$47</f>
        <v/>
      </c>
      <c r="L49" s="14">
        <f>'ENG_SCEN'!$L$44-'ENG_SCEN'!$L$45-'ENG_SCEN'!$L$46-'ENG_SCEN'!$L$47</f>
        <v/>
      </c>
      <c r="M49" s="14">
        <f>'ENG_SCEN'!$M$44-'ENG_SCEN'!$M$45-'ENG_SCEN'!$M$46-'ENG_SCEN'!$M$47</f>
        <v/>
      </c>
      <c r="N49" s="14">
        <f>'ENG_SCEN'!$N$44-'ENG_SCEN'!$N$45-'ENG_SCEN'!$N$46-'ENG_SCEN'!$N$47</f>
        <v/>
      </c>
      <c r="O49" s="14">
        <f>'ENG_SCEN'!$O$44-'ENG_SCEN'!$O$45-'ENG_SCEN'!$O$46-'ENG_SCEN'!$O$47</f>
        <v/>
      </c>
      <c r="P49" s="14">
        <f>'ENG_SCEN'!$P$44-'ENG_SCEN'!$P$45-'ENG_SCEN'!$P$46-'ENG_SCEN'!$P$47</f>
        <v/>
      </c>
    </row>
    <row r="50">
      <c r="A50" t="inlineStr">
        <is>
          <t>[1] EBIT</t>
        </is>
      </c>
      <c r="B50" s="8" t="inlineStr">
        <is>
          <t>SB1.ebit</t>
        </is>
      </c>
      <c r="C50" s="9" t="inlineStr">
        <is>
          <t>میلیون ریال</t>
        </is>
      </c>
      <c r="D50" s="14">
        <f>'ENG_SCEN'!$D$49-'ENG_SCEN'!$D$48</f>
        <v/>
      </c>
      <c r="E50" s="14">
        <f>'ENG_SCEN'!$E$49-'ENG_SCEN'!$E$48</f>
        <v/>
      </c>
      <c r="F50" s="14">
        <f>'ENG_SCEN'!$F$49-'ENG_SCEN'!$F$48</f>
        <v/>
      </c>
      <c r="G50" s="14">
        <f>'ENG_SCEN'!$G$49-'ENG_SCEN'!$G$48</f>
        <v/>
      </c>
      <c r="H50" s="14">
        <f>'ENG_SCEN'!$H$49-'ENG_SCEN'!$H$48</f>
        <v/>
      </c>
      <c r="I50" s="14">
        <f>'ENG_SCEN'!$I$49-'ENG_SCEN'!$I$48</f>
        <v/>
      </c>
      <c r="J50" s="14">
        <f>'ENG_SCEN'!$J$49-'ENG_SCEN'!$J$48</f>
        <v/>
      </c>
      <c r="K50" s="14">
        <f>'ENG_SCEN'!$K$49-'ENG_SCEN'!$K$48</f>
        <v/>
      </c>
      <c r="L50" s="14">
        <f>'ENG_SCEN'!$L$49-'ENG_SCEN'!$L$48</f>
        <v/>
      </c>
      <c r="M50" s="14">
        <f>'ENG_SCEN'!$M$49-'ENG_SCEN'!$M$48</f>
        <v/>
      </c>
      <c r="N50" s="14">
        <f>'ENG_SCEN'!$N$49-'ENG_SCEN'!$N$48</f>
        <v/>
      </c>
      <c r="O50" s="14">
        <f>'ENG_SCEN'!$O$49-'ENG_SCEN'!$O$48</f>
        <v/>
      </c>
      <c r="P50" s="14">
        <f>'ENG_SCEN'!$P$49-'ENG_SCEN'!$P$48</f>
        <v/>
      </c>
    </row>
    <row r="51">
      <c r="A51" t="inlineStr">
        <is>
          <t>[1] مالیات</t>
        </is>
      </c>
      <c r="B51" s="8" t="inlineStr">
        <is>
          <t>SB1.tax</t>
        </is>
      </c>
      <c r="C51" s="9" t="inlineStr">
        <is>
          <t>میلیون ریال</t>
        </is>
      </c>
      <c r="D51" s="14">
        <f>MAX(0,'ENG_SCEN'!$D$50)*'IN_MACRO'!$D$14</f>
        <v/>
      </c>
      <c r="E51" s="14">
        <f>MAX(0,'ENG_SCEN'!$E$50)*'IN_MACRO'!$D$14</f>
        <v/>
      </c>
      <c r="F51" s="14">
        <f>MAX(0,'ENG_SCEN'!$F$50)*'IN_MACRO'!$D$14</f>
        <v/>
      </c>
      <c r="G51" s="14">
        <f>MAX(0,'ENG_SCEN'!$G$50)*'IN_MACRO'!$D$14</f>
        <v/>
      </c>
      <c r="H51" s="14">
        <f>MAX(0,'ENG_SCEN'!$H$50)*'IN_MACRO'!$D$14</f>
        <v/>
      </c>
      <c r="I51" s="14">
        <f>MAX(0,'ENG_SCEN'!$I$50)*'IN_MACRO'!$D$14</f>
        <v/>
      </c>
      <c r="J51" s="14">
        <f>MAX(0,'ENG_SCEN'!$J$50)*'IN_MACRO'!$D$14</f>
        <v/>
      </c>
      <c r="K51" s="14">
        <f>MAX(0,'ENG_SCEN'!$K$50)*'IN_MACRO'!$D$14</f>
        <v/>
      </c>
      <c r="L51" s="14">
        <f>MAX(0,'ENG_SCEN'!$L$50)*'IN_MACRO'!$D$14</f>
        <v/>
      </c>
      <c r="M51" s="14">
        <f>MAX(0,'ENG_SCEN'!$M$50)*'IN_MACRO'!$D$14</f>
        <v/>
      </c>
      <c r="N51" s="14">
        <f>MAX(0,'ENG_SCEN'!$N$50)*'IN_MACRO'!$D$14</f>
        <v/>
      </c>
      <c r="O51" s="14">
        <f>MAX(0,'ENG_SCEN'!$O$50)*'IN_MACRO'!$D$14</f>
        <v/>
      </c>
      <c r="P51" s="14">
        <f>MAX(0,'ENG_SCEN'!$P$50)*'IN_MACRO'!$D$14</f>
        <v/>
      </c>
    </row>
    <row r="52">
      <c r="A52" t="inlineStr">
        <is>
          <t>[1] NOPAT</t>
        </is>
      </c>
      <c r="B52" s="8" t="inlineStr">
        <is>
          <t>SB1.nopat</t>
        </is>
      </c>
      <c r="C52" s="9" t="inlineStr">
        <is>
          <t>میلیون ریال</t>
        </is>
      </c>
      <c r="D52" s="14">
        <f>'ENG_SCEN'!$D$50-'ENG_SCEN'!$D$51</f>
        <v/>
      </c>
      <c r="E52" s="14">
        <f>'ENG_SCEN'!$E$50-'ENG_SCEN'!$E$51</f>
        <v/>
      </c>
      <c r="F52" s="14">
        <f>'ENG_SCEN'!$F$50-'ENG_SCEN'!$F$51</f>
        <v/>
      </c>
      <c r="G52" s="14">
        <f>'ENG_SCEN'!$G$50-'ENG_SCEN'!$G$51</f>
        <v/>
      </c>
      <c r="H52" s="14">
        <f>'ENG_SCEN'!$H$50-'ENG_SCEN'!$H$51</f>
        <v/>
      </c>
      <c r="I52" s="14">
        <f>'ENG_SCEN'!$I$50-'ENG_SCEN'!$I$51</f>
        <v/>
      </c>
      <c r="J52" s="14">
        <f>'ENG_SCEN'!$J$50-'ENG_SCEN'!$J$51</f>
        <v/>
      </c>
      <c r="K52" s="14">
        <f>'ENG_SCEN'!$K$50-'ENG_SCEN'!$K$51</f>
        <v/>
      </c>
      <c r="L52" s="14">
        <f>'ENG_SCEN'!$L$50-'ENG_SCEN'!$L$51</f>
        <v/>
      </c>
      <c r="M52" s="14">
        <f>'ENG_SCEN'!$M$50-'ENG_SCEN'!$M$51</f>
        <v/>
      </c>
      <c r="N52" s="14">
        <f>'ENG_SCEN'!$N$50-'ENG_SCEN'!$N$51</f>
        <v/>
      </c>
      <c r="O52" s="14">
        <f>'ENG_SCEN'!$O$50-'ENG_SCEN'!$O$51</f>
        <v/>
      </c>
      <c r="P52" s="14">
        <f>'ENG_SCEN'!$P$50-'ENG_SCEN'!$P$51</f>
        <v/>
      </c>
    </row>
    <row r="53">
      <c r="A53" t="inlineStr">
        <is>
          <t>[1] CAPEX و جایگزینی</t>
        </is>
      </c>
      <c r="B53" s="8" t="inlineStr">
        <is>
          <t>SB1.capex</t>
        </is>
      </c>
      <c r="C53" s="9" t="inlineStr">
        <is>
          <t>میلیون ریال</t>
        </is>
      </c>
      <c r="D53" s="14">
        <f>(@@ENG_CAPEX|CAPEX.cap_total|0@@+@@ENG_CAPEX|CAPEX.repl_total|0@@)*'IN_SCEN'!$D$18</f>
        <v/>
      </c>
      <c r="E53" s="14">
        <f>(@@ENG_CAPEX|CAPEX.cap_total|1@@+@@ENG_CAPEX|CAPEX.repl_total|1@@)*'IN_SCEN'!$D$18</f>
        <v/>
      </c>
      <c r="F53" s="14">
        <f>(@@ENG_CAPEX|CAPEX.cap_total|2@@+@@ENG_CAPEX|CAPEX.repl_total|2@@)*'IN_SCEN'!$D$18</f>
        <v/>
      </c>
      <c r="G53" s="14">
        <f>(@@ENG_CAPEX|CAPEX.cap_total|3@@+@@ENG_CAPEX|CAPEX.repl_total|3@@)*'IN_SCEN'!$D$18</f>
        <v/>
      </c>
      <c r="H53" s="14">
        <f>(@@ENG_CAPEX|CAPEX.cap_total|4@@+@@ENG_CAPEX|CAPEX.repl_total|4@@)*'IN_SCEN'!$D$18</f>
        <v/>
      </c>
      <c r="I53" s="14">
        <f>(@@ENG_CAPEX|CAPEX.cap_total|5@@+@@ENG_CAPEX|CAPEX.repl_total|5@@)*'IN_SCEN'!$D$18</f>
        <v/>
      </c>
      <c r="J53" s="14">
        <f>(@@ENG_CAPEX|CAPEX.cap_total|6@@+@@ENG_CAPEX|CAPEX.repl_total|6@@)*'IN_SCEN'!$D$18</f>
        <v/>
      </c>
      <c r="K53" s="14">
        <f>(@@ENG_CAPEX|CAPEX.cap_total|7@@+@@ENG_CAPEX|CAPEX.repl_total|7@@)*'IN_SCEN'!$D$18</f>
        <v/>
      </c>
      <c r="L53" s="14">
        <f>(@@ENG_CAPEX|CAPEX.cap_total|8@@+@@ENG_CAPEX|CAPEX.repl_total|8@@)*'IN_SCEN'!$D$18</f>
        <v/>
      </c>
      <c r="M53" s="14">
        <f>(@@ENG_CAPEX|CAPEX.cap_total|9@@+@@ENG_CAPEX|CAPEX.repl_total|9@@)*'IN_SCEN'!$D$18</f>
        <v/>
      </c>
      <c r="N53" s="14">
        <f>(@@ENG_CAPEX|CAPEX.cap_total|10@@+@@ENG_CAPEX|CAPEX.repl_total|10@@)*'IN_SCEN'!$D$18</f>
        <v/>
      </c>
      <c r="O53" s="14">
        <f>(@@ENG_CAPEX|CAPEX.cap_total|11@@+@@ENG_CAPEX|CAPEX.repl_total|11@@)*'IN_SCEN'!$D$18</f>
        <v/>
      </c>
      <c r="P53" s="14">
        <f>(@@ENG_CAPEX|CAPEX.cap_total|12@@+@@ENG_CAPEX|CAPEX.repl_total|12@@)*'IN_SCEN'!$D$18</f>
        <v/>
      </c>
    </row>
    <row r="54">
      <c r="A54" t="inlineStr">
        <is>
          <t>[1] تغییرات سرمایه در گردش</t>
        </is>
      </c>
      <c r="B54" s="8" t="inlineStr">
        <is>
          <t>SB1.dwc</t>
        </is>
      </c>
      <c r="C54" s="9" t="inlineStr">
        <is>
          <t>میلیون ریال</t>
        </is>
      </c>
      <c r="D54" s="14">
        <f>@@ENG_WC|WC.dwc|0@@*'IN_SCEN'!$D$13*'IN_SCEN'!$D$14</f>
        <v/>
      </c>
      <c r="E54" s="14">
        <f>@@ENG_WC|WC.dwc|1@@*'IN_SCEN'!$D$13*'IN_SCEN'!$D$14</f>
        <v/>
      </c>
      <c r="F54" s="14">
        <f>@@ENG_WC|WC.dwc|2@@*'IN_SCEN'!$D$13*'IN_SCEN'!$D$14</f>
        <v/>
      </c>
      <c r="G54" s="14">
        <f>@@ENG_WC|WC.dwc|3@@*'IN_SCEN'!$D$13*'IN_SCEN'!$D$14</f>
        <v/>
      </c>
      <c r="H54" s="14">
        <f>@@ENG_WC|WC.dwc|4@@*'IN_SCEN'!$D$13*'IN_SCEN'!$D$14</f>
        <v/>
      </c>
      <c r="I54" s="14">
        <f>@@ENG_WC|WC.dwc|5@@*'IN_SCEN'!$D$13*'IN_SCEN'!$D$14</f>
        <v/>
      </c>
      <c r="J54" s="14">
        <f>@@ENG_WC|WC.dwc|6@@*'IN_SCEN'!$D$13*'IN_SCEN'!$D$14</f>
        <v/>
      </c>
      <c r="K54" s="14">
        <f>@@ENG_WC|WC.dwc|7@@*'IN_SCEN'!$D$13*'IN_SCEN'!$D$14</f>
        <v/>
      </c>
      <c r="L54" s="14">
        <f>@@ENG_WC|WC.dwc|8@@*'IN_SCEN'!$D$13*'IN_SCEN'!$D$14</f>
        <v/>
      </c>
      <c r="M54" s="14">
        <f>@@ENG_WC|WC.dwc|9@@*'IN_SCEN'!$D$13*'IN_SCEN'!$D$14</f>
        <v/>
      </c>
      <c r="N54" s="14">
        <f>@@ENG_WC|WC.dwc|10@@*'IN_SCEN'!$D$13*'IN_SCEN'!$D$14</f>
        <v/>
      </c>
      <c r="O54" s="14">
        <f>@@ENG_WC|WC.dwc|11@@*'IN_SCEN'!$D$13*'IN_SCEN'!$D$14</f>
        <v/>
      </c>
      <c r="P54" s="14">
        <f>@@ENG_WC|WC.dwc|12@@*'IN_SCEN'!$D$13*'IN_SCEN'!$D$14</f>
        <v/>
      </c>
    </row>
    <row r="55">
      <c r="A55" t="inlineStr">
        <is>
          <t>[1] جریان نقد آزاد (FCFF)</t>
        </is>
      </c>
      <c r="B55" s="8" t="inlineStr">
        <is>
          <t>SB1.fcf</t>
        </is>
      </c>
      <c r="C55" s="9" t="inlineStr">
        <is>
          <t>میلیون ریال</t>
        </is>
      </c>
      <c r="D55" s="14">
        <f>'ENG_SCEN'!$D$52+'ENG_SCEN'!$D$48-'ENG_SCEN'!$D$53-'ENG_SCEN'!$D$54</f>
        <v/>
      </c>
      <c r="E55" s="14">
        <f>'ENG_SCEN'!$E$52+'ENG_SCEN'!$E$48-'ENG_SCEN'!$E$53-'ENG_SCEN'!$E$54</f>
        <v/>
      </c>
      <c r="F55" s="14">
        <f>'ENG_SCEN'!$F$52+'ENG_SCEN'!$F$48-'ENG_SCEN'!$F$53-'ENG_SCEN'!$F$54</f>
        <v/>
      </c>
      <c r="G55" s="14">
        <f>'ENG_SCEN'!$G$52+'ENG_SCEN'!$G$48-'ENG_SCEN'!$G$53-'ENG_SCEN'!$G$54</f>
        <v/>
      </c>
      <c r="H55" s="14">
        <f>'ENG_SCEN'!$H$52+'ENG_SCEN'!$H$48-'ENG_SCEN'!$H$53-'ENG_SCEN'!$H$54</f>
        <v/>
      </c>
      <c r="I55" s="14">
        <f>'ENG_SCEN'!$I$52+'ENG_SCEN'!$I$48-'ENG_SCEN'!$I$53-'ENG_SCEN'!$I$54</f>
        <v/>
      </c>
      <c r="J55" s="14">
        <f>'ENG_SCEN'!$J$52+'ENG_SCEN'!$J$48-'ENG_SCEN'!$J$53-'ENG_SCEN'!$J$54</f>
        <v/>
      </c>
      <c r="K55" s="14">
        <f>'ENG_SCEN'!$K$52+'ENG_SCEN'!$K$48-'ENG_SCEN'!$K$53-'ENG_SCEN'!$K$54</f>
        <v/>
      </c>
      <c r="L55" s="14">
        <f>'ENG_SCEN'!$L$52+'ENG_SCEN'!$L$48-'ENG_SCEN'!$L$53-'ENG_SCEN'!$L$54</f>
        <v/>
      </c>
      <c r="M55" s="14">
        <f>'ENG_SCEN'!$M$52+'ENG_SCEN'!$M$48-'ENG_SCEN'!$M$53-'ENG_SCEN'!$M$54</f>
        <v/>
      </c>
      <c r="N55" s="14">
        <f>'ENG_SCEN'!$N$52+'ENG_SCEN'!$N$48-'ENG_SCEN'!$N$53-'ENG_SCEN'!$N$54</f>
        <v/>
      </c>
      <c r="O55" s="14">
        <f>'ENG_SCEN'!$O$52+'ENG_SCEN'!$O$48-'ENG_SCEN'!$O$53-'ENG_SCEN'!$O$54</f>
        <v/>
      </c>
      <c r="P55" s="14">
        <f>'ENG_SCEN'!$P$52+'ENG_SCEN'!$P$48-'ENG_SCEN'!$P$53-'ENG_SCEN'!$P$54</f>
        <v/>
      </c>
    </row>
    <row r="56">
      <c r="A56" t="inlineStr">
        <is>
          <t>[1] FCFF تکرارپذیر</t>
        </is>
      </c>
      <c r="B56" s="8" t="inlineStr">
        <is>
          <t>SB1.fcf_rep</t>
        </is>
      </c>
      <c r="C56" s="9" t="inlineStr">
        <is>
          <t>میلیون ریال</t>
        </is>
      </c>
      <c r="D56" s="14">
        <f>'ENG_SCEN'!$D$52+'ENG_SCEN'!$D$48-'ENG_SCEN'!$D$54</f>
        <v/>
      </c>
      <c r="E56" s="14">
        <f>'ENG_SCEN'!$E$52+'ENG_SCEN'!$E$48-'ENG_SCEN'!$E$54</f>
        <v/>
      </c>
      <c r="F56" s="14">
        <f>'ENG_SCEN'!$F$52+'ENG_SCEN'!$F$48-'ENG_SCEN'!$F$54</f>
        <v/>
      </c>
      <c r="G56" s="14">
        <f>'ENG_SCEN'!$G$52+'ENG_SCEN'!$G$48-'ENG_SCEN'!$G$54</f>
        <v/>
      </c>
      <c r="H56" s="14">
        <f>'ENG_SCEN'!$H$52+'ENG_SCEN'!$H$48-'ENG_SCEN'!$H$54</f>
        <v/>
      </c>
      <c r="I56" s="14">
        <f>'ENG_SCEN'!$I$52+'ENG_SCEN'!$I$48-'ENG_SCEN'!$I$54</f>
        <v/>
      </c>
      <c r="J56" s="14">
        <f>'ENG_SCEN'!$J$52+'ENG_SCEN'!$J$48-'ENG_SCEN'!$J$54</f>
        <v/>
      </c>
      <c r="K56" s="14">
        <f>'ENG_SCEN'!$K$52+'ENG_SCEN'!$K$48-'ENG_SCEN'!$K$54</f>
        <v/>
      </c>
      <c r="L56" s="14">
        <f>'ENG_SCEN'!$L$52+'ENG_SCEN'!$L$48-'ENG_SCEN'!$L$54</f>
        <v/>
      </c>
      <c r="M56" s="14">
        <f>'ENG_SCEN'!$M$52+'ENG_SCEN'!$M$48-'ENG_SCEN'!$M$54</f>
        <v/>
      </c>
      <c r="N56" s="14">
        <f>'ENG_SCEN'!$N$52+'ENG_SCEN'!$N$48-'ENG_SCEN'!$N$54</f>
        <v/>
      </c>
      <c r="O56" s="14">
        <f>'ENG_SCEN'!$O$52+'ENG_SCEN'!$O$48-'ENG_SCEN'!$O$54</f>
        <v/>
      </c>
      <c r="P56" s="14">
        <f>'ENG_SCEN'!$P$52+'ENG_SCEN'!$P$48-'ENG_SCEN'!$P$54</f>
        <v/>
      </c>
    </row>
    <row r="57">
      <c r="A57" t="inlineStr">
        <is>
          <t>[1] FCFF تجمعی</t>
        </is>
      </c>
      <c r="B57" s="8" t="inlineStr">
        <is>
          <t>SB1.cum</t>
        </is>
      </c>
      <c r="C57" s="9" t="inlineStr">
        <is>
          <t>میلیون ریال</t>
        </is>
      </c>
      <c r="D57" s="14">
        <f>'ENG_SCEN'!$D$55</f>
        <v/>
      </c>
      <c r="E57" s="14">
        <f>'ENG_SCEN'!$D$57+'ENG_SCEN'!$E$55</f>
        <v/>
      </c>
      <c r="F57" s="14">
        <f>'ENG_SCEN'!$E$57+'ENG_SCEN'!$F$55</f>
        <v/>
      </c>
      <c r="G57" s="14">
        <f>'ENG_SCEN'!$F$57+'ENG_SCEN'!$G$55</f>
        <v/>
      </c>
      <c r="H57" s="14">
        <f>'ENG_SCEN'!$G$57+'ENG_SCEN'!$H$55</f>
        <v/>
      </c>
      <c r="I57" s="14">
        <f>'ENG_SCEN'!$H$57+'ENG_SCEN'!$I$55</f>
        <v/>
      </c>
      <c r="J57" s="14">
        <f>'ENG_SCEN'!$I$57+'ENG_SCEN'!$J$55</f>
        <v/>
      </c>
      <c r="K57" s="14">
        <f>'ENG_SCEN'!$J$57+'ENG_SCEN'!$K$55</f>
        <v/>
      </c>
      <c r="L57" s="14">
        <f>'ENG_SCEN'!$K$57+'ENG_SCEN'!$L$55</f>
        <v/>
      </c>
      <c r="M57" s="14">
        <f>'ENG_SCEN'!$L$57+'ENG_SCEN'!$M$55</f>
        <v/>
      </c>
      <c r="N57" s="14">
        <f>'ENG_SCEN'!$M$57+'ENG_SCEN'!$N$55</f>
        <v/>
      </c>
      <c r="O57" s="14">
        <f>'ENG_SCEN'!$N$57+'ENG_SCEN'!$O$55</f>
        <v/>
      </c>
      <c r="P57" s="14">
        <f>'ENG_SCEN'!$O$57+'ENG_SCEN'!$P$55</f>
        <v/>
      </c>
    </row>
    <row r="58">
      <c r="A58" t="inlineStr">
        <is>
          <t>[1] نرخ تنزیل (WACC)</t>
        </is>
      </c>
      <c r="B58" s="8" t="inlineStr">
        <is>
          <t>SB1.wacc</t>
        </is>
      </c>
      <c r="C58" s="9" t="inlineStr">
        <is>
          <t>درصد</t>
        </is>
      </c>
      <c r="D58" s="11">
        <f>@@ENG_DCF|DCF.wacc|0@@+'IN_SCEN'!$D$20</f>
        <v/>
      </c>
      <c r="E58" s="11">
        <f>@@ENG_DCF|DCF.wacc|1@@+'IN_SCEN'!$D$20</f>
        <v/>
      </c>
      <c r="F58" s="11">
        <f>@@ENG_DCF|DCF.wacc|2@@+'IN_SCEN'!$D$20</f>
        <v/>
      </c>
      <c r="G58" s="11">
        <f>@@ENG_DCF|DCF.wacc|3@@+'IN_SCEN'!$D$20</f>
        <v/>
      </c>
      <c r="H58" s="11">
        <f>@@ENG_DCF|DCF.wacc|4@@+'IN_SCEN'!$D$20</f>
        <v/>
      </c>
      <c r="I58" s="11">
        <f>@@ENG_DCF|DCF.wacc|5@@+'IN_SCEN'!$D$20</f>
        <v/>
      </c>
      <c r="J58" s="11">
        <f>@@ENG_DCF|DCF.wacc|6@@+'IN_SCEN'!$D$20</f>
        <v/>
      </c>
      <c r="K58" s="11">
        <f>@@ENG_DCF|DCF.wacc|7@@+'IN_SCEN'!$D$20</f>
        <v/>
      </c>
      <c r="L58" s="11">
        <f>@@ENG_DCF|DCF.wacc|8@@+'IN_SCEN'!$D$20</f>
        <v/>
      </c>
      <c r="M58" s="11">
        <f>@@ENG_DCF|DCF.wacc|9@@+'IN_SCEN'!$D$20</f>
        <v/>
      </c>
      <c r="N58" s="11">
        <f>@@ENG_DCF|DCF.wacc|10@@+'IN_SCEN'!$D$20</f>
        <v/>
      </c>
      <c r="O58" s="11">
        <f>@@ENG_DCF|DCF.wacc|11@@+'IN_SCEN'!$D$20</f>
        <v/>
      </c>
      <c r="P58" s="11">
        <f>@@ENG_DCF|DCF.wacc|12@@+'IN_SCEN'!$D$20</f>
        <v/>
      </c>
    </row>
    <row r="59">
      <c r="A59" t="inlineStr">
        <is>
          <t>[1] ضریب تنزیل</t>
        </is>
      </c>
      <c r="B59" s="8" t="inlineStr">
        <is>
          <t>SB1.df</t>
        </is>
      </c>
      <c r="C59" s="9" t="inlineStr">
        <is>
          <t>ضریب</t>
        </is>
      </c>
      <c r="D59" s="12">
        <f>1</f>
        <v/>
      </c>
      <c r="E59" s="12">
        <f>'ENG_SCEN'!$D$59/(1+'ENG_SCEN'!$E$58)</f>
        <v/>
      </c>
      <c r="F59" s="12">
        <f>'ENG_SCEN'!$E$59/(1+'ENG_SCEN'!$F$58)</f>
        <v/>
      </c>
      <c r="G59" s="12">
        <f>'ENG_SCEN'!$F$59/(1+'ENG_SCEN'!$G$58)</f>
        <v/>
      </c>
      <c r="H59" s="12">
        <f>'ENG_SCEN'!$G$59/(1+'ENG_SCEN'!$H$58)</f>
        <v/>
      </c>
      <c r="I59" s="12">
        <f>'ENG_SCEN'!$H$59/(1+'ENG_SCEN'!$I$58)</f>
        <v/>
      </c>
      <c r="J59" s="12">
        <f>'ENG_SCEN'!$I$59/(1+'ENG_SCEN'!$J$58)</f>
        <v/>
      </c>
      <c r="K59" s="12">
        <f>'ENG_SCEN'!$J$59/(1+'ENG_SCEN'!$K$58)</f>
        <v/>
      </c>
      <c r="L59" s="12">
        <f>'ENG_SCEN'!$K$59/(1+'ENG_SCEN'!$L$58)</f>
        <v/>
      </c>
      <c r="M59" s="12">
        <f>'ENG_SCEN'!$L$59/(1+'ENG_SCEN'!$M$58)</f>
        <v/>
      </c>
      <c r="N59" s="12">
        <f>'ENG_SCEN'!$M$59/(1+'ENG_SCEN'!$N$58)</f>
        <v/>
      </c>
      <c r="O59" s="12">
        <f>'ENG_SCEN'!$N$59/(1+'ENG_SCEN'!$O$58)</f>
        <v/>
      </c>
      <c r="P59" s="12">
        <f>'ENG_SCEN'!$O$59/(1+'ENG_SCEN'!$P$58)</f>
        <v/>
      </c>
    </row>
    <row r="60">
      <c r="A60" t="inlineStr">
        <is>
          <t>[1] ارزش فعلی FCFF</t>
        </is>
      </c>
      <c r="B60" s="8" t="inlineStr">
        <is>
          <t>SB1.pv</t>
        </is>
      </c>
      <c r="C60" s="9" t="inlineStr">
        <is>
          <t>میلیون ریال</t>
        </is>
      </c>
      <c r="D60" s="14">
        <f>'ENG_SCEN'!$D$55*'ENG_SCEN'!$D$59</f>
        <v/>
      </c>
      <c r="E60" s="14">
        <f>'ENG_SCEN'!$E$55*'ENG_SCEN'!$E$59</f>
        <v/>
      </c>
      <c r="F60" s="14">
        <f>'ENG_SCEN'!$F$55*'ENG_SCEN'!$F$59</f>
        <v/>
      </c>
      <c r="G60" s="14">
        <f>'ENG_SCEN'!$G$55*'ENG_SCEN'!$G$59</f>
        <v/>
      </c>
      <c r="H60" s="14">
        <f>'ENG_SCEN'!$H$55*'ENG_SCEN'!$H$59</f>
        <v/>
      </c>
      <c r="I60" s="14">
        <f>'ENG_SCEN'!$I$55*'ENG_SCEN'!$I$59</f>
        <v/>
      </c>
      <c r="J60" s="14">
        <f>'ENG_SCEN'!$J$55*'ENG_SCEN'!$J$59</f>
        <v/>
      </c>
      <c r="K60" s="14">
        <f>'ENG_SCEN'!$K$55*'ENG_SCEN'!$K$59</f>
        <v/>
      </c>
      <c r="L60" s="14">
        <f>'ENG_SCEN'!$L$55*'ENG_SCEN'!$L$59</f>
        <v/>
      </c>
      <c r="M60" s="14">
        <f>'ENG_SCEN'!$M$55*'ENG_SCEN'!$M$59</f>
        <v/>
      </c>
      <c r="N60" s="14">
        <f>'ENG_SCEN'!$N$55*'ENG_SCEN'!$N$59</f>
        <v/>
      </c>
      <c r="O60" s="14">
        <f>'ENG_SCEN'!$O$55*'ENG_SCEN'!$O$59</f>
        <v/>
      </c>
      <c r="P60" s="14">
        <f>'ENG_SCEN'!$P$55*'ENG_SCEN'!$P$59</f>
        <v/>
      </c>
    </row>
    <row r="61">
      <c r="A61" t="inlineStr">
        <is>
          <t>[1] ارزش فعلی تجمعی</t>
        </is>
      </c>
      <c r="B61" s="8" t="inlineStr">
        <is>
          <t>SB1.pvc</t>
        </is>
      </c>
      <c r="C61" s="9" t="inlineStr">
        <is>
          <t>میلیون ریال</t>
        </is>
      </c>
      <c r="D61" s="14">
        <f>'ENG_SCEN'!$D$60</f>
        <v/>
      </c>
      <c r="E61" s="14">
        <f>'ENG_SCEN'!$D$61+'ENG_SCEN'!$E$60</f>
        <v/>
      </c>
      <c r="F61" s="14">
        <f>'ENG_SCEN'!$E$61+'ENG_SCEN'!$F$60</f>
        <v/>
      </c>
      <c r="G61" s="14">
        <f>'ENG_SCEN'!$F$61+'ENG_SCEN'!$G$60</f>
        <v/>
      </c>
      <c r="H61" s="14">
        <f>'ENG_SCEN'!$G$61+'ENG_SCEN'!$H$60</f>
        <v/>
      </c>
      <c r="I61" s="14">
        <f>'ENG_SCEN'!$H$61+'ENG_SCEN'!$I$60</f>
        <v/>
      </c>
      <c r="J61" s="14">
        <f>'ENG_SCEN'!$I$61+'ENG_SCEN'!$J$60</f>
        <v/>
      </c>
      <c r="K61" s="14">
        <f>'ENG_SCEN'!$J$61+'ENG_SCEN'!$K$60</f>
        <v/>
      </c>
      <c r="L61" s="14">
        <f>'ENG_SCEN'!$K$61+'ENG_SCEN'!$L$60</f>
        <v/>
      </c>
      <c r="M61" s="14">
        <f>'ENG_SCEN'!$L$61+'ENG_SCEN'!$M$60</f>
        <v/>
      </c>
      <c r="N61" s="14">
        <f>'ENG_SCEN'!$M$61+'ENG_SCEN'!$N$60</f>
        <v/>
      </c>
      <c r="O61" s="14">
        <f>'ENG_SCEN'!$N$61+'ENG_SCEN'!$O$60</f>
        <v/>
      </c>
      <c r="P61" s="14">
        <f>'ENG_SCEN'!$O$61+'ENG_SCEN'!$P$60</f>
        <v/>
      </c>
    </row>
    <row r="62">
      <c r="A62" t="inlineStr">
        <is>
          <t>[1] ارزش پایانی</t>
        </is>
      </c>
      <c r="B62" s="8" t="inlineStr">
        <is>
          <t>SB1.tv</t>
        </is>
      </c>
      <c r="C62" s="9" t="inlineStr">
        <is>
          <t>میلیون ریال</t>
        </is>
      </c>
      <c r="D62" s="14">
        <f>IF('IN_MACRO'!$D$23&lt;'IN_MACRO'!$D$11,0,IF('IN_MACRO'!$D$19=1,MAX(0,'ENG_SCEN'!$P$56)*(1+'IN_MACRO'!$D$18)/MAX(0.005,'ENG_SCEN'!$P$58-'IN_MACRO'!$D$18),'ENG_SCEN'!$P$49*'IN_MACRO'!$D$20))</f>
        <v/>
      </c>
      <c r="E62" s="14">
        <f>IF('IN_MACRO'!$E$23&lt;'IN_MACRO'!$D$11,0,IF('IN_MACRO'!$D$19=1,MAX(0,'ENG_SCEN'!$P$56)*(1+'IN_MACRO'!$D$18)/MAX(0.005,'ENG_SCEN'!$P$58-'IN_MACRO'!$D$18),'ENG_SCEN'!$P$49*'IN_MACRO'!$D$20))</f>
        <v/>
      </c>
      <c r="F62" s="14">
        <f>IF('IN_MACRO'!$F$23&lt;'IN_MACRO'!$D$11,0,IF('IN_MACRO'!$D$19=1,MAX(0,'ENG_SCEN'!$P$56)*(1+'IN_MACRO'!$D$18)/MAX(0.005,'ENG_SCEN'!$P$58-'IN_MACRO'!$D$18),'ENG_SCEN'!$P$49*'IN_MACRO'!$D$20))</f>
        <v/>
      </c>
      <c r="G62" s="14">
        <f>IF('IN_MACRO'!$G$23&lt;'IN_MACRO'!$D$11,0,IF('IN_MACRO'!$D$19=1,MAX(0,'ENG_SCEN'!$P$56)*(1+'IN_MACRO'!$D$18)/MAX(0.005,'ENG_SCEN'!$P$58-'IN_MACRO'!$D$18),'ENG_SCEN'!$P$49*'IN_MACRO'!$D$20))</f>
        <v/>
      </c>
      <c r="H62" s="14">
        <f>IF('IN_MACRO'!$H$23&lt;'IN_MACRO'!$D$11,0,IF('IN_MACRO'!$D$19=1,MAX(0,'ENG_SCEN'!$P$56)*(1+'IN_MACRO'!$D$18)/MAX(0.005,'ENG_SCEN'!$P$58-'IN_MACRO'!$D$18),'ENG_SCEN'!$P$49*'IN_MACRO'!$D$20))</f>
        <v/>
      </c>
      <c r="I62" s="14">
        <f>IF('IN_MACRO'!$I$23&lt;'IN_MACRO'!$D$11,0,IF('IN_MACRO'!$D$19=1,MAX(0,'ENG_SCEN'!$P$56)*(1+'IN_MACRO'!$D$18)/MAX(0.005,'ENG_SCEN'!$P$58-'IN_MACRO'!$D$18),'ENG_SCEN'!$P$49*'IN_MACRO'!$D$20))</f>
        <v/>
      </c>
      <c r="J62" s="14">
        <f>IF('IN_MACRO'!$J$23&lt;'IN_MACRO'!$D$11,0,IF('IN_MACRO'!$D$19=1,MAX(0,'ENG_SCEN'!$P$56)*(1+'IN_MACRO'!$D$18)/MAX(0.005,'ENG_SCEN'!$P$58-'IN_MACRO'!$D$18),'ENG_SCEN'!$P$49*'IN_MACRO'!$D$20))</f>
        <v/>
      </c>
      <c r="K62" s="14">
        <f>IF('IN_MACRO'!$K$23&lt;'IN_MACRO'!$D$11,0,IF('IN_MACRO'!$D$19=1,MAX(0,'ENG_SCEN'!$P$56)*(1+'IN_MACRO'!$D$18)/MAX(0.005,'ENG_SCEN'!$P$58-'IN_MACRO'!$D$18),'ENG_SCEN'!$P$49*'IN_MACRO'!$D$20))</f>
        <v/>
      </c>
      <c r="L62" s="14">
        <f>IF('IN_MACRO'!$L$23&lt;'IN_MACRO'!$D$11,0,IF('IN_MACRO'!$D$19=1,MAX(0,'ENG_SCEN'!$P$56)*(1+'IN_MACRO'!$D$18)/MAX(0.005,'ENG_SCEN'!$P$58-'IN_MACRO'!$D$18),'ENG_SCEN'!$P$49*'IN_MACRO'!$D$20))</f>
        <v/>
      </c>
      <c r="M62" s="14">
        <f>IF('IN_MACRO'!$M$23&lt;'IN_MACRO'!$D$11,0,IF('IN_MACRO'!$D$19=1,MAX(0,'ENG_SCEN'!$P$56)*(1+'IN_MACRO'!$D$18)/MAX(0.005,'ENG_SCEN'!$P$58-'IN_MACRO'!$D$18),'ENG_SCEN'!$P$49*'IN_MACRO'!$D$20))</f>
        <v/>
      </c>
      <c r="N62" s="14">
        <f>IF('IN_MACRO'!$N$23&lt;'IN_MACRO'!$D$11,0,IF('IN_MACRO'!$D$19=1,MAX(0,'ENG_SCEN'!$P$56)*(1+'IN_MACRO'!$D$18)/MAX(0.005,'ENG_SCEN'!$P$58-'IN_MACRO'!$D$18),'ENG_SCEN'!$P$49*'IN_MACRO'!$D$20))</f>
        <v/>
      </c>
      <c r="O62" s="14">
        <f>IF('IN_MACRO'!$O$23&lt;'IN_MACRO'!$D$11,0,IF('IN_MACRO'!$D$19=1,MAX(0,'ENG_SCEN'!$P$56)*(1+'IN_MACRO'!$D$18)/MAX(0.005,'ENG_SCEN'!$P$58-'IN_MACRO'!$D$18),'ENG_SCEN'!$P$49*'IN_MACRO'!$D$20))</f>
        <v/>
      </c>
      <c r="P62" s="14">
        <f>IF('IN_MACRO'!$P$23&lt;'IN_MACRO'!$D$11,0,IF('IN_MACRO'!$D$19=1,MAX(0,'ENG_SCEN'!$P$56)*(1+'IN_MACRO'!$D$18)/MAX(0.005,'ENG_SCEN'!$P$58-'IN_MACRO'!$D$18),'ENG_SCEN'!$P$49*'IN_MACRO'!$D$20))</f>
        <v/>
      </c>
    </row>
    <row r="63">
      <c r="A63" t="inlineStr">
        <is>
          <t>[1] ارزش فعلی ارزش پایانی</t>
        </is>
      </c>
      <c r="B63" s="8" t="inlineStr">
        <is>
          <t>SB1.pvtv</t>
        </is>
      </c>
      <c r="C63" s="9" t="inlineStr">
        <is>
          <t>میلیون ریال</t>
        </is>
      </c>
      <c r="D63" s="14">
        <f>'ENG_SCEN'!$D$62*'ENG_SCEN'!$D$59</f>
        <v/>
      </c>
      <c r="E63" s="14">
        <f>'ENG_SCEN'!$E$62*'ENG_SCEN'!$E$59</f>
        <v/>
      </c>
      <c r="F63" s="14">
        <f>'ENG_SCEN'!$F$62*'ENG_SCEN'!$F$59</f>
        <v/>
      </c>
      <c r="G63" s="14">
        <f>'ENG_SCEN'!$G$62*'ENG_SCEN'!$G$59</f>
        <v/>
      </c>
      <c r="H63" s="14">
        <f>'ENG_SCEN'!$H$62*'ENG_SCEN'!$H$59</f>
        <v/>
      </c>
      <c r="I63" s="14">
        <f>'ENG_SCEN'!$I$62*'ENG_SCEN'!$I$59</f>
        <v/>
      </c>
      <c r="J63" s="14">
        <f>'ENG_SCEN'!$J$62*'ENG_SCEN'!$J$59</f>
        <v/>
      </c>
      <c r="K63" s="14">
        <f>'ENG_SCEN'!$K$62*'ENG_SCEN'!$K$59</f>
        <v/>
      </c>
      <c r="L63" s="14">
        <f>'ENG_SCEN'!$L$62*'ENG_SCEN'!$L$59</f>
        <v/>
      </c>
      <c r="M63" s="14">
        <f>'ENG_SCEN'!$M$62*'ENG_SCEN'!$M$59</f>
        <v/>
      </c>
      <c r="N63" s="14">
        <f>'ENG_SCEN'!$N$62*'ENG_SCEN'!$N$59</f>
        <v/>
      </c>
      <c r="O63" s="14">
        <f>'ENG_SCEN'!$O$62*'ENG_SCEN'!$O$59</f>
        <v/>
      </c>
      <c r="P63" s="14">
        <f>'ENG_SCEN'!$P$62*'ENG_SCEN'!$P$59</f>
        <v/>
      </c>
    </row>
    <row r="64">
      <c r="A64" t="inlineStr">
        <is>
          <t>[1] جریان قابل بازدهی (FCF + TV)</t>
        </is>
      </c>
      <c r="B64" s="8" t="inlineStr">
        <is>
          <t>SB1.fcf_tv</t>
        </is>
      </c>
      <c r="C64" s="9" t="inlineStr">
        <is>
          <t>میلیون ریال</t>
        </is>
      </c>
      <c r="D64" s="14">
        <f>'ENG_SCEN'!$D$55+'ENG_SCEN'!$D$62</f>
        <v/>
      </c>
      <c r="E64" s="14">
        <f>'ENG_SCEN'!$E$55+'ENG_SCEN'!$E$62</f>
        <v/>
      </c>
      <c r="F64" s="14">
        <f>'ENG_SCEN'!$F$55+'ENG_SCEN'!$F$62</f>
        <v/>
      </c>
      <c r="G64" s="14">
        <f>'ENG_SCEN'!$G$55+'ENG_SCEN'!$G$62</f>
        <v/>
      </c>
      <c r="H64" s="14">
        <f>'ENG_SCEN'!$H$55+'ENG_SCEN'!$H$62</f>
        <v/>
      </c>
      <c r="I64" s="14">
        <f>'ENG_SCEN'!$I$55+'ENG_SCEN'!$I$62</f>
        <v/>
      </c>
      <c r="J64" s="14">
        <f>'ENG_SCEN'!$J$55+'ENG_SCEN'!$J$62</f>
        <v/>
      </c>
      <c r="K64" s="14">
        <f>'ENG_SCEN'!$K$55+'ENG_SCEN'!$K$62</f>
        <v/>
      </c>
      <c r="L64" s="14">
        <f>'ENG_SCEN'!$L$55+'ENG_SCEN'!$L$62</f>
        <v/>
      </c>
      <c r="M64" s="14">
        <f>'ENG_SCEN'!$M$55+'ENG_SCEN'!$M$62</f>
        <v/>
      </c>
      <c r="N64" s="14">
        <f>'ENG_SCEN'!$N$55+'ENG_SCEN'!$N$62</f>
        <v/>
      </c>
      <c r="O64" s="14">
        <f>'ENG_SCEN'!$O$55+'ENG_SCEN'!$O$62</f>
        <v/>
      </c>
      <c r="P64" s="14">
        <f>'ENG_SCEN'!$P$55+'ENG_SCEN'!$P$62</f>
        <v/>
      </c>
    </row>
    <row r="65">
      <c r="A65" t="inlineStr">
        <is>
          <t>[1] CFADS</t>
        </is>
      </c>
      <c r="B65" s="8" t="inlineStr">
        <is>
          <t>SB1.cfads</t>
        </is>
      </c>
      <c r="C65" s="9" t="inlineStr">
        <is>
          <t>میلیون ریال</t>
        </is>
      </c>
      <c r="D65" s="14">
        <f>'ENG_SCEN'!$D$49-MAX(0,'ENG_SCEN'!$D$50-(@@ENG_FCF|FCF.int_lt|0@@*('IN_FIN'!$D$25+'IN_SCEN'!$D$21)/('IN_FIN'!$D$25+'ENG_SCEN'!$G$19)+@@ENG_FCF|FCF.fees|0@@+@@ENG_FCF|FCF.int_st|0@@-@@ENG_FCF|FCF.int_inc|0@@))*'IN_MACRO'!$D$14-'ENG_SCEN'!$D$54</f>
        <v/>
      </c>
      <c r="E65" s="14">
        <f>'ENG_SCEN'!$E$49-MAX(0,'ENG_SCEN'!$E$50-(@@ENG_FCF|FCF.int_lt|1@@*('IN_FIN'!$D$25+'IN_SCEN'!$D$21)/('IN_FIN'!$D$25+'ENG_SCEN'!$G$19)+@@ENG_FCF|FCF.fees|1@@+@@ENG_FCF|FCF.int_st|1@@-@@ENG_FCF|FCF.int_inc|1@@))*'IN_MACRO'!$D$14-'ENG_SCEN'!$E$54</f>
        <v/>
      </c>
      <c r="F65" s="14">
        <f>'ENG_SCEN'!$F$49-MAX(0,'ENG_SCEN'!$F$50-(@@ENG_FCF|FCF.int_lt|2@@*('IN_FIN'!$D$25+'IN_SCEN'!$D$21)/('IN_FIN'!$D$25+'ENG_SCEN'!$G$19)+@@ENG_FCF|FCF.fees|2@@+@@ENG_FCF|FCF.int_st|2@@-@@ENG_FCF|FCF.int_inc|2@@))*'IN_MACRO'!$D$14-'ENG_SCEN'!$F$54</f>
        <v/>
      </c>
      <c r="G65" s="14">
        <f>'ENG_SCEN'!$G$49-MAX(0,'ENG_SCEN'!$G$50-(@@ENG_FCF|FCF.int_lt|3@@*('IN_FIN'!$D$25+'IN_SCEN'!$D$21)/('IN_FIN'!$D$25+'ENG_SCEN'!$G$19)+@@ENG_FCF|FCF.fees|3@@+@@ENG_FCF|FCF.int_st|3@@-@@ENG_FCF|FCF.int_inc|3@@))*'IN_MACRO'!$D$14-'ENG_SCEN'!$G$54</f>
        <v/>
      </c>
      <c r="H65" s="14">
        <f>'ENG_SCEN'!$H$49-MAX(0,'ENG_SCEN'!$H$50-(@@ENG_FCF|FCF.int_lt|4@@*('IN_FIN'!$D$25+'IN_SCEN'!$D$21)/('IN_FIN'!$D$25+'ENG_SCEN'!$G$19)+@@ENG_FCF|FCF.fees|4@@+@@ENG_FCF|FCF.int_st|4@@-@@ENG_FCF|FCF.int_inc|4@@))*'IN_MACRO'!$D$14-'ENG_SCEN'!$H$54</f>
        <v/>
      </c>
      <c r="I65" s="14">
        <f>'ENG_SCEN'!$I$49-MAX(0,'ENG_SCEN'!$I$50-(@@ENG_FCF|FCF.int_lt|5@@*('IN_FIN'!$D$25+'IN_SCEN'!$D$21)/('IN_FIN'!$D$25+'ENG_SCEN'!$G$19)+@@ENG_FCF|FCF.fees|5@@+@@ENG_FCF|FCF.int_st|5@@-@@ENG_FCF|FCF.int_inc|5@@))*'IN_MACRO'!$D$14-'ENG_SCEN'!$I$54</f>
        <v/>
      </c>
      <c r="J65" s="14">
        <f>'ENG_SCEN'!$J$49-MAX(0,'ENG_SCEN'!$J$50-(@@ENG_FCF|FCF.int_lt|6@@*('IN_FIN'!$D$25+'IN_SCEN'!$D$21)/('IN_FIN'!$D$25+'ENG_SCEN'!$G$19)+@@ENG_FCF|FCF.fees|6@@+@@ENG_FCF|FCF.int_st|6@@-@@ENG_FCF|FCF.int_inc|6@@))*'IN_MACRO'!$D$14-'ENG_SCEN'!$J$54</f>
        <v/>
      </c>
      <c r="K65" s="14">
        <f>'ENG_SCEN'!$K$49-MAX(0,'ENG_SCEN'!$K$50-(@@ENG_FCF|FCF.int_lt|7@@*('IN_FIN'!$D$25+'IN_SCEN'!$D$21)/('IN_FIN'!$D$25+'ENG_SCEN'!$G$19)+@@ENG_FCF|FCF.fees|7@@+@@ENG_FCF|FCF.int_st|7@@-@@ENG_FCF|FCF.int_inc|7@@))*'IN_MACRO'!$D$14-'ENG_SCEN'!$K$54</f>
        <v/>
      </c>
      <c r="L65" s="14">
        <f>'ENG_SCEN'!$L$49-MAX(0,'ENG_SCEN'!$L$50-(@@ENG_FCF|FCF.int_lt|8@@*('IN_FIN'!$D$25+'IN_SCEN'!$D$21)/('IN_FIN'!$D$25+'ENG_SCEN'!$G$19)+@@ENG_FCF|FCF.fees|8@@+@@ENG_FCF|FCF.int_st|8@@-@@ENG_FCF|FCF.int_inc|8@@))*'IN_MACRO'!$D$14-'ENG_SCEN'!$L$54</f>
        <v/>
      </c>
      <c r="M65" s="14">
        <f>'ENG_SCEN'!$M$49-MAX(0,'ENG_SCEN'!$M$50-(@@ENG_FCF|FCF.int_lt|9@@*('IN_FIN'!$D$25+'IN_SCEN'!$D$21)/('IN_FIN'!$D$25+'ENG_SCEN'!$G$19)+@@ENG_FCF|FCF.fees|9@@+@@ENG_FCF|FCF.int_st|9@@-@@ENG_FCF|FCF.int_inc|9@@))*'IN_MACRO'!$D$14-'ENG_SCEN'!$M$54</f>
        <v/>
      </c>
      <c r="N65" s="14">
        <f>'ENG_SCEN'!$N$49-MAX(0,'ENG_SCEN'!$N$50-(@@ENG_FCF|FCF.int_lt|10@@*('IN_FIN'!$D$25+'IN_SCEN'!$D$21)/('IN_FIN'!$D$25+'ENG_SCEN'!$G$19)+@@ENG_FCF|FCF.fees|10@@+@@ENG_FCF|FCF.int_st|10@@-@@ENG_FCF|FCF.int_inc|10@@))*'IN_MACRO'!$D$14-'ENG_SCEN'!$N$54</f>
        <v/>
      </c>
      <c r="O65" s="14">
        <f>'ENG_SCEN'!$O$49-MAX(0,'ENG_SCEN'!$O$50-(@@ENG_FCF|FCF.int_lt|11@@*('IN_FIN'!$D$25+'IN_SCEN'!$D$21)/('IN_FIN'!$D$25+'ENG_SCEN'!$G$19)+@@ENG_FCF|FCF.fees|11@@+@@ENG_FCF|FCF.int_st|11@@-@@ENG_FCF|FCF.int_inc|11@@))*'IN_MACRO'!$D$14-'ENG_SCEN'!$O$54</f>
        <v/>
      </c>
      <c r="P65" s="14">
        <f>'ENG_SCEN'!$P$49-MAX(0,'ENG_SCEN'!$P$50-(@@ENG_FCF|FCF.int_lt|12@@*('IN_FIN'!$D$25+'IN_SCEN'!$D$21)/('IN_FIN'!$D$25+'ENG_SCEN'!$G$19)+@@ENG_FCF|FCF.fees|12@@+@@ENG_FCF|FCF.int_st|12@@-@@ENG_FCF|FCF.int_inc|12@@))*'IN_MACRO'!$D$14-'ENG_SCEN'!$P$54</f>
        <v/>
      </c>
    </row>
    <row r="66">
      <c r="A66" t="inlineStr">
        <is>
          <t>[1] خدمت دین</t>
        </is>
      </c>
      <c r="B66" s="8" t="inlineStr">
        <is>
          <t>SB1.debt_service</t>
        </is>
      </c>
      <c r="C66" s="9" t="inlineStr">
        <is>
          <t>میلیون ریال</t>
        </is>
      </c>
      <c r="D66" s="14">
        <f>@@ENG_FCF|FCF.principal|0@@+@@ENG_FCF|FCF.int_lt|0@@*('IN_FIN'!$D$25+'IN_SCEN'!$D$21)/('IN_FIN'!$D$25+'ENG_SCEN'!$G$19)+@@ENG_FCF|FCF.fees|0@@+@@ENG_FCF|FCF.int_st|0@@</f>
        <v/>
      </c>
      <c r="E66" s="14">
        <f>@@ENG_FCF|FCF.principal|1@@+@@ENG_FCF|FCF.int_lt|1@@*('IN_FIN'!$D$25+'IN_SCEN'!$D$21)/('IN_FIN'!$D$25+'ENG_SCEN'!$G$19)+@@ENG_FCF|FCF.fees|1@@+@@ENG_FCF|FCF.int_st|1@@</f>
        <v/>
      </c>
      <c r="F66" s="14">
        <f>@@ENG_FCF|FCF.principal|2@@+@@ENG_FCF|FCF.int_lt|2@@*('IN_FIN'!$D$25+'IN_SCEN'!$D$21)/('IN_FIN'!$D$25+'ENG_SCEN'!$G$19)+@@ENG_FCF|FCF.fees|2@@+@@ENG_FCF|FCF.int_st|2@@</f>
        <v/>
      </c>
      <c r="G66" s="14">
        <f>@@ENG_FCF|FCF.principal|3@@+@@ENG_FCF|FCF.int_lt|3@@*('IN_FIN'!$D$25+'IN_SCEN'!$D$21)/('IN_FIN'!$D$25+'ENG_SCEN'!$G$19)+@@ENG_FCF|FCF.fees|3@@+@@ENG_FCF|FCF.int_st|3@@</f>
        <v/>
      </c>
      <c r="H66" s="14">
        <f>@@ENG_FCF|FCF.principal|4@@+@@ENG_FCF|FCF.int_lt|4@@*('IN_FIN'!$D$25+'IN_SCEN'!$D$21)/('IN_FIN'!$D$25+'ENG_SCEN'!$G$19)+@@ENG_FCF|FCF.fees|4@@+@@ENG_FCF|FCF.int_st|4@@</f>
        <v/>
      </c>
      <c r="I66" s="14">
        <f>@@ENG_FCF|FCF.principal|5@@+@@ENG_FCF|FCF.int_lt|5@@*('IN_FIN'!$D$25+'IN_SCEN'!$D$21)/('IN_FIN'!$D$25+'ENG_SCEN'!$G$19)+@@ENG_FCF|FCF.fees|5@@+@@ENG_FCF|FCF.int_st|5@@</f>
        <v/>
      </c>
      <c r="J66" s="14">
        <f>@@ENG_FCF|FCF.principal|6@@+@@ENG_FCF|FCF.int_lt|6@@*('IN_FIN'!$D$25+'IN_SCEN'!$D$21)/('IN_FIN'!$D$25+'ENG_SCEN'!$G$19)+@@ENG_FCF|FCF.fees|6@@+@@ENG_FCF|FCF.int_st|6@@</f>
        <v/>
      </c>
      <c r="K66" s="14">
        <f>@@ENG_FCF|FCF.principal|7@@+@@ENG_FCF|FCF.int_lt|7@@*('IN_FIN'!$D$25+'IN_SCEN'!$D$21)/('IN_FIN'!$D$25+'ENG_SCEN'!$G$19)+@@ENG_FCF|FCF.fees|7@@+@@ENG_FCF|FCF.int_st|7@@</f>
        <v/>
      </c>
      <c r="L66" s="14">
        <f>@@ENG_FCF|FCF.principal|8@@+@@ENG_FCF|FCF.int_lt|8@@*('IN_FIN'!$D$25+'IN_SCEN'!$D$21)/('IN_FIN'!$D$25+'ENG_SCEN'!$G$19)+@@ENG_FCF|FCF.fees|8@@+@@ENG_FCF|FCF.int_st|8@@</f>
        <v/>
      </c>
      <c r="M66" s="14">
        <f>@@ENG_FCF|FCF.principal|9@@+@@ENG_FCF|FCF.int_lt|9@@*('IN_FIN'!$D$25+'IN_SCEN'!$D$21)/('IN_FIN'!$D$25+'ENG_SCEN'!$G$19)+@@ENG_FCF|FCF.fees|9@@+@@ENG_FCF|FCF.int_st|9@@</f>
        <v/>
      </c>
      <c r="N66" s="14">
        <f>@@ENG_FCF|FCF.principal|10@@+@@ENG_FCF|FCF.int_lt|10@@*('IN_FIN'!$D$25+'IN_SCEN'!$D$21)/('IN_FIN'!$D$25+'ENG_SCEN'!$G$19)+@@ENG_FCF|FCF.fees|10@@+@@ENG_FCF|FCF.int_st|10@@</f>
        <v/>
      </c>
      <c r="O66" s="14">
        <f>@@ENG_FCF|FCF.principal|11@@+@@ENG_FCF|FCF.int_lt|11@@*('IN_FIN'!$D$25+'IN_SCEN'!$D$21)/('IN_FIN'!$D$25+'ENG_SCEN'!$G$19)+@@ENG_FCF|FCF.fees|11@@+@@ENG_FCF|FCF.int_st|11@@</f>
        <v/>
      </c>
      <c r="P66" s="14">
        <f>@@ENG_FCF|FCF.principal|12@@+@@ENG_FCF|FCF.int_lt|12@@*('IN_FIN'!$D$25+'IN_SCEN'!$D$21)/('IN_FIN'!$D$25+'ENG_SCEN'!$G$19)+@@ENG_FCF|FCF.fees|12@@+@@ENG_FCF|FCF.int_st|12@@</f>
        <v/>
      </c>
    </row>
    <row r="67">
      <c r="A67" t="inlineStr">
        <is>
          <t>[1] DSCR</t>
        </is>
      </c>
      <c r="B67" s="8" t="inlineStr">
        <is>
          <t>SB1.dscr</t>
        </is>
      </c>
      <c r="C67" s="9" t="inlineStr">
        <is>
          <t>ضریب</t>
        </is>
      </c>
      <c r="D67" s="12">
        <f>IFERROR('ENG_SCEN'!$D$65/'ENG_SCEN'!$D$66,"─")</f>
        <v/>
      </c>
      <c r="E67" s="12">
        <f>IFERROR('ENG_SCEN'!$E$65/'ENG_SCEN'!$E$66,"─")</f>
        <v/>
      </c>
      <c r="F67" s="12">
        <f>IFERROR('ENG_SCEN'!$F$65/'ENG_SCEN'!$F$66,"─")</f>
        <v/>
      </c>
      <c r="G67" s="12">
        <f>IFERROR('ENG_SCEN'!$G$65/'ENG_SCEN'!$G$66,"─")</f>
        <v/>
      </c>
      <c r="H67" s="12">
        <f>IFERROR('ENG_SCEN'!$H$65/'ENG_SCEN'!$H$66,"─")</f>
        <v/>
      </c>
      <c r="I67" s="12">
        <f>IFERROR('ENG_SCEN'!$I$65/'ENG_SCEN'!$I$66,"─")</f>
        <v/>
      </c>
      <c r="J67" s="12">
        <f>IFERROR('ENG_SCEN'!$J$65/'ENG_SCEN'!$J$66,"─")</f>
        <v/>
      </c>
      <c r="K67" s="12">
        <f>IFERROR('ENG_SCEN'!$K$65/'ENG_SCEN'!$K$66,"─")</f>
        <v/>
      </c>
      <c r="L67" s="12">
        <f>IFERROR('ENG_SCEN'!$L$65/'ENG_SCEN'!$L$66,"─")</f>
        <v/>
      </c>
      <c r="M67" s="12">
        <f>IFERROR('ENG_SCEN'!$M$65/'ENG_SCEN'!$M$66,"─")</f>
        <v/>
      </c>
      <c r="N67" s="12">
        <f>IFERROR('ENG_SCEN'!$N$65/'ENG_SCEN'!$N$66,"─")</f>
        <v/>
      </c>
      <c r="O67" s="12">
        <f>IFERROR('ENG_SCEN'!$O$65/'ENG_SCEN'!$O$66,"─")</f>
        <v/>
      </c>
      <c r="P67" s="12">
        <f>IFERROR('ENG_SCEN'!$P$65/'ENG_SCEN'!$P$66,"─")</f>
        <v/>
      </c>
    </row>
    <row r="68">
      <c r="A68" t="inlineStr">
        <is>
          <t>[1] ارزش فعلی خالص (NPV)</t>
        </is>
      </c>
      <c r="C68" s="9" t="inlineStr">
        <is>
          <t>میلیون ریال</t>
        </is>
      </c>
      <c r="D68" s="14">
        <f>SUM('ENG_SCEN'!$D$60:$P$60)+SUM('ENG_SCEN'!$D$63:$P$63)</f>
        <v/>
      </c>
      <c r="E68" s="14" t="n"/>
      <c r="F68" s="14" t="n"/>
      <c r="G68" s="14" t="n"/>
      <c r="H68" s="14" t="n"/>
      <c r="I68" s="14" t="n"/>
      <c r="J68" s="14" t="n"/>
      <c r="K68" s="14" t="n"/>
      <c r="L68" s="14" t="n"/>
      <c r="M68" s="14" t="n"/>
      <c r="N68" s="14" t="n"/>
      <c r="O68" s="14" t="n"/>
      <c r="P68" s="14" t="n"/>
    </row>
    <row r="69">
      <c r="A69" t="inlineStr">
        <is>
          <t>[1] IRR پروژه</t>
        </is>
      </c>
      <c r="C69" s="9" t="inlineStr">
        <is>
          <t>درصد</t>
        </is>
      </c>
      <c r="D69" s="11">
        <f>IFERROR(IRR('ENG_SCEN'!$D$64:$P$64),NA())</f>
        <v/>
      </c>
      <c r="E69" s="11" t="n"/>
      <c r="F69" s="11" t="n"/>
      <c r="G69" s="11" t="n"/>
      <c r="H69" s="11" t="n"/>
      <c r="I69" s="11" t="n"/>
      <c r="J69" s="11" t="n"/>
      <c r="K69" s="11" t="n"/>
      <c r="L69" s="11" t="n"/>
      <c r="M69" s="11" t="n"/>
      <c r="N69" s="11" t="n"/>
      <c r="O69" s="11" t="n"/>
      <c r="P69" s="11" t="n"/>
    </row>
    <row r="70">
      <c r="A70" t="inlineStr">
        <is>
          <t>[1] دوره بازپرداشت (سال)</t>
        </is>
      </c>
      <c r="C70" s="9" t="inlineStr">
        <is>
          <t>سال</t>
        </is>
      </c>
      <c r="D70" s="13">
        <f>IF(COUNTIF('ENG_SCEN'!$D$57:$P$57,"&lt;0")=0,0,IF(COUNTIF('ENG_SCEN'!$D$57:$P$57,"&lt;0")&gt;=13,NA(),INDEX('IN_MACRO'!$D$23:$P$23,COUNTIF('ENG_SCEN'!$D$57:$P$57,"&lt;0"))+(0-INDEX('ENG_SCEN'!$D$57:$P$57,COUNTIF('ENG_SCEN'!$D$57:$P$57,"&lt;0")))/(INDEX('ENG_SCEN'!$D$57:$P$57,COUNTIF('ENG_SCEN'!$D$57:$P$57,"&lt;0")+1)-INDEX('ENG_SCEN'!$D$57:$P$57,COUNTIF('ENG_SCEN'!$D$57:$P$57,"&lt;0")))))</f>
        <v/>
      </c>
      <c r="E70" s="13" t="n"/>
      <c r="F70" s="13" t="n"/>
      <c r="G70" s="13" t="n"/>
      <c r="H70" s="13" t="n"/>
      <c r="I70" s="13" t="n"/>
      <c r="J70" s="13" t="n"/>
      <c r="K70" s="13" t="n"/>
      <c r="L70" s="13" t="n"/>
      <c r="M70" s="13" t="n"/>
      <c r="N70" s="13" t="n"/>
      <c r="O70" s="13" t="n"/>
      <c r="P70" s="13" t="n"/>
    </row>
    <row r="71">
      <c r="A71" t="inlineStr">
        <is>
          <t>[1] شاخص سودآوری</t>
        </is>
      </c>
      <c r="C71" s="9" t="inlineStr">
        <is>
          <t>ضریب</t>
        </is>
      </c>
      <c r="D71" s="12">
        <f>IFERROR((SUMIF('ENG_SCEN'!$D$60:$P$60,"&gt;0")+SUM('ENG_SCEN'!$D$63:$P$63))/ABS(SUMIF('ENG_SCEN'!$D$60:$P$60,"&lt;0")),NA())</f>
        <v/>
      </c>
      <c r="E71" s="12" t="n"/>
      <c r="F71" s="12" t="n"/>
      <c r="G71" s="12" t="n"/>
      <c r="H71" s="12" t="n"/>
      <c r="I71" s="12" t="n"/>
      <c r="J71" s="12" t="n"/>
      <c r="K71" s="12" t="n"/>
      <c r="L71" s="12" t="n"/>
      <c r="M71" s="12" t="n"/>
      <c r="N71" s="12" t="n"/>
      <c r="O71" s="12" t="n"/>
      <c r="P71" s="12" t="n"/>
    </row>
    <row r="72">
      <c r="A72" t="inlineStr">
        <is>
          <t>[1] حداقل DSCR</t>
        </is>
      </c>
      <c r="C72" s="9" t="inlineStr">
        <is>
          <t>ضریب</t>
        </is>
      </c>
      <c r="D72" s="12">
        <f>IFERROR(IF(COUNT('ENG_SCEN'!$D$67:$P$67)=0,NA(),MIN('ENG_SCEN'!$D$67:$P$67)),NA())</f>
        <v/>
      </c>
      <c r="E72" s="12" t="n"/>
      <c r="F72" s="12" t="n"/>
      <c r="G72" s="12" t="n"/>
      <c r="H72" s="12" t="n"/>
      <c r="I72" s="12" t="n"/>
      <c r="J72" s="12" t="n"/>
      <c r="K72" s="12" t="n"/>
      <c r="L72" s="12" t="n"/>
      <c r="M72" s="12" t="n"/>
      <c r="N72" s="12" t="n"/>
      <c r="O72" s="12" t="n"/>
      <c r="P72" s="12" t="n"/>
    </row>
    <row r="73">
      <c r="A73" t="inlineStr">
        <is>
          <t>[1] میانگین DSCR دوره بازپرداخت</t>
        </is>
      </c>
      <c r="C73" s="9" t="inlineStr">
        <is>
          <t>ضریب</t>
        </is>
      </c>
      <c r="D73" s="12">
        <f>IFERROR(AVERAGEIF('ENG_SCEN'!$D$66:$P$66,"&gt;0",'ENG_SCEN'!$D$67:$P$67),NA())</f>
        <v/>
      </c>
      <c r="E73" s="12" t="n"/>
      <c r="F73" s="12" t="n"/>
      <c r="G73" s="12" t="n"/>
      <c r="H73" s="12" t="n"/>
      <c r="I73" s="12" t="n"/>
      <c r="J73" s="12" t="n"/>
      <c r="K73" s="12" t="n"/>
      <c r="L73" s="12" t="n"/>
      <c r="M73" s="12" t="n"/>
      <c r="N73" s="12" t="n"/>
      <c r="O73" s="12" t="n"/>
      <c r="P73" s="12" t="n"/>
    </row>
    <row r="74"/>
    <row r="75">
      <c r="A75" s="24" t="inlineStr">
        <is>
          <t>سناریوی 2: خوش‌بینانه</t>
        </is>
      </c>
    </row>
    <row r="76">
      <c r="A76" t="inlineStr">
        <is>
          <t>[2] حجم فروش محصولات (تن)</t>
        </is>
      </c>
      <c r="B76" s="8" t="inlineStr">
        <is>
          <t>SB2.vol</t>
        </is>
      </c>
      <c r="C76" s="9" t="inlineStr">
        <is>
          <t>تن</t>
        </is>
      </c>
      <c r="D76" s="14">
        <f>'ENG_OPS'!$D$82*'IN_SCEN'!$E$13</f>
        <v/>
      </c>
      <c r="E76" s="14">
        <f>'ENG_OPS'!$E$82*'IN_SCEN'!$E$13</f>
        <v/>
      </c>
      <c r="F76" s="14">
        <f>'ENG_OPS'!$F$82*'IN_SCEN'!$E$13</f>
        <v/>
      </c>
      <c r="G76" s="14">
        <f>'ENG_OPS'!$G$82*'IN_SCEN'!$E$13</f>
        <v/>
      </c>
      <c r="H76" s="14">
        <f>'ENG_OPS'!$H$82*'IN_SCEN'!$E$13</f>
        <v/>
      </c>
      <c r="I76" s="14">
        <f>'ENG_OPS'!$I$82*'IN_SCEN'!$E$13</f>
        <v/>
      </c>
      <c r="J76" s="14">
        <f>'ENG_OPS'!$J$82*'IN_SCEN'!$E$13</f>
        <v/>
      </c>
      <c r="K76" s="14">
        <f>'ENG_OPS'!$K$82*'IN_SCEN'!$E$13</f>
        <v/>
      </c>
      <c r="L76" s="14">
        <f>'ENG_OPS'!$L$82*'IN_SCEN'!$E$13</f>
        <v/>
      </c>
      <c r="M76" s="14">
        <f>'ENG_OPS'!$M$82*'IN_SCEN'!$E$13</f>
        <v/>
      </c>
      <c r="N76" s="14">
        <f>'ENG_OPS'!$N$82*'IN_SCEN'!$E$13</f>
        <v/>
      </c>
      <c r="O76" s="14">
        <f>'ENG_OPS'!$O$82*'IN_SCEN'!$E$13</f>
        <v/>
      </c>
      <c r="P76" s="14">
        <f>'ENG_OPS'!$P$82*'IN_SCEN'!$E$13</f>
        <v/>
      </c>
    </row>
    <row r="77">
      <c r="A77" t="inlineStr">
        <is>
          <t>[2] درآمد خالص هر تن</t>
        </is>
      </c>
      <c r="B77" s="8" t="inlineStr">
        <is>
          <t>SB2.price</t>
        </is>
      </c>
      <c r="C77" s="9" t="inlineStr">
        <is>
          <t>میلیون ریال/تن</t>
        </is>
      </c>
      <c r="D77" s="13">
        <f>'ENG_OPS'!$D$83*'IN_SCEN'!$E$14</f>
        <v/>
      </c>
      <c r="E77" s="13">
        <f>'ENG_OPS'!$E$83*'IN_SCEN'!$E$14</f>
        <v/>
      </c>
      <c r="F77" s="13">
        <f>'ENG_OPS'!$F$83*'IN_SCEN'!$E$14</f>
        <v/>
      </c>
      <c r="G77" s="13">
        <f>'ENG_OPS'!$G$83*'IN_SCEN'!$E$14</f>
        <v/>
      </c>
      <c r="H77" s="13">
        <f>'ENG_OPS'!$H$83*'IN_SCEN'!$E$14</f>
        <v/>
      </c>
      <c r="I77" s="13">
        <f>'ENG_OPS'!$I$83*'IN_SCEN'!$E$14</f>
        <v/>
      </c>
      <c r="J77" s="13">
        <f>'ENG_OPS'!$J$83*'IN_SCEN'!$E$14</f>
        <v/>
      </c>
      <c r="K77" s="13">
        <f>'ENG_OPS'!$K$83*'IN_SCEN'!$E$14</f>
        <v/>
      </c>
      <c r="L77" s="13">
        <f>'ENG_OPS'!$L$83*'IN_SCEN'!$E$14</f>
        <v/>
      </c>
      <c r="M77" s="13">
        <f>'ENG_OPS'!$M$83*'IN_SCEN'!$E$14</f>
        <v/>
      </c>
      <c r="N77" s="13">
        <f>'ENG_OPS'!$N$83*'IN_SCEN'!$E$14</f>
        <v/>
      </c>
      <c r="O77" s="13">
        <f>'ENG_OPS'!$O$83*'IN_SCEN'!$E$14</f>
        <v/>
      </c>
      <c r="P77" s="13">
        <f>'ENG_OPS'!$P$83*'IN_SCEN'!$E$14</f>
        <v/>
      </c>
    </row>
    <row r="78">
      <c r="A78" t="inlineStr">
        <is>
          <t>[2] درآمد خالص</t>
        </is>
      </c>
      <c r="B78" s="8" t="inlineStr">
        <is>
          <t>SB2.rev</t>
        </is>
      </c>
      <c r="C78" s="9" t="inlineStr">
        <is>
          <t>میلیون ریال</t>
        </is>
      </c>
      <c r="D78" s="14">
        <f>'ENG_SCEN'!$D$76*'ENG_SCEN'!$D$77</f>
        <v/>
      </c>
      <c r="E78" s="14">
        <f>'ENG_SCEN'!$E$76*'ENG_SCEN'!$E$77</f>
        <v/>
      </c>
      <c r="F78" s="14">
        <f>'ENG_SCEN'!$F$76*'ENG_SCEN'!$F$77</f>
        <v/>
      </c>
      <c r="G78" s="14">
        <f>'ENG_SCEN'!$G$76*'ENG_SCEN'!$G$77</f>
        <v/>
      </c>
      <c r="H78" s="14">
        <f>'ENG_SCEN'!$H$76*'ENG_SCEN'!$H$77</f>
        <v/>
      </c>
      <c r="I78" s="14">
        <f>'ENG_SCEN'!$I$76*'ENG_SCEN'!$I$77</f>
        <v/>
      </c>
      <c r="J78" s="14">
        <f>'ENG_SCEN'!$J$76*'ENG_SCEN'!$J$77</f>
        <v/>
      </c>
      <c r="K78" s="14">
        <f>'ENG_SCEN'!$K$76*'ENG_SCEN'!$K$77</f>
        <v/>
      </c>
      <c r="L78" s="14">
        <f>'ENG_SCEN'!$L$76*'ENG_SCEN'!$L$77</f>
        <v/>
      </c>
      <c r="M78" s="14">
        <f>'ENG_SCEN'!$M$76*'ENG_SCEN'!$M$77</f>
        <v/>
      </c>
      <c r="N78" s="14">
        <f>'ENG_SCEN'!$N$76*'ENG_SCEN'!$N$77</f>
        <v/>
      </c>
      <c r="O78" s="14">
        <f>'ENG_SCEN'!$O$76*'ENG_SCEN'!$O$77</f>
        <v/>
      </c>
      <c r="P78" s="14">
        <f>'ENG_SCEN'!$P$76*'ENG_SCEN'!$P$77</f>
        <v/>
      </c>
    </row>
    <row r="79">
      <c r="A79" t="inlineStr">
        <is>
          <t>[2] هزینه مواد اولیه</t>
        </is>
      </c>
      <c r="B79" s="8" t="inlineStr">
        <is>
          <t>SB2.rm</t>
        </is>
      </c>
      <c r="C79" s="9" t="inlineStr">
        <is>
          <t>میلیون ریال</t>
        </is>
      </c>
      <c r="D79" s="14">
        <f>@@ENG_COST|EC.rm|0@@*'IN_SCEN'!$E$13*'IN_SCEN'!$E$15</f>
        <v/>
      </c>
      <c r="E79" s="14">
        <f>@@ENG_COST|EC.rm|1@@*'IN_SCEN'!$E$13*'IN_SCEN'!$E$15</f>
        <v/>
      </c>
      <c r="F79" s="14">
        <f>@@ENG_COST|EC.rm|2@@*'IN_SCEN'!$E$13*'IN_SCEN'!$E$15</f>
        <v/>
      </c>
      <c r="G79" s="14">
        <f>@@ENG_COST|EC.rm|3@@*'IN_SCEN'!$E$13*'IN_SCEN'!$E$15</f>
        <v/>
      </c>
      <c r="H79" s="14">
        <f>@@ENG_COST|EC.rm|4@@*'IN_SCEN'!$E$13*'IN_SCEN'!$E$15</f>
        <v/>
      </c>
      <c r="I79" s="14">
        <f>@@ENG_COST|EC.rm|5@@*'IN_SCEN'!$E$13*'IN_SCEN'!$E$15</f>
        <v/>
      </c>
      <c r="J79" s="14">
        <f>@@ENG_COST|EC.rm|6@@*'IN_SCEN'!$E$13*'IN_SCEN'!$E$15</f>
        <v/>
      </c>
      <c r="K79" s="14">
        <f>@@ENG_COST|EC.rm|7@@*'IN_SCEN'!$E$13*'IN_SCEN'!$E$15</f>
        <v/>
      </c>
      <c r="L79" s="14">
        <f>@@ENG_COST|EC.rm|8@@*'IN_SCEN'!$E$13*'IN_SCEN'!$E$15</f>
        <v/>
      </c>
      <c r="M79" s="14">
        <f>@@ENG_COST|EC.rm|9@@*'IN_SCEN'!$E$13*'IN_SCEN'!$E$15</f>
        <v/>
      </c>
      <c r="N79" s="14">
        <f>@@ENG_COST|EC.rm|10@@*'IN_SCEN'!$E$13*'IN_SCEN'!$E$15</f>
        <v/>
      </c>
      <c r="O79" s="14">
        <f>@@ENG_COST|EC.rm|11@@*'IN_SCEN'!$E$13*'IN_SCEN'!$E$15</f>
        <v/>
      </c>
      <c r="P79" s="14">
        <f>@@ENG_COST|EC.rm|12@@*'IN_SCEN'!$E$13*'IN_SCEN'!$E$15</f>
        <v/>
      </c>
    </row>
    <row r="80">
      <c r="A80" t="inlineStr">
        <is>
          <t>[2] سایر هزینه‌های متغیر</t>
        </is>
      </c>
      <c r="B80" s="8" t="inlineStr">
        <is>
          <t>SB2.var</t>
        </is>
      </c>
      <c r="C80" s="9" t="inlineStr">
        <is>
          <t>میلیون ریال</t>
        </is>
      </c>
      <c r="D80" s="14">
        <f>@@ENG_COST|EC.var_ex_rm|0@@*'IN_SCEN'!$E$13*'IN_SCEN'!$E$16</f>
        <v/>
      </c>
      <c r="E80" s="14">
        <f>@@ENG_COST|EC.var_ex_rm|1@@*'IN_SCEN'!$E$13*'IN_SCEN'!$E$16</f>
        <v/>
      </c>
      <c r="F80" s="14">
        <f>@@ENG_COST|EC.var_ex_rm|2@@*'IN_SCEN'!$E$13*'IN_SCEN'!$E$16</f>
        <v/>
      </c>
      <c r="G80" s="14">
        <f>@@ENG_COST|EC.var_ex_rm|3@@*'IN_SCEN'!$E$13*'IN_SCEN'!$E$16</f>
        <v/>
      </c>
      <c r="H80" s="14">
        <f>@@ENG_COST|EC.var_ex_rm|4@@*'IN_SCEN'!$E$13*'IN_SCEN'!$E$16</f>
        <v/>
      </c>
      <c r="I80" s="14">
        <f>@@ENG_COST|EC.var_ex_rm|5@@*'IN_SCEN'!$E$13*'IN_SCEN'!$E$16</f>
        <v/>
      </c>
      <c r="J80" s="14">
        <f>@@ENG_COST|EC.var_ex_rm|6@@*'IN_SCEN'!$E$13*'IN_SCEN'!$E$16</f>
        <v/>
      </c>
      <c r="K80" s="14">
        <f>@@ENG_COST|EC.var_ex_rm|7@@*'IN_SCEN'!$E$13*'IN_SCEN'!$E$16</f>
        <v/>
      </c>
      <c r="L80" s="14">
        <f>@@ENG_COST|EC.var_ex_rm|8@@*'IN_SCEN'!$E$13*'IN_SCEN'!$E$16</f>
        <v/>
      </c>
      <c r="M80" s="14">
        <f>@@ENG_COST|EC.var_ex_rm|9@@*'IN_SCEN'!$E$13*'IN_SCEN'!$E$16</f>
        <v/>
      </c>
      <c r="N80" s="14">
        <f>@@ENG_COST|EC.var_ex_rm|10@@*'IN_SCEN'!$E$13*'IN_SCEN'!$E$16</f>
        <v/>
      </c>
      <c r="O80" s="14">
        <f>@@ENG_COST|EC.var_ex_rm|11@@*'IN_SCEN'!$E$13*'IN_SCEN'!$E$16</f>
        <v/>
      </c>
      <c r="P80" s="14">
        <f>@@ENG_COST|EC.var_ex_rm|12@@*'IN_SCEN'!$E$13*'IN_SCEN'!$E$16</f>
        <v/>
      </c>
    </row>
    <row r="81">
      <c r="A81" t="inlineStr">
        <is>
          <t>[2] هزینه‌های ثابت نقدی</t>
        </is>
      </c>
      <c r="B81" s="8" t="inlineStr">
        <is>
          <t>SB2.fix</t>
        </is>
      </c>
      <c r="C81" s="9" t="inlineStr">
        <is>
          <t>میلیون ریال</t>
        </is>
      </c>
      <c r="D81" s="14">
        <f>@@ENG_COST|EC.fixed_cash|0@@*'IN_SCEN'!$E$17</f>
        <v/>
      </c>
      <c r="E81" s="14">
        <f>@@ENG_COST|EC.fixed_cash|1@@*'IN_SCEN'!$E$17</f>
        <v/>
      </c>
      <c r="F81" s="14">
        <f>@@ENG_COST|EC.fixed_cash|2@@*'IN_SCEN'!$E$17</f>
        <v/>
      </c>
      <c r="G81" s="14">
        <f>@@ENG_COST|EC.fixed_cash|3@@*'IN_SCEN'!$E$17</f>
        <v/>
      </c>
      <c r="H81" s="14">
        <f>@@ENG_COST|EC.fixed_cash|4@@*'IN_SCEN'!$E$17</f>
        <v/>
      </c>
      <c r="I81" s="14">
        <f>@@ENG_COST|EC.fixed_cash|5@@*'IN_SCEN'!$E$17</f>
        <v/>
      </c>
      <c r="J81" s="14">
        <f>@@ENG_COST|EC.fixed_cash|6@@*'IN_SCEN'!$E$17</f>
        <v/>
      </c>
      <c r="K81" s="14">
        <f>@@ENG_COST|EC.fixed_cash|7@@*'IN_SCEN'!$E$17</f>
        <v/>
      </c>
      <c r="L81" s="14">
        <f>@@ENG_COST|EC.fixed_cash|8@@*'IN_SCEN'!$E$17</f>
        <v/>
      </c>
      <c r="M81" s="14">
        <f>@@ENG_COST|EC.fixed_cash|9@@*'IN_SCEN'!$E$17</f>
        <v/>
      </c>
      <c r="N81" s="14">
        <f>@@ENG_COST|EC.fixed_cash|10@@*'IN_SCEN'!$E$17</f>
        <v/>
      </c>
      <c r="O81" s="14">
        <f>@@ENG_COST|EC.fixed_cash|11@@*'IN_SCEN'!$E$17</f>
        <v/>
      </c>
      <c r="P81" s="14">
        <f>@@ENG_COST|EC.fixed_cash|12@@*'IN_SCEN'!$E$17</f>
        <v/>
      </c>
    </row>
    <row r="82">
      <c r="A82" t="inlineStr">
        <is>
          <t>[2] استهلاک</t>
        </is>
      </c>
      <c r="B82" s="8" t="inlineStr">
        <is>
          <t>SB2.dep</t>
        </is>
      </c>
      <c r="C82" s="9" t="inlineStr">
        <is>
          <t>میلیون ریال</t>
        </is>
      </c>
      <c r="D82" s="14">
        <f>@@ENG_CAPEX|CAPEX.dep_total|0@@*'IN_SCEN'!$E$18</f>
        <v/>
      </c>
      <c r="E82" s="14">
        <f>@@ENG_CAPEX|CAPEX.dep_total|1@@*'IN_SCEN'!$E$18</f>
        <v/>
      </c>
      <c r="F82" s="14">
        <f>@@ENG_CAPEX|CAPEX.dep_total|2@@*'IN_SCEN'!$E$18</f>
        <v/>
      </c>
      <c r="G82" s="14">
        <f>@@ENG_CAPEX|CAPEX.dep_total|3@@*'IN_SCEN'!$E$18</f>
        <v/>
      </c>
      <c r="H82" s="14">
        <f>@@ENG_CAPEX|CAPEX.dep_total|4@@*'IN_SCEN'!$E$18</f>
        <v/>
      </c>
      <c r="I82" s="14">
        <f>@@ENG_CAPEX|CAPEX.dep_total|5@@*'IN_SCEN'!$E$18</f>
        <v/>
      </c>
      <c r="J82" s="14">
        <f>@@ENG_CAPEX|CAPEX.dep_total|6@@*'IN_SCEN'!$E$18</f>
        <v/>
      </c>
      <c r="K82" s="14">
        <f>@@ENG_CAPEX|CAPEX.dep_total|7@@*'IN_SCEN'!$E$18</f>
        <v/>
      </c>
      <c r="L82" s="14">
        <f>@@ENG_CAPEX|CAPEX.dep_total|8@@*'IN_SCEN'!$E$18</f>
        <v/>
      </c>
      <c r="M82" s="14">
        <f>@@ENG_CAPEX|CAPEX.dep_total|9@@*'IN_SCEN'!$E$18</f>
        <v/>
      </c>
      <c r="N82" s="14">
        <f>@@ENG_CAPEX|CAPEX.dep_total|10@@*'IN_SCEN'!$E$18</f>
        <v/>
      </c>
      <c r="O82" s="14">
        <f>@@ENG_CAPEX|CAPEX.dep_total|11@@*'IN_SCEN'!$E$18</f>
        <v/>
      </c>
      <c r="P82" s="14">
        <f>@@ENG_CAPEX|CAPEX.dep_total|12@@*'IN_SCEN'!$E$18</f>
        <v/>
      </c>
    </row>
    <row r="83">
      <c r="A83" t="inlineStr">
        <is>
          <t>[2] EBITDA</t>
        </is>
      </c>
      <c r="B83" s="8" t="inlineStr">
        <is>
          <t>SB2.ebitda</t>
        </is>
      </c>
      <c r="C83" s="9" t="inlineStr">
        <is>
          <t>میلیون ریال</t>
        </is>
      </c>
      <c r="D83" s="14">
        <f>'ENG_SCEN'!$D$78-'ENG_SCEN'!$D$79-'ENG_SCEN'!$D$80-'ENG_SCEN'!$D$81</f>
        <v/>
      </c>
      <c r="E83" s="14">
        <f>'ENG_SCEN'!$E$78-'ENG_SCEN'!$E$79-'ENG_SCEN'!$E$80-'ENG_SCEN'!$E$81</f>
        <v/>
      </c>
      <c r="F83" s="14">
        <f>'ENG_SCEN'!$F$78-'ENG_SCEN'!$F$79-'ENG_SCEN'!$F$80-'ENG_SCEN'!$F$81</f>
        <v/>
      </c>
      <c r="G83" s="14">
        <f>'ENG_SCEN'!$G$78-'ENG_SCEN'!$G$79-'ENG_SCEN'!$G$80-'ENG_SCEN'!$G$81</f>
        <v/>
      </c>
      <c r="H83" s="14">
        <f>'ENG_SCEN'!$H$78-'ENG_SCEN'!$H$79-'ENG_SCEN'!$H$80-'ENG_SCEN'!$H$81</f>
        <v/>
      </c>
      <c r="I83" s="14">
        <f>'ENG_SCEN'!$I$78-'ENG_SCEN'!$I$79-'ENG_SCEN'!$I$80-'ENG_SCEN'!$I$81</f>
        <v/>
      </c>
      <c r="J83" s="14">
        <f>'ENG_SCEN'!$J$78-'ENG_SCEN'!$J$79-'ENG_SCEN'!$J$80-'ENG_SCEN'!$J$81</f>
        <v/>
      </c>
      <c r="K83" s="14">
        <f>'ENG_SCEN'!$K$78-'ENG_SCEN'!$K$79-'ENG_SCEN'!$K$80-'ENG_SCEN'!$K$81</f>
        <v/>
      </c>
      <c r="L83" s="14">
        <f>'ENG_SCEN'!$L$78-'ENG_SCEN'!$L$79-'ENG_SCEN'!$L$80-'ENG_SCEN'!$L$81</f>
        <v/>
      </c>
      <c r="M83" s="14">
        <f>'ENG_SCEN'!$M$78-'ENG_SCEN'!$M$79-'ENG_SCEN'!$M$80-'ENG_SCEN'!$M$81</f>
        <v/>
      </c>
      <c r="N83" s="14">
        <f>'ENG_SCEN'!$N$78-'ENG_SCEN'!$N$79-'ENG_SCEN'!$N$80-'ENG_SCEN'!$N$81</f>
        <v/>
      </c>
      <c r="O83" s="14">
        <f>'ENG_SCEN'!$O$78-'ENG_SCEN'!$O$79-'ENG_SCEN'!$O$80-'ENG_SCEN'!$O$81</f>
        <v/>
      </c>
      <c r="P83" s="14">
        <f>'ENG_SCEN'!$P$78-'ENG_SCEN'!$P$79-'ENG_SCEN'!$P$80-'ENG_SCEN'!$P$81</f>
        <v/>
      </c>
    </row>
    <row r="84">
      <c r="A84" t="inlineStr">
        <is>
          <t>[2] EBIT</t>
        </is>
      </c>
      <c r="B84" s="8" t="inlineStr">
        <is>
          <t>SB2.ebit</t>
        </is>
      </c>
      <c r="C84" s="9" t="inlineStr">
        <is>
          <t>میلیون ریال</t>
        </is>
      </c>
      <c r="D84" s="14">
        <f>'ENG_SCEN'!$D$83-'ENG_SCEN'!$D$82</f>
        <v/>
      </c>
      <c r="E84" s="14">
        <f>'ENG_SCEN'!$E$83-'ENG_SCEN'!$E$82</f>
        <v/>
      </c>
      <c r="F84" s="14">
        <f>'ENG_SCEN'!$F$83-'ENG_SCEN'!$F$82</f>
        <v/>
      </c>
      <c r="G84" s="14">
        <f>'ENG_SCEN'!$G$83-'ENG_SCEN'!$G$82</f>
        <v/>
      </c>
      <c r="H84" s="14">
        <f>'ENG_SCEN'!$H$83-'ENG_SCEN'!$H$82</f>
        <v/>
      </c>
      <c r="I84" s="14">
        <f>'ENG_SCEN'!$I$83-'ENG_SCEN'!$I$82</f>
        <v/>
      </c>
      <c r="J84" s="14">
        <f>'ENG_SCEN'!$J$83-'ENG_SCEN'!$J$82</f>
        <v/>
      </c>
      <c r="K84" s="14">
        <f>'ENG_SCEN'!$K$83-'ENG_SCEN'!$K$82</f>
        <v/>
      </c>
      <c r="L84" s="14">
        <f>'ENG_SCEN'!$L$83-'ENG_SCEN'!$L$82</f>
        <v/>
      </c>
      <c r="M84" s="14">
        <f>'ENG_SCEN'!$M$83-'ENG_SCEN'!$M$82</f>
        <v/>
      </c>
      <c r="N84" s="14">
        <f>'ENG_SCEN'!$N$83-'ENG_SCEN'!$N$82</f>
        <v/>
      </c>
      <c r="O84" s="14">
        <f>'ENG_SCEN'!$O$83-'ENG_SCEN'!$O$82</f>
        <v/>
      </c>
      <c r="P84" s="14">
        <f>'ENG_SCEN'!$P$83-'ENG_SCEN'!$P$82</f>
        <v/>
      </c>
    </row>
    <row r="85">
      <c r="A85" t="inlineStr">
        <is>
          <t>[2] مالیات</t>
        </is>
      </c>
      <c r="B85" s="8" t="inlineStr">
        <is>
          <t>SB2.tax</t>
        </is>
      </c>
      <c r="C85" s="9" t="inlineStr">
        <is>
          <t>میلیون ریال</t>
        </is>
      </c>
      <c r="D85" s="14">
        <f>MAX(0,'ENG_SCEN'!$D$84)*'IN_MACRO'!$D$14</f>
        <v/>
      </c>
      <c r="E85" s="14">
        <f>MAX(0,'ENG_SCEN'!$E$84)*'IN_MACRO'!$D$14</f>
        <v/>
      </c>
      <c r="F85" s="14">
        <f>MAX(0,'ENG_SCEN'!$F$84)*'IN_MACRO'!$D$14</f>
        <v/>
      </c>
      <c r="G85" s="14">
        <f>MAX(0,'ENG_SCEN'!$G$84)*'IN_MACRO'!$D$14</f>
        <v/>
      </c>
      <c r="H85" s="14">
        <f>MAX(0,'ENG_SCEN'!$H$84)*'IN_MACRO'!$D$14</f>
        <v/>
      </c>
      <c r="I85" s="14">
        <f>MAX(0,'ENG_SCEN'!$I$84)*'IN_MACRO'!$D$14</f>
        <v/>
      </c>
      <c r="J85" s="14">
        <f>MAX(0,'ENG_SCEN'!$J$84)*'IN_MACRO'!$D$14</f>
        <v/>
      </c>
      <c r="K85" s="14">
        <f>MAX(0,'ENG_SCEN'!$K$84)*'IN_MACRO'!$D$14</f>
        <v/>
      </c>
      <c r="L85" s="14">
        <f>MAX(0,'ENG_SCEN'!$L$84)*'IN_MACRO'!$D$14</f>
        <v/>
      </c>
      <c r="M85" s="14">
        <f>MAX(0,'ENG_SCEN'!$M$84)*'IN_MACRO'!$D$14</f>
        <v/>
      </c>
      <c r="N85" s="14">
        <f>MAX(0,'ENG_SCEN'!$N$84)*'IN_MACRO'!$D$14</f>
        <v/>
      </c>
      <c r="O85" s="14">
        <f>MAX(0,'ENG_SCEN'!$O$84)*'IN_MACRO'!$D$14</f>
        <v/>
      </c>
      <c r="P85" s="14">
        <f>MAX(0,'ENG_SCEN'!$P$84)*'IN_MACRO'!$D$14</f>
        <v/>
      </c>
    </row>
    <row r="86">
      <c r="A86" t="inlineStr">
        <is>
          <t>[2] NOPAT</t>
        </is>
      </c>
      <c r="B86" s="8" t="inlineStr">
        <is>
          <t>SB2.nopat</t>
        </is>
      </c>
      <c r="C86" s="9" t="inlineStr">
        <is>
          <t>میلیون ریال</t>
        </is>
      </c>
      <c r="D86" s="14">
        <f>'ENG_SCEN'!$D$84-'ENG_SCEN'!$D$85</f>
        <v/>
      </c>
      <c r="E86" s="14">
        <f>'ENG_SCEN'!$E$84-'ENG_SCEN'!$E$85</f>
        <v/>
      </c>
      <c r="F86" s="14">
        <f>'ENG_SCEN'!$F$84-'ENG_SCEN'!$F$85</f>
        <v/>
      </c>
      <c r="G86" s="14">
        <f>'ENG_SCEN'!$G$84-'ENG_SCEN'!$G$85</f>
        <v/>
      </c>
      <c r="H86" s="14">
        <f>'ENG_SCEN'!$H$84-'ENG_SCEN'!$H$85</f>
        <v/>
      </c>
      <c r="I86" s="14">
        <f>'ENG_SCEN'!$I$84-'ENG_SCEN'!$I$85</f>
        <v/>
      </c>
      <c r="J86" s="14">
        <f>'ENG_SCEN'!$J$84-'ENG_SCEN'!$J$85</f>
        <v/>
      </c>
      <c r="K86" s="14">
        <f>'ENG_SCEN'!$K$84-'ENG_SCEN'!$K$85</f>
        <v/>
      </c>
      <c r="L86" s="14">
        <f>'ENG_SCEN'!$L$84-'ENG_SCEN'!$L$85</f>
        <v/>
      </c>
      <c r="M86" s="14">
        <f>'ENG_SCEN'!$M$84-'ENG_SCEN'!$M$85</f>
        <v/>
      </c>
      <c r="N86" s="14">
        <f>'ENG_SCEN'!$N$84-'ENG_SCEN'!$N$85</f>
        <v/>
      </c>
      <c r="O86" s="14">
        <f>'ENG_SCEN'!$O$84-'ENG_SCEN'!$O$85</f>
        <v/>
      </c>
      <c r="P86" s="14">
        <f>'ENG_SCEN'!$P$84-'ENG_SCEN'!$P$85</f>
        <v/>
      </c>
    </row>
    <row r="87">
      <c r="A87" t="inlineStr">
        <is>
          <t>[2] CAPEX و جایگزینی</t>
        </is>
      </c>
      <c r="B87" s="8" t="inlineStr">
        <is>
          <t>SB2.capex</t>
        </is>
      </c>
      <c r="C87" s="9" t="inlineStr">
        <is>
          <t>میلیون ریال</t>
        </is>
      </c>
      <c r="D87" s="14">
        <f>(@@ENG_CAPEX|CAPEX.cap_total|0@@+@@ENG_CAPEX|CAPEX.repl_total|0@@)*'IN_SCEN'!$E$18</f>
        <v/>
      </c>
      <c r="E87" s="14">
        <f>(@@ENG_CAPEX|CAPEX.cap_total|1@@+@@ENG_CAPEX|CAPEX.repl_total|1@@)*'IN_SCEN'!$E$18</f>
        <v/>
      </c>
      <c r="F87" s="14">
        <f>(@@ENG_CAPEX|CAPEX.cap_total|2@@+@@ENG_CAPEX|CAPEX.repl_total|2@@)*'IN_SCEN'!$E$18</f>
        <v/>
      </c>
      <c r="G87" s="14">
        <f>(@@ENG_CAPEX|CAPEX.cap_total|3@@+@@ENG_CAPEX|CAPEX.repl_total|3@@)*'IN_SCEN'!$E$18</f>
        <v/>
      </c>
      <c r="H87" s="14">
        <f>(@@ENG_CAPEX|CAPEX.cap_total|4@@+@@ENG_CAPEX|CAPEX.repl_total|4@@)*'IN_SCEN'!$E$18</f>
        <v/>
      </c>
      <c r="I87" s="14">
        <f>(@@ENG_CAPEX|CAPEX.cap_total|5@@+@@ENG_CAPEX|CAPEX.repl_total|5@@)*'IN_SCEN'!$E$18</f>
        <v/>
      </c>
      <c r="J87" s="14">
        <f>(@@ENG_CAPEX|CAPEX.cap_total|6@@+@@ENG_CAPEX|CAPEX.repl_total|6@@)*'IN_SCEN'!$E$18</f>
        <v/>
      </c>
      <c r="K87" s="14">
        <f>(@@ENG_CAPEX|CAPEX.cap_total|7@@+@@ENG_CAPEX|CAPEX.repl_total|7@@)*'IN_SCEN'!$E$18</f>
        <v/>
      </c>
      <c r="L87" s="14">
        <f>(@@ENG_CAPEX|CAPEX.cap_total|8@@+@@ENG_CAPEX|CAPEX.repl_total|8@@)*'IN_SCEN'!$E$18</f>
        <v/>
      </c>
      <c r="M87" s="14">
        <f>(@@ENG_CAPEX|CAPEX.cap_total|9@@+@@ENG_CAPEX|CAPEX.repl_total|9@@)*'IN_SCEN'!$E$18</f>
        <v/>
      </c>
      <c r="N87" s="14">
        <f>(@@ENG_CAPEX|CAPEX.cap_total|10@@+@@ENG_CAPEX|CAPEX.repl_total|10@@)*'IN_SCEN'!$E$18</f>
        <v/>
      </c>
      <c r="O87" s="14">
        <f>(@@ENG_CAPEX|CAPEX.cap_total|11@@+@@ENG_CAPEX|CAPEX.repl_total|11@@)*'IN_SCEN'!$E$18</f>
        <v/>
      </c>
      <c r="P87" s="14">
        <f>(@@ENG_CAPEX|CAPEX.cap_total|12@@+@@ENG_CAPEX|CAPEX.repl_total|12@@)*'IN_SCEN'!$E$18</f>
        <v/>
      </c>
    </row>
    <row r="88">
      <c r="A88" t="inlineStr">
        <is>
          <t>[2] تغییرات سرمایه در گردش</t>
        </is>
      </c>
      <c r="B88" s="8" t="inlineStr">
        <is>
          <t>SB2.dwc</t>
        </is>
      </c>
      <c r="C88" s="9" t="inlineStr">
        <is>
          <t>میلیون ریال</t>
        </is>
      </c>
      <c r="D88" s="14">
        <f>@@ENG_WC|WC.dwc|0@@*'IN_SCEN'!$E$13*'IN_SCEN'!$E$14</f>
        <v/>
      </c>
      <c r="E88" s="14">
        <f>@@ENG_WC|WC.dwc|1@@*'IN_SCEN'!$E$13*'IN_SCEN'!$E$14</f>
        <v/>
      </c>
      <c r="F88" s="14">
        <f>@@ENG_WC|WC.dwc|2@@*'IN_SCEN'!$E$13*'IN_SCEN'!$E$14</f>
        <v/>
      </c>
      <c r="G88" s="14">
        <f>@@ENG_WC|WC.dwc|3@@*'IN_SCEN'!$E$13*'IN_SCEN'!$E$14</f>
        <v/>
      </c>
      <c r="H88" s="14">
        <f>@@ENG_WC|WC.dwc|4@@*'IN_SCEN'!$E$13*'IN_SCEN'!$E$14</f>
        <v/>
      </c>
      <c r="I88" s="14">
        <f>@@ENG_WC|WC.dwc|5@@*'IN_SCEN'!$E$13*'IN_SCEN'!$E$14</f>
        <v/>
      </c>
      <c r="J88" s="14">
        <f>@@ENG_WC|WC.dwc|6@@*'IN_SCEN'!$E$13*'IN_SCEN'!$E$14</f>
        <v/>
      </c>
      <c r="K88" s="14">
        <f>@@ENG_WC|WC.dwc|7@@*'IN_SCEN'!$E$13*'IN_SCEN'!$E$14</f>
        <v/>
      </c>
      <c r="L88" s="14">
        <f>@@ENG_WC|WC.dwc|8@@*'IN_SCEN'!$E$13*'IN_SCEN'!$E$14</f>
        <v/>
      </c>
      <c r="M88" s="14">
        <f>@@ENG_WC|WC.dwc|9@@*'IN_SCEN'!$E$13*'IN_SCEN'!$E$14</f>
        <v/>
      </c>
      <c r="N88" s="14">
        <f>@@ENG_WC|WC.dwc|10@@*'IN_SCEN'!$E$13*'IN_SCEN'!$E$14</f>
        <v/>
      </c>
      <c r="O88" s="14">
        <f>@@ENG_WC|WC.dwc|11@@*'IN_SCEN'!$E$13*'IN_SCEN'!$E$14</f>
        <v/>
      </c>
      <c r="P88" s="14">
        <f>@@ENG_WC|WC.dwc|12@@*'IN_SCEN'!$E$13*'IN_SCEN'!$E$14</f>
        <v/>
      </c>
    </row>
    <row r="89">
      <c r="A89" t="inlineStr">
        <is>
          <t>[2] جریان نقد آزاد (FCFF)</t>
        </is>
      </c>
      <c r="B89" s="8" t="inlineStr">
        <is>
          <t>SB2.fcf</t>
        </is>
      </c>
      <c r="C89" s="9" t="inlineStr">
        <is>
          <t>میلیون ریال</t>
        </is>
      </c>
      <c r="D89" s="14">
        <f>'ENG_SCEN'!$D$86+'ENG_SCEN'!$D$82-'ENG_SCEN'!$D$87-'ENG_SCEN'!$D$88</f>
        <v/>
      </c>
      <c r="E89" s="14">
        <f>'ENG_SCEN'!$E$86+'ENG_SCEN'!$E$82-'ENG_SCEN'!$E$87-'ENG_SCEN'!$E$88</f>
        <v/>
      </c>
      <c r="F89" s="14">
        <f>'ENG_SCEN'!$F$86+'ENG_SCEN'!$F$82-'ENG_SCEN'!$F$87-'ENG_SCEN'!$F$88</f>
        <v/>
      </c>
      <c r="G89" s="14">
        <f>'ENG_SCEN'!$G$86+'ENG_SCEN'!$G$82-'ENG_SCEN'!$G$87-'ENG_SCEN'!$G$88</f>
        <v/>
      </c>
      <c r="H89" s="14">
        <f>'ENG_SCEN'!$H$86+'ENG_SCEN'!$H$82-'ENG_SCEN'!$H$87-'ENG_SCEN'!$H$88</f>
        <v/>
      </c>
      <c r="I89" s="14">
        <f>'ENG_SCEN'!$I$86+'ENG_SCEN'!$I$82-'ENG_SCEN'!$I$87-'ENG_SCEN'!$I$88</f>
        <v/>
      </c>
      <c r="J89" s="14">
        <f>'ENG_SCEN'!$J$86+'ENG_SCEN'!$J$82-'ENG_SCEN'!$J$87-'ENG_SCEN'!$J$88</f>
        <v/>
      </c>
      <c r="K89" s="14">
        <f>'ENG_SCEN'!$K$86+'ENG_SCEN'!$K$82-'ENG_SCEN'!$K$87-'ENG_SCEN'!$K$88</f>
        <v/>
      </c>
      <c r="L89" s="14">
        <f>'ENG_SCEN'!$L$86+'ENG_SCEN'!$L$82-'ENG_SCEN'!$L$87-'ENG_SCEN'!$L$88</f>
        <v/>
      </c>
      <c r="M89" s="14">
        <f>'ENG_SCEN'!$M$86+'ENG_SCEN'!$M$82-'ENG_SCEN'!$M$87-'ENG_SCEN'!$M$88</f>
        <v/>
      </c>
      <c r="N89" s="14">
        <f>'ENG_SCEN'!$N$86+'ENG_SCEN'!$N$82-'ENG_SCEN'!$N$87-'ENG_SCEN'!$N$88</f>
        <v/>
      </c>
      <c r="O89" s="14">
        <f>'ENG_SCEN'!$O$86+'ENG_SCEN'!$O$82-'ENG_SCEN'!$O$87-'ENG_SCEN'!$O$88</f>
        <v/>
      </c>
      <c r="P89" s="14">
        <f>'ENG_SCEN'!$P$86+'ENG_SCEN'!$P$82-'ENG_SCEN'!$P$87-'ENG_SCEN'!$P$88</f>
        <v/>
      </c>
    </row>
    <row r="90">
      <c r="A90" t="inlineStr">
        <is>
          <t>[2] FCFF تکرارپذیر</t>
        </is>
      </c>
      <c r="B90" s="8" t="inlineStr">
        <is>
          <t>SB2.fcf_rep</t>
        </is>
      </c>
      <c r="C90" s="9" t="inlineStr">
        <is>
          <t>میلیون ریال</t>
        </is>
      </c>
      <c r="D90" s="14">
        <f>'ENG_SCEN'!$D$86+'ENG_SCEN'!$D$82-'ENG_SCEN'!$D$88</f>
        <v/>
      </c>
      <c r="E90" s="14">
        <f>'ENG_SCEN'!$E$86+'ENG_SCEN'!$E$82-'ENG_SCEN'!$E$88</f>
        <v/>
      </c>
      <c r="F90" s="14">
        <f>'ENG_SCEN'!$F$86+'ENG_SCEN'!$F$82-'ENG_SCEN'!$F$88</f>
        <v/>
      </c>
      <c r="G90" s="14">
        <f>'ENG_SCEN'!$G$86+'ENG_SCEN'!$G$82-'ENG_SCEN'!$G$88</f>
        <v/>
      </c>
      <c r="H90" s="14">
        <f>'ENG_SCEN'!$H$86+'ENG_SCEN'!$H$82-'ENG_SCEN'!$H$88</f>
        <v/>
      </c>
      <c r="I90" s="14">
        <f>'ENG_SCEN'!$I$86+'ENG_SCEN'!$I$82-'ENG_SCEN'!$I$88</f>
        <v/>
      </c>
      <c r="J90" s="14">
        <f>'ENG_SCEN'!$J$86+'ENG_SCEN'!$J$82-'ENG_SCEN'!$J$88</f>
        <v/>
      </c>
      <c r="K90" s="14">
        <f>'ENG_SCEN'!$K$86+'ENG_SCEN'!$K$82-'ENG_SCEN'!$K$88</f>
        <v/>
      </c>
      <c r="L90" s="14">
        <f>'ENG_SCEN'!$L$86+'ENG_SCEN'!$L$82-'ENG_SCEN'!$L$88</f>
        <v/>
      </c>
      <c r="M90" s="14">
        <f>'ENG_SCEN'!$M$86+'ENG_SCEN'!$M$82-'ENG_SCEN'!$M$88</f>
        <v/>
      </c>
      <c r="N90" s="14">
        <f>'ENG_SCEN'!$N$86+'ENG_SCEN'!$N$82-'ENG_SCEN'!$N$88</f>
        <v/>
      </c>
      <c r="O90" s="14">
        <f>'ENG_SCEN'!$O$86+'ENG_SCEN'!$O$82-'ENG_SCEN'!$O$88</f>
        <v/>
      </c>
      <c r="P90" s="14">
        <f>'ENG_SCEN'!$P$86+'ENG_SCEN'!$P$82-'ENG_SCEN'!$P$88</f>
        <v/>
      </c>
    </row>
    <row r="91">
      <c r="A91" t="inlineStr">
        <is>
          <t>[2] FCFF تجمعی</t>
        </is>
      </c>
      <c r="B91" s="8" t="inlineStr">
        <is>
          <t>SB2.cum</t>
        </is>
      </c>
      <c r="C91" s="9" t="inlineStr">
        <is>
          <t>میلیون ریال</t>
        </is>
      </c>
      <c r="D91" s="14">
        <f>'ENG_SCEN'!$D$89</f>
        <v/>
      </c>
      <c r="E91" s="14">
        <f>'ENG_SCEN'!$D$91+'ENG_SCEN'!$E$89</f>
        <v/>
      </c>
      <c r="F91" s="14">
        <f>'ENG_SCEN'!$E$91+'ENG_SCEN'!$F$89</f>
        <v/>
      </c>
      <c r="G91" s="14">
        <f>'ENG_SCEN'!$F$91+'ENG_SCEN'!$G$89</f>
        <v/>
      </c>
      <c r="H91" s="14">
        <f>'ENG_SCEN'!$G$91+'ENG_SCEN'!$H$89</f>
        <v/>
      </c>
      <c r="I91" s="14">
        <f>'ENG_SCEN'!$H$91+'ENG_SCEN'!$I$89</f>
        <v/>
      </c>
      <c r="J91" s="14">
        <f>'ENG_SCEN'!$I$91+'ENG_SCEN'!$J$89</f>
        <v/>
      </c>
      <c r="K91" s="14">
        <f>'ENG_SCEN'!$J$91+'ENG_SCEN'!$K$89</f>
        <v/>
      </c>
      <c r="L91" s="14">
        <f>'ENG_SCEN'!$K$91+'ENG_SCEN'!$L$89</f>
        <v/>
      </c>
      <c r="M91" s="14">
        <f>'ENG_SCEN'!$L$91+'ENG_SCEN'!$M$89</f>
        <v/>
      </c>
      <c r="N91" s="14">
        <f>'ENG_SCEN'!$M$91+'ENG_SCEN'!$N$89</f>
        <v/>
      </c>
      <c r="O91" s="14">
        <f>'ENG_SCEN'!$N$91+'ENG_SCEN'!$O$89</f>
        <v/>
      </c>
      <c r="P91" s="14">
        <f>'ENG_SCEN'!$O$91+'ENG_SCEN'!$P$89</f>
        <v/>
      </c>
    </row>
    <row r="92">
      <c r="A92" t="inlineStr">
        <is>
          <t>[2] نرخ تنزیل (WACC)</t>
        </is>
      </c>
      <c r="B92" s="8" t="inlineStr">
        <is>
          <t>SB2.wacc</t>
        </is>
      </c>
      <c r="C92" s="9" t="inlineStr">
        <is>
          <t>درصد</t>
        </is>
      </c>
      <c r="D92" s="11">
        <f>@@ENG_DCF|DCF.wacc|0@@+'IN_SCEN'!$E$20</f>
        <v/>
      </c>
      <c r="E92" s="11">
        <f>@@ENG_DCF|DCF.wacc|1@@+'IN_SCEN'!$E$20</f>
        <v/>
      </c>
      <c r="F92" s="11">
        <f>@@ENG_DCF|DCF.wacc|2@@+'IN_SCEN'!$E$20</f>
        <v/>
      </c>
      <c r="G92" s="11">
        <f>@@ENG_DCF|DCF.wacc|3@@+'IN_SCEN'!$E$20</f>
        <v/>
      </c>
      <c r="H92" s="11">
        <f>@@ENG_DCF|DCF.wacc|4@@+'IN_SCEN'!$E$20</f>
        <v/>
      </c>
      <c r="I92" s="11">
        <f>@@ENG_DCF|DCF.wacc|5@@+'IN_SCEN'!$E$20</f>
        <v/>
      </c>
      <c r="J92" s="11">
        <f>@@ENG_DCF|DCF.wacc|6@@+'IN_SCEN'!$E$20</f>
        <v/>
      </c>
      <c r="K92" s="11">
        <f>@@ENG_DCF|DCF.wacc|7@@+'IN_SCEN'!$E$20</f>
        <v/>
      </c>
      <c r="L92" s="11">
        <f>@@ENG_DCF|DCF.wacc|8@@+'IN_SCEN'!$E$20</f>
        <v/>
      </c>
      <c r="M92" s="11">
        <f>@@ENG_DCF|DCF.wacc|9@@+'IN_SCEN'!$E$20</f>
        <v/>
      </c>
      <c r="N92" s="11">
        <f>@@ENG_DCF|DCF.wacc|10@@+'IN_SCEN'!$E$20</f>
        <v/>
      </c>
      <c r="O92" s="11">
        <f>@@ENG_DCF|DCF.wacc|11@@+'IN_SCEN'!$E$20</f>
        <v/>
      </c>
      <c r="P92" s="11">
        <f>@@ENG_DCF|DCF.wacc|12@@+'IN_SCEN'!$E$20</f>
        <v/>
      </c>
    </row>
    <row r="93">
      <c r="A93" t="inlineStr">
        <is>
          <t>[2] ضریب تنزیل</t>
        </is>
      </c>
      <c r="B93" s="8" t="inlineStr">
        <is>
          <t>SB2.df</t>
        </is>
      </c>
      <c r="C93" s="9" t="inlineStr">
        <is>
          <t>ضریب</t>
        </is>
      </c>
      <c r="D93" s="12">
        <f>1</f>
        <v/>
      </c>
      <c r="E93" s="12">
        <f>'ENG_SCEN'!$D$93/(1+'ENG_SCEN'!$E$92)</f>
        <v/>
      </c>
      <c r="F93" s="12">
        <f>'ENG_SCEN'!$E$93/(1+'ENG_SCEN'!$F$92)</f>
        <v/>
      </c>
      <c r="G93" s="12">
        <f>'ENG_SCEN'!$F$93/(1+'ENG_SCEN'!$G$92)</f>
        <v/>
      </c>
      <c r="H93" s="12">
        <f>'ENG_SCEN'!$G$93/(1+'ENG_SCEN'!$H$92)</f>
        <v/>
      </c>
      <c r="I93" s="12">
        <f>'ENG_SCEN'!$H$93/(1+'ENG_SCEN'!$I$92)</f>
        <v/>
      </c>
      <c r="J93" s="12">
        <f>'ENG_SCEN'!$I$93/(1+'ENG_SCEN'!$J$92)</f>
        <v/>
      </c>
      <c r="K93" s="12">
        <f>'ENG_SCEN'!$J$93/(1+'ENG_SCEN'!$K$92)</f>
        <v/>
      </c>
      <c r="L93" s="12">
        <f>'ENG_SCEN'!$K$93/(1+'ENG_SCEN'!$L$92)</f>
        <v/>
      </c>
      <c r="M93" s="12">
        <f>'ENG_SCEN'!$L$93/(1+'ENG_SCEN'!$M$92)</f>
        <v/>
      </c>
      <c r="N93" s="12">
        <f>'ENG_SCEN'!$M$93/(1+'ENG_SCEN'!$N$92)</f>
        <v/>
      </c>
      <c r="O93" s="12">
        <f>'ENG_SCEN'!$N$93/(1+'ENG_SCEN'!$O$92)</f>
        <v/>
      </c>
      <c r="P93" s="12">
        <f>'ENG_SCEN'!$O$93/(1+'ENG_SCEN'!$P$92)</f>
        <v/>
      </c>
    </row>
    <row r="94">
      <c r="A94" t="inlineStr">
        <is>
          <t>[2] ارزش فعلی FCFF</t>
        </is>
      </c>
      <c r="B94" s="8" t="inlineStr">
        <is>
          <t>SB2.pv</t>
        </is>
      </c>
      <c r="C94" s="9" t="inlineStr">
        <is>
          <t>میلیون ریال</t>
        </is>
      </c>
      <c r="D94" s="14">
        <f>'ENG_SCEN'!$D$89*'ENG_SCEN'!$D$93</f>
        <v/>
      </c>
      <c r="E94" s="14">
        <f>'ENG_SCEN'!$E$89*'ENG_SCEN'!$E$93</f>
        <v/>
      </c>
      <c r="F94" s="14">
        <f>'ENG_SCEN'!$F$89*'ENG_SCEN'!$F$93</f>
        <v/>
      </c>
      <c r="G94" s="14">
        <f>'ENG_SCEN'!$G$89*'ENG_SCEN'!$G$93</f>
        <v/>
      </c>
      <c r="H94" s="14">
        <f>'ENG_SCEN'!$H$89*'ENG_SCEN'!$H$93</f>
        <v/>
      </c>
      <c r="I94" s="14">
        <f>'ENG_SCEN'!$I$89*'ENG_SCEN'!$I$93</f>
        <v/>
      </c>
      <c r="J94" s="14">
        <f>'ENG_SCEN'!$J$89*'ENG_SCEN'!$J$93</f>
        <v/>
      </c>
      <c r="K94" s="14">
        <f>'ENG_SCEN'!$K$89*'ENG_SCEN'!$K$93</f>
        <v/>
      </c>
      <c r="L94" s="14">
        <f>'ENG_SCEN'!$L$89*'ENG_SCEN'!$L$93</f>
        <v/>
      </c>
      <c r="M94" s="14">
        <f>'ENG_SCEN'!$M$89*'ENG_SCEN'!$M$93</f>
        <v/>
      </c>
      <c r="N94" s="14">
        <f>'ENG_SCEN'!$N$89*'ENG_SCEN'!$N$93</f>
        <v/>
      </c>
      <c r="O94" s="14">
        <f>'ENG_SCEN'!$O$89*'ENG_SCEN'!$O$93</f>
        <v/>
      </c>
      <c r="P94" s="14">
        <f>'ENG_SCEN'!$P$89*'ENG_SCEN'!$P$93</f>
        <v/>
      </c>
    </row>
    <row r="95">
      <c r="A95" t="inlineStr">
        <is>
          <t>[2] ارزش فعلی تجمعی</t>
        </is>
      </c>
      <c r="B95" s="8" t="inlineStr">
        <is>
          <t>SB2.pvc</t>
        </is>
      </c>
      <c r="C95" s="9" t="inlineStr">
        <is>
          <t>میلیون ریال</t>
        </is>
      </c>
      <c r="D95" s="14">
        <f>'ENG_SCEN'!$D$94</f>
        <v/>
      </c>
      <c r="E95" s="14">
        <f>'ENG_SCEN'!$D$95+'ENG_SCEN'!$E$94</f>
        <v/>
      </c>
      <c r="F95" s="14">
        <f>'ENG_SCEN'!$E$95+'ENG_SCEN'!$F$94</f>
        <v/>
      </c>
      <c r="G95" s="14">
        <f>'ENG_SCEN'!$F$95+'ENG_SCEN'!$G$94</f>
        <v/>
      </c>
      <c r="H95" s="14">
        <f>'ENG_SCEN'!$G$95+'ENG_SCEN'!$H$94</f>
        <v/>
      </c>
      <c r="I95" s="14">
        <f>'ENG_SCEN'!$H$95+'ENG_SCEN'!$I$94</f>
        <v/>
      </c>
      <c r="J95" s="14">
        <f>'ENG_SCEN'!$I$95+'ENG_SCEN'!$J$94</f>
        <v/>
      </c>
      <c r="K95" s="14">
        <f>'ENG_SCEN'!$J$95+'ENG_SCEN'!$K$94</f>
        <v/>
      </c>
      <c r="L95" s="14">
        <f>'ENG_SCEN'!$K$95+'ENG_SCEN'!$L$94</f>
        <v/>
      </c>
      <c r="M95" s="14">
        <f>'ENG_SCEN'!$L$95+'ENG_SCEN'!$M$94</f>
        <v/>
      </c>
      <c r="N95" s="14">
        <f>'ENG_SCEN'!$M$95+'ENG_SCEN'!$N$94</f>
        <v/>
      </c>
      <c r="O95" s="14">
        <f>'ENG_SCEN'!$N$95+'ENG_SCEN'!$O$94</f>
        <v/>
      </c>
      <c r="P95" s="14">
        <f>'ENG_SCEN'!$O$95+'ENG_SCEN'!$P$94</f>
        <v/>
      </c>
    </row>
    <row r="96">
      <c r="A96" t="inlineStr">
        <is>
          <t>[2] ارزش پایانی</t>
        </is>
      </c>
      <c r="B96" s="8" t="inlineStr">
        <is>
          <t>SB2.tv</t>
        </is>
      </c>
      <c r="C96" s="9" t="inlineStr">
        <is>
          <t>میلیون ریال</t>
        </is>
      </c>
      <c r="D96" s="14">
        <f>IF('IN_MACRO'!$D$23&lt;'IN_MACRO'!$D$11,0,IF('IN_MACRO'!$D$19=1,MAX(0,'ENG_SCEN'!$P$90)*(1+'IN_MACRO'!$D$18)/MAX(0.005,'ENG_SCEN'!$P$92-'IN_MACRO'!$D$18),'ENG_SCEN'!$P$83*'IN_MACRO'!$D$20))</f>
        <v/>
      </c>
      <c r="E96" s="14">
        <f>IF('IN_MACRO'!$E$23&lt;'IN_MACRO'!$D$11,0,IF('IN_MACRO'!$D$19=1,MAX(0,'ENG_SCEN'!$P$90)*(1+'IN_MACRO'!$D$18)/MAX(0.005,'ENG_SCEN'!$P$92-'IN_MACRO'!$D$18),'ENG_SCEN'!$P$83*'IN_MACRO'!$D$20))</f>
        <v/>
      </c>
      <c r="F96" s="14">
        <f>IF('IN_MACRO'!$F$23&lt;'IN_MACRO'!$D$11,0,IF('IN_MACRO'!$D$19=1,MAX(0,'ENG_SCEN'!$P$90)*(1+'IN_MACRO'!$D$18)/MAX(0.005,'ENG_SCEN'!$P$92-'IN_MACRO'!$D$18),'ENG_SCEN'!$P$83*'IN_MACRO'!$D$20))</f>
        <v/>
      </c>
      <c r="G96" s="14">
        <f>IF('IN_MACRO'!$G$23&lt;'IN_MACRO'!$D$11,0,IF('IN_MACRO'!$D$19=1,MAX(0,'ENG_SCEN'!$P$90)*(1+'IN_MACRO'!$D$18)/MAX(0.005,'ENG_SCEN'!$P$92-'IN_MACRO'!$D$18),'ENG_SCEN'!$P$83*'IN_MACRO'!$D$20))</f>
        <v/>
      </c>
      <c r="H96" s="14">
        <f>IF('IN_MACRO'!$H$23&lt;'IN_MACRO'!$D$11,0,IF('IN_MACRO'!$D$19=1,MAX(0,'ENG_SCEN'!$P$90)*(1+'IN_MACRO'!$D$18)/MAX(0.005,'ENG_SCEN'!$P$92-'IN_MACRO'!$D$18),'ENG_SCEN'!$P$83*'IN_MACRO'!$D$20))</f>
        <v/>
      </c>
      <c r="I96" s="14">
        <f>IF('IN_MACRO'!$I$23&lt;'IN_MACRO'!$D$11,0,IF('IN_MACRO'!$D$19=1,MAX(0,'ENG_SCEN'!$P$90)*(1+'IN_MACRO'!$D$18)/MAX(0.005,'ENG_SCEN'!$P$92-'IN_MACRO'!$D$18),'ENG_SCEN'!$P$83*'IN_MACRO'!$D$20))</f>
        <v/>
      </c>
      <c r="J96" s="14">
        <f>IF('IN_MACRO'!$J$23&lt;'IN_MACRO'!$D$11,0,IF('IN_MACRO'!$D$19=1,MAX(0,'ENG_SCEN'!$P$90)*(1+'IN_MACRO'!$D$18)/MAX(0.005,'ENG_SCEN'!$P$92-'IN_MACRO'!$D$18),'ENG_SCEN'!$P$83*'IN_MACRO'!$D$20))</f>
        <v/>
      </c>
      <c r="K96" s="14">
        <f>IF('IN_MACRO'!$K$23&lt;'IN_MACRO'!$D$11,0,IF('IN_MACRO'!$D$19=1,MAX(0,'ENG_SCEN'!$P$90)*(1+'IN_MACRO'!$D$18)/MAX(0.005,'ENG_SCEN'!$P$92-'IN_MACRO'!$D$18),'ENG_SCEN'!$P$83*'IN_MACRO'!$D$20))</f>
        <v/>
      </c>
      <c r="L96" s="14">
        <f>IF('IN_MACRO'!$L$23&lt;'IN_MACRO'!$D$11,0,IF('IN_MACRO'!$D$19=1,MAX(0,'ENG_SCEN'!$P$90)*(1+'IN_MACRO'!$D$18)/MAX(0.005,'ENG_SCEN'!$P$92-'IN_MACRO'!$D$18),'ENG_SCEN'!$P$83*'IN_MACRO'!$D$20))</f>
        <v/>
      </c>
      <c r="M96" s="14">
        <f>IF('IN_MACRO'!$M$23&lt;'IN_MACRO'!$D$11,0,IF('IN_MACRO'!$D$19=1,MAX(0,'ENG_SCEN'!$P$90)*(1+'IN_MACRO'!$D$18)/MAX(0.005,'ENG_SCEN'!$P$92-'IN_MACRO'!$D$18),'ENG_SCEN'!$P$83*'IN_MACRO'!$D$20))</f>
        <v/>
      </c>
      <c r="N96" s="14">
        <f>IF('IN_MACRO'!$N$23&lt;'IN_MACRO'!$D$11,0,IF('IN_MACRO'!$D$19=1,MAX(0,'ENG_SCEN'!$P$90)*(1+'IN_MACRO'!$D$18)/MAX(0.005,'ENG_SCEN'!$P$92-'IN_MACRO'!$D$18),'ENG_SCEN'!$P$83*'IN_MACRO'!$D$20))</f>
        <v/>
      </c>
      <c r="O96" s="14">
        <f>IF('IN_MACRO'!$O$23&lt;'IN_MACRO'!$D$11,0,IF('IN_MACRO'!$D$19=1,MAX(0,'ENG_SCEN'!$P$90)*(1+'IN_MACRO'!$D$18)/MAX(0.005,'ENG_SCEN'!$P$92-'IN_MACRO'!$D$18),'ENG_SCEN'!$P$83*'IN_MACRO'!$D$20))</f>
        <v/>
      </c>
      <c r="P96" s="14">
        <f>IF('IN_MACRO'!$P$23&lt;'IN_MACRO'!$D$11,0,IF('IN_MACRO'!$D$19=1,MAX(0,'ENG_SCEN'!$P$90)*(1+'IN_MACRO'!$D$18)/MAX(0.005,'ENG_SCEN'!$P$92-'IN_MACRO'!$D$18),'ENG_SCEN'!$P$83*'IN_MACRO'!$D$20))</f>
        <v/>
      </c>
    </row>
    <row r="97">
      <c r="A97" t="inlineStr">
        <is>
          <t>[2] ارزش فعلی ارزش پایانی</t>
        </is>
      </c>
      <c r="B97" s="8" t="inlineStr">
        <is>
          <t>SB2.pvtv</t>
        </is>
      </c>
      <c r="C97" s="9" t="inlineStr">
        <is>
          <t>میلیون ریال</t>
        </is>
      </c>
      <c r="D97" s="14">
        <f>'ENG_SCEN'!$D$96*'ENG_SCEN'!$D$93</f>
        <v/>
      </c>
      <c r="E97" s="14">
        <f>'ENG_SCEN'!$E$96*'ENG_SCEN'!$E$93</f>
        <v/>
      </c>
      <c r="F97" s="14">
        <f>'ENG_SCEN'!$F$96*'ENG_SCEN'!$F$93</f>
        <v/>
      </c>
      <c r="G97" s="14">
        <f>'ENG_SCEN'!$G$96*'ENG_SCEN'!$G$93</f>
        <v/>
      </c>
      <c r="H97" s="14">
        <f>'ENG_SCEN'!$H$96*'ENG_SCEN'!$H$93</f>
        <v/>
      </c>
      <c r="I97" s="14">
        <f>'ENG_SCEN'!$I$96*'ENG_SCEN'!$I$93</f>
        <v/>
      </c>
      <c r="J97" s="14">
        <f>'ENG_SCEN'!$J$96*'ENG_SCEN'!$J$93</f>
        <v/>
      </c>
      <c r="K97" s="14">
        <f>'ENG_SCEN'!$K$96*'ENG_SCEN'!$K$93</f>
        <v/>
      </c>
      <c r="L97" s="14">
        <f>'ENG_SCEN'!$L$96*'ENG_SCEN'!$L$93</f>
        <v/>
      </c>
      <c r="M97" s="14">
        <f>'ENG_SCEN'!$M$96*'ENG_SCEN'!$M$93</f>
        <v/>
      </c>
      <c r="N97" s="14">
        <f>'ENG_SCEN'!$N$96*'ENG_SCEN'!$N$93</f>
        <v/>
      </c>
      <c r="O97" s="14">
        <f>'ENG_SCEN'!$O$96*'ENG_SCEN'!$O$93</f>
        <v/>
      </c>
      <c r="P97" s="14">
        <f>'ENG_SCEN'!$P$96*'ENG_SCEN'!$P$93</f>
        <v/>
      </c>
    </row>
    <row r="98">
      <c r="A98" t="inlineStr">
        <is>
          <t>[2] جریان قابل بازدهی (FCF + TV)</t>
        </is>
      </c>
      <c r="B98" s="8" t="inlineStr">
        <is>
          <t>SB2.fcf_tv</t>
        </is>
      </c>
      <c r="C98" s="9" t="inlineStr">
        <is>
          <t>میلیون ریال</t>
        </is>
      </c>
      <c r="D98" s="14">
        <f>'ENG_SCEN'!$D$89+'ENG_SCEN'!$D$96</f>
        <v/>
      </c>
      <c r="E98" s="14">
        <f>'ENG_SCEN'!$E$89+'ENG_SCEN'!$E$96</f>
        <v/>
      </c>
      <c r="F98" s="14">
        <f>'ENG_SCEN'!$F$89+'ENG_SCEN'!$F$96</f>
        <v/>
      </c>
      <c r="G98" s="14">
        <f>'ENG_SCEN'!$G$89+'ENG_SCEN'!$G$96</f>
        <v/>
      </c>
      <c r="H98" s="14">
        <f>'ENG_SCEN'!$H$89+'ENG_SCEN'!$H$96</f>
        <v/>
      </c>
      <c r="I98" s="14">
        <f>'ENG_SCEN'!$I$89+'ENG_SCEN'!$I$96</f>
        <v/>
      </c>
      <c r="J98" s="14">
        <f>'ENG_SCEN'!$J$89+'ENG_SCEN'!$J$96</f>
        <v/>
      </c>
      <c r="K98" s="14">
        <f>'ENG_SCEN'!$K$89+'ENG_SCEN'!$K$96</f>
        <v/>
      </c>
      <c r="L98" s="14">
        <f>'ENG_SCEN'!$L$89+'ENG_SCEN'!$L$96</f>
        <v/>
      </c>
      <c r="M98" s="14">
        <f>'ENG_SCEN'!$M$89+'ENG_SCEN'!$M$96</f>
        <v/>
      </c>
      <c r="N98" s="14">
        <f>'ENG_SCEN'!$N$89+'ENG_SCEN'!$N$96</f>
        <v/>
      </c>
      <c r="O98" s="14">
        <f>'ENG_SCEN'!$O$89+'ENG_SCEN'!$O$96</f>
        <v/>
      </c>
      <c r="P98" s="14">
        <f>'ENG_SCEN'!$P$89+'ENG_SCEN'!$P$96</f>
        <v/>
      </c>
    </row>
    <row r="99">
      <c r="A99" t="inlineStr">
        <is>
          <t>[2] CFADS</t>
        </is>
      </c>
      <c r="B99" s="8" t="inlineStr">
        <is>
          <t>SB2.cfads</t>
        </is>
      </c>
      <c r="C99" s="9" t="inlineStr">
        <is>
          <t>میلیون ریال</t>
        </is>
      </c>
      <c r="D99" s="14">
        <f>'ENG_SCEN'!$D$83-MAX(0,'ENG_SCEN'!$D$84-(@@ENG_FCF|FCF.int_lt|0@@*('IN_FIN'!$D$25+'IN_SCEN'!$E$21)/('IN_FIN'!$D$25+'ENG_SCEN'!$G$19)+@@ENG_FCF|FCF.fees|0@@+@@ENG_FCF|FCF.int_st|0@@-@@ENG_FCF|FCF.int_inc|0@@))*'IN_MACRO'!$D$14-'ENG_SCEN'!$D$88</f>
        <v/>
      </c>
      <c r="E99" s="14">
        <f>'ENG_SCEN'!$E$83-MAX(0,'ENG_SCEN'!$E$84-(@@ENG_FCF|FCF.int_lt|1@@*('IN_FIN'!$D$25+'IN_SCEN'!$E$21)/('IN_FIN'!$D$25+'ENG_SCEN'!$G$19)+@@ENG_FCF|FCF.fees|1@@+@@ENG_FCF|FCF.int_st|1@@-@@ENG_FCF|FCF.int_inc|1@@))*'IN_MACRO'!$D$14-'ENG_SCEN'!$E$88</f>
        <v/>
      </c>
      <c r="F99" s="14">
        <f>'ENG_SCEN'!$F$83-MAX(0,'ENG_SCEN'!$F$84-(@@ENG_FCF|FCF.int_lt|2@@*('IN_FIN'!$D$25+'IN_SCEN'!$E$21)/('IN_FIN'!$D$25+'ENG_SCEN'!$G$19)+@@ENG_FCF|FCF.fees|2@@+@@ENG_FCF|FCF.int_st|2@@-@@ENG_FCF|FCF.int_inc|2@@))*'IN_MACRO'!$D$14-'ENG_SCEN'!$F$88</f>
        <v/>
      </c>
      <c r="G99" s="14">
        <f>'ENG_SCEN'!$G$83-MAX(0,'ENG_SCEN'!$G$84-(@@ENG_FCF|FCF.int_lt|3@@*('IN_FIN'!$D$25+'IN_SCEN'!$E$21)/('IN_FIN'!$D$25+'ENG_SCEN'!$G$19)+@@ENG_FCF|FCF.fees|3@@+@@ENG_FCF|FCF.int_st|3@@-@@ENG_FCF|FCF.int_inc|3@@))*'IN_MACRO'!$D$14-'ENG_SCEN'!$G$88</f>
        <v/>
      </c>
      <c r="H99" s="14">
        <f>'ENG_SCEN'!$H$83-MAX(0,'ENG_SCEN'!$H$84-(@@ENG_FCF|FCF.int_lt|4@@*('IN_FIN'!$D$25+'IN_SCEN'!$E$21)/('IN_FIN'!$D$25+'ENG_SCEN'!$G$19)+@@ENG_FCF|FCF.fees|4@@+@@ENG_FCF|FCF.int_st|4@@-@@ENG_FCF|FCF.int_inc|4@@))*'IN_MACRO'!$D$14-'ENG_SCEN'!$H$88</f>
        <v/>
      </c>
      <c r="I99" s="14">
        <f>'ENG_SCEN'!$I$83-MAX(0,'ENG_SCEN'!$I$84-(@@ENG_FCF|FCF.int_lt|5@@*('IN_FIN'!$D$25+'IN_SCEN'!$E$21)/('IN_FIN'!$D$25+'ENG_SCEN'!$G$19)+@@ENG_FCF|FCF.fees|5@@+@@ENG_FCF|FCF.int_st|5@@-@@ENG_FCF|FCF.int_inc|5@@))*'IN_MACRO'!$D$14-'ENG_SCEN'!$I$88</f>
        <v/>
      </c>
      <c r="J99" s="14">
        <f>'ENG_SCEN'!$J$83-MAX(0,'ENG_SCEN'!$J$84-(@@ENG_FCF|FCF.int_lt|6@@*('IN_FIN'!$D$25+'IN_SCEN'!$E$21)/('IN_FIN'!$D$25+'ENG_SCEN'!$G$19)+@@ENG_FCF|FCF.fees|6@@+@@ENG_FCF|FCF.int_st|6@@-@@ENG_FCF|FCF.int_inc|6@@))*'IN_MACRO'!$D$14-'ENG_SCEN'!$J$88</f>
        <v/>
      </c>
      <c r="K99" s="14">
        <f>'ENG_SCEN'!$K$83-MAX(0,'ENG_SCEN'!$K$84-(@@ENG_FCF|FCF.int_lt|7@@*('IN_FIN'!$D$25+'IN_SCEN'!$E$21)/('IN_FIN'!$D$25+'ENG_SCEN'!$G$19)+@@ENG_FCF|FCF.fees|7@@+@@ENG_FCF|FCF.int_st|7@@-@@ENG_FCF|FCF.int_inc|7@@))*'IN_MACRO'!$D$14-'ENG_SCEN'!$K$88</f>
        <v/>
      </c>
      <c r="L99" s="14">
        <f>'ENG_SCEN'!$L$83-MAX(0,'ENG_SCEN'!$L$84-(@@ENG_FCF|FCF.int_lt|8@@*('IN_FIN'!$D$25+'IN_SCEN'!$E$21)/('IN_FIN'!$D$25+'ENG_SCEN'!$G$19)+@@ENG_FCF|FCF.fees|8@@+@@ENG_FCF|FCF.int_st|8@@-@@ENG_FCF|FCF.int_inc|8@@))*'IN_MACRO'!$D$14-'ENG_SCEN'!$L$88</f>
        <v/>
      </c>
      <c r="M99" s="14">
        <f>'ENG_SCEN'!$M$83-MAX(0,'ENG_SCEN'!$M$84-(@@ENG_FCF|FCF.int_lt|9@@*('IN_FIN'!$D$25+'IN_SCEN'!$E$21)/('IN_FIN'!$D$25+'ENG_SCEN'!$G$19)+@@ENG_FCF|FCF.fees|9@@+@@ENG_FCF|FCF.int_st|9@@-@@ENG_FCF|FCF.int_inc|9@@))*'IN_MACRO'!$D$14-'ENG_SCEN'!$M$88</f>
        <v/>
      </c>
      <c r="N99" s="14">
        <f>'ENG_SCEN'!$N$83-MAX(0,'ENG_SCEN'!$N$84-(@@ENG_FCF|FCF.int_lt|10@@*('IN_FIN'!$D$25+'IN_SCEN'!$E$21)/('IN_FIN'!$D$25+'ENG_SCEN'!$G$19)+@@ENG_FCF|FCF.fees|10@@+@@ENG_FCF|FCF.int_st|10@@-@@ENG_FCF|FCF.int_inc|10@@))*'IN_MACRO'!$D$14-'ENG_SCEN'!$N$88</f>
        <v/>
      </c>
      <c r="O99" s="14">
        <f>'ENG_SCEN'!$O$83-MAX(0,'ENG_SCEN'!$O$84-(@@ENG_FCF|FCF.int_lt|11@@*('IN_FIN'!$D$25+'IN_SCEN'!$E$21)/('IN_FIN'!$D$25+'ENG_SCEN'!$G$19)+@@ENG_FCF|FCF.fees|11@@+@@ENG_FCF|FCF.int_st|11@@-@@ENG_FCF|FCF.int_inc|11@@))*'IN_MACRO'!$D$14-'ENG_SCEN'!$O$88</f>
        <v/>
      </c>
      <c r="P99" s="14">
        <f>'ENG_SCEN'!$P$83-MAX(0,'ENG_SCEN'!$P$84-(@@ENG_FCF|FCF.int_lt|12@@*('IN_FIN'!$D$25+'IN_SCEN'!$E$21)/('IN_FIN'!$D$25+'ENG_SCEN'!$G$19)+@@ENG_FCF|FCF.fees|12@@+@@ENG_FCF|FCF.int_st|12@@-@@ENG_FCF|FCF.int_inc|12@@))*'IN_MACRO'!$D$14-'ENG_SCEN'!$P$88</f>
        <v/>
      </c>
    </row>
    <row r="100">
      <c r="A100" t="inlineStr">
        <is>
          <t>[2] خدمت دین</t>
        </is>
      </c>
      <c r="B100" s="8" t="inlineStr">
        <is>
          <t>SB2.debt_service</t>
        </is>
      </c>
      <c r="C100" s="9" t="inlineStr">
        <is>
          <t>میلیون ریال</t>
        </is>
      </c>
      <c r="D100" s="14">
        <f>@@ENG_FCF|FCF.principal|0@@+@@ENG_FCF|FCF.int_lt|0@@*('IN_FIN'!$D$25+'IN_SCEN'!$E$21)/('IN_FIN'!$D$25+'ENG_SCEN'!$G$19)+@@ENG_FCF|FCF.fees|0@@+@@ENG_FCF|FCF.int_st|0@@</f>
        <v/>
      </c>
      <c r="E100" s="14">
        <f>@@ENG_FCF|FCF.principal|1@@+@@ENG_FCF|FCF.int_lt|1@@*('IN_FIN'!$D$25+'IN_SCEN'!$E$21)/('IN_FIN'!$D$25+'ENG_SCEN'!$G$19)+@@ENG_FCF|FCF.fees|1@@+@@ENG_FCF|FCF.int_st|1@@</f>
        <v/>
      </c>
      <c r="F100" s="14">
        <f>@@ENG_FCF|FCF.principal|2@@+@@ENG_FCF|FCF.int_lt|2@@*('IN_FIN'!$D$25+'IN_SCEN'!$E$21)/('IN_FIN'!$D$25+'ENG_SCEN'!$G$19)+@@ENG_FCF|FCF.fees|2@@+@@ENG_FCF|FCF.int_st|2@@</f>
        <v/>
      </c>
      <c r="G100" s="14">
        <f>@@ENG_FCF|FCF.principal|3@@+@@ENG_FCF|FCF.int_lt|3@@*('IN_FIN'!$D$25+'IN_SCEN'!$E$21)/('IN_FIN'!$D$25+'ENG_SCEN'!$G$19)+@@ENG_FCF|FCF.fees|3@@+@@ENG_FCF|FCF.int_st|3@@</f>
        <v/>
      </c>
      <c r="H100" s="14">
        <f>@@ENG_FCF|FCF.principal|4@@+@@ENG_FCF|FCF.int_lt|4@@*('IN_FIN'!$D$25+'IN_SCEN'!$E$21)/('IN_FIN'!$D$25+'ENG_SCEN'!$G$19)+@@ENG_FCF|FCF.fees|4@@+@@ENG_FCF|FCF.int_st|4@@</f>
        <v/>
      </c>
      <c r="I100" s="14">
        <f>@@ENG_FCF|FCF.principal|5@@+@@ENG_FCF|FCF.int_lt|5@@*('IN_FIN'!$D$25+'IN_SCEN'!$E$21)/('IN_FIN'!$D$25+'ENG_SCEN'!$G$19)+@@ENG_FCF|FCF.fees|5@@+@@ENG_FCF|FCF.int_st|5@@</f>
        <v/>
      </c>
      <c r="J100" s="14">
        <f>@@ENG_FCF|FCF.principal|6@@+@@ENG_FCF|FCF.int_lt|6@@*('IN_FIN'!$D$25+'IN_SCEN'!$E$21)/('IN_FIN'!$D$25+'ENG_SCEN'!$G$19)+@@ENG_FCF|FCF.fees|6@@+@@ENG_FCF|FCF.int_st|6@@</f>
        <v/>
      </c>
      <c r="K100" s="14">
        <f>@@ENG_FCF|FCF.principal|7@@+@@ENG_FCF|FCF.int_lt|7@@*('IN_FIN'!$D$25+'IN_SCEN'!$E$21)/('IN_FIN'!$D$25+'ENG_SCEN'!$G$19)+@@ENG_FCF|FCF.fees|7@@+@@ENG_FCF|FCF.int_st|7@@</f>
        <v/>
      </c>
      <c r="L100" s="14">
        <f>@@ENG_FCF|FCF.principal|8@@+@@ENG_FCF|FCF.int_lt|8@@*('IN_FIN'!$D$25+'IN_SCEN'!$E$21)/('IN_FIN'!$D$25+'ENG_SCEN'!$G$19)+@@ENG_FCF|FCF.fees|8@@+@@ENG_FCF|FCF.int_st|8@@</f>
        <v/>
      </c>
      <c r="M100" s="14">
        <f>@@ENG_FCF|FCF.principal|9@@+@@ENG_FCF|FCF.int_lt|9@@*('IN_FIN'!$D$25+'IN_SCEN'!$E$21)/('IN_FIN'!$D$25+'ENG_SCEN'!$G$19)+@@ENG_FCF|FCF.fees|9@@+@@ENG_FCF|FCF.int_st|9@@</f>
        <v/>
      </c>
      <c r="N100" s="14">
        <f>@@ENG_FCF|FCF.principal|10@@+@@ENG_FCF|FCF.int_lt|10@@*('IN_FIN'!$D$25+'IN_SCEN'!$E$21)/('IN_FIN'!$D$25+'ENG_SCEN'!$G$19)+@@ENG_FCF|FCF.fees|10@@+@@ENG_FCF|FCF.int_st|10@@</f>
        <v/>
      </c>
      <c r="O100" s="14">
        <f>@@ENG_FCF|FCF.principal|11@@+@@ENG_FCF|FCF.int_lt|11@@*('IN_FIN'!$D$25+'IN_SCEN'!$E$21)/('IN_FIN'!$D$25+'ENG_SCEN'!$G$19)+@@ENG_FCF|FCF.fees|11@@+@@ENG_FCF|FCF.int_st|11@@</f>
        <v/>
      </c>
      <c r="P100" s="14">
        <f>@@ENG_FCF|FCF.principal|12@@+@@ENG_FCF|FCF.int_lt|12@@*('IN_FIN'!$D$25+'IN_SCEN'!$E$21)/('IN_FIN'!$D$25+'ENG_SCEN'!$G$19)+@@ENG_FCF|FCF.fees|12@@+@@ENG_FCF|FCF.int_st|12@@</f>
        <v/>
      </c>
    </row>
    <row r="101">
      <c r="A101" t="inlineStr">
        <is>
          <t>[2] DSCR</t>
        </is>
      </c>
      <c r="B101" s="8" t="inlineStr">
        <is>
          <t>SB2.dscr</t>
        </is>
      </c>
      <c r="C101" s="9" t="inlineStr">
        <is>
          <t>ضریب</t>
        </is>
      </c>
      <c r="D101" s="12">
        <f>IFERROR('ENG_SCEN'!$D$99/'ENG_SCEN'!$D$100,"─")</f>
        <v/>
      </c>
      <c r="E101" s="12">
        <f>IFERROR('ENG_SCEN'!$E$99/'ENG_SCEN'!$E$100,"─")</f>
        <v/>
      </c>
      <c r="F101" s="12">
        <f>IFERROR('ENG_SCEN'!$F$99/'ENG_SCEN'!$F$100,"─")</f>
        <v/>
      </c>
      <c r="G101" s="12">
        <f>IFERROR('ENG_SCEN'!$G$99/'ENG_SCEN'!$G$100,"─")</f>
        <v/>
      </c>
      <c r="H101" s="12">
        <f>IFERROR('ENG_SCEN'!$H$99/'ENG_SCEN'!$H$100,"─")</f>
        <v/>
      </c>
      <c r="I101" s="12">
        <f>IFERROR('ENG_SCEN'!$I$99/'ENG_SCEN'!$I$100,"─")</f>
        <v/>
      </c>
      <c r="J101" s="12">
        <f>IFERROR('ENG_SCEN'!$J$99/'ENG_SCEN'!$J$100,"─")</f>
        <v/>
      </c>
      <c r="K101" s="12">
        <f>IFERROR('ENG_SCEN'!$K$99/'ENG_SCEN'!$K$100,"─")</f>
        <v/>
      </c>
      <c r="L101" s="12">
        <f>IFERROR('ENG_SCEN'!$L$99/'ENG_SCEN'!$L$100,"─")</f>
        <v/>
      </c>
      <c r="M101" s="12">
        <f>IFERROR('ENG_SCEN'!$M$99/'ENG_SCEN'!$M$100,"─")</f>
        <v/>
      </c>
      <c r="N101" s="12">
        <f>IFERROR('ENG_SCEN'!$N$99/'ENG_SCEN'!$N$100,"─")</f>
        <v/>
      </c>
      <c r="O101" s="12">
        <f>IFERROR('ENG_SCEN'!$O$99/'ENG_SCEN'!$O$100,"─")</f>
        <v/>
      </c>
      <c r="P101" s="12">
        <f>IFERROR('ENG_SCEN'!$P$99/'ENG_SCEN'!$P$100,"─")</f>
        <v/>
      </c>
    </row>
    <row r="102">
      <c r="A102" t="inlineStr">
        <is>
          <t>[2] ارزش فعلی خالص (NPV)</t>
        </is>
      </c>
      <c r="C102" s="9" t="inlineStr">
        <is>
          <t>میلیون ریال</t>
        </is>
      </c>
      <c r="D102" s="14">
        <f>SUM('ENG_SCEN'!$D$94:$P$94)+SUM('ENG_SCEN'!$D$97:$P$97)</f>
        <v/>
      </c>
      <c r="E102" s="14" t="n"/>
      <c r="F102" s="14" t="n"/>
      <c r="G102" s="14" t="n"/>
      <c r="H102" s="14" t="n"/>
      <c r="I102" s="14" t="n"/>
      <c r="J102" s="14" t="n"/>
      <c r="K102" s="14" t="n"/>
      <c r="L102" s="14" t="n"/>
      <c r="M102" s="14" t="n"/>
      <c r="N102" s="14" t="n"/>
      <c r="O102" s="14" t="n"/>
      <c r="P102" s="14" t="n"/>
    </row>
    <row r="103">
      <c r="A103" t="inlineStr">
        <is>
          <t>[2] IRR پروژه</t>
        </is>
      </c>
      <c r="C103" s="9" t="inlineStr">
        <is>
          <t>درصد</t>
        </is>
      </c>
      <c r="D103" s="11">
        <f>IFERROR(IRR('ENG_SCEN'!$D$98:$P$98),NA())</f>
        <v/>
      </c>
      <c r="E103" s="11" t="n"/>
      <c r="F103" s="11" t="n"/>
      <c r="G103" s="11" t="n"/>
      <c r="H103" s="11" t="n"/>
      <c r="I103" s="11" t="n"/>
      <c r="J103" s="11" t="n"/>
      <c r="K103" s="11" t="n"/>
      <c r="L103" s="11" t="n"/>
      <c r="M103" s="11" t="n"/>
      <c r="N103" s="11" t="n"/>
      <c r="O103" s="11" t="n"/>
      <c r="P103" s="11" t="n"/>
    </row>
    <row r="104">
      <c r="A104" t="inlineStr">
        <is>
          <t>[2] دوره بازپرداشت (سال)</t>
        </is>
      </c>
      <c r="C104" s="9" t="inlineStr">
        <is>
          <t>سال</t>
        </is>
      </c>
      <c r="D104" s="13">
        <f>IF(COUNTIF('ENG_SCEN'!$D$91:$P$91,"&lt;0")=0,0,IF(COUNTIF('ENG_SCEN'!$D$91:$P$91,"&lt;0")&gt;=13,NA(),INDEX('IN_MACRO'!$D$23:$P$23,COUNTIF('ENG_SCEN'!$D$91:$P$91,"&lt;0"))+(0-INDEX('ENG_SCEN'!$D$91:$P$91,COUNTIF('ENG_SCEN'!$D$91:$P$91,"&lt;0")))/(INDEX('ENG_SCEN'!$D$91:$P$91,COUNTIF('ENG_SCEN'!$D$91:$P$91,"&lt;0")+1)-INDEX('ENG_SCEN'!$D$91:$P$91,COUNTIF('ENG_SCEN'!$D$91:$P$91,"&lt;0")))))</f>
        <v/>
      </c>
      <c r="E104" s="13" t="n"/>
      <c r="F104" s="13" t="n"/>
      <c r="G104" s="13" t="n"/>
      <c r="H104" s="13" t="n"/>
      <c r="I104" s="13" t="n"/>
      <c r="J104" s="13" t="n"/>
      <c r="K104" s="13" t="n"/>
      <c r="L104" s="13" t="n"/>
      <c r="M104" s="13" t="n"/>
      <c r="N104" s="13" t="n"/>
      <c r="O104" s="13" t="n"/>
      <c r="P104" s="13" t="n"/>
    </row>
    <row r="105">
      <c r="A105" t="inlineStr">
        <is>
          <t>[2] شاخص سودآوری</t>
        </is>
      </c>
      <c r="C105" s="9" t="inlineStr">
        <is>
          <t>ضریب</t>
        </is>
      </c>
      <c r="D105" s="12">
        <f>IFERROR((SUMIF('ENG_SCEN'!$D$94:$P$94,"&gt;0")+SUM('ENG_SCEN'!$D$97:$P$97))/ABS(SUMIF('ENG_SCEN'!$D$94:$P$94,"&lt;0")),NA())</f>
        <v/>
      </c>
      <c r="E105" s="12" t="n"/>
      <c r="F105" s="12" t="n"/>
      <c r="G105" s="12" t="n"/>
      <c r="H105" s="12" t="n"/>
      <c r="I105" s="12" t="n"/>
      <c r="J105" s="12" t="n"/>
      <c r="K105" s="12" t="n"/>
      <c r="L105" s="12" t="n"/>
      <c r="M105" s="12" t="n"/>
      <c r="N105" s="12" t="n"/>
      <c r="O105" s="12" t="n"/>
      <c r="P105" s="12" t="n"/>
    </row>
    <row r="106">
      <c r="A106" t="inlineStr">
        <is>
          <t>[2] حداقل DSCR</t>
        </is>
      </c>
      <c r="C106" s="9" t="inlineStr">
        <is>
          <t>ضریب</t>
        </is>
      </c>
      <c r="D106" s="12">
        <f>IFERROR(IF(COUNT('ENG_SCEN'!$D$101:$P$101)=0,NA(),MIN('ENG_SCEN'!$D$101:$P$101)),NA())</f>
        <v/>
      </c>
      <c r="E106" s="12" t="n"/>
      <c r="F106" s="12" t="n"/>
      <c r="G106" s="12" t="n"/>
      <c r="H106" s="12" t="n"/>
      <c r="I106" s="12" t="n"/>
      <c r="J106" s="12" t="n"/>
      <c r="K106" s="12" t="n"/>
      <c r="L106" s="12" t="n"/>
      <c r="M106" s="12" t="n"/>
      <c r="N106" s="12" t="n"/>
      <c r="O106" s="12" t="n"/>
      <c r="P106" s="12" t="n"/>
    </row>
    <row r="107">
      <c r="A107" t="inlineStr">
        <is>
          <t>[2] میانگین DSCR دوره بازپرداخت</t>
        </is>
      </c>
      <c r="C107" s="9" t="inlineStr">
        <is>
          <t>ضریب</t>
        </is>
      </c>
      <c r="D107" s="12">
        <f>IFERROR(AVERAGEIF('ENG_SCEN'!$D$100:$P$100,"&gt;0",'ENG_SCEN'!$D$101:$P$101),NA())</f>
        <v/>
      </c>
      <c r="E107" s="12" t="n"/>
      <c r="F107" s="12" t="n"/>
      <c r="G107" s="12" t="n"/>
      <c r="H107" s="12" t="n"/>
      <c r="I107" s="12" t="n"/>
      <c r="J107" s="12" t="n"/>
      <c r="K107" s="12" t="n"/>
      <c r="L107" s="12" t="n"/>
      <c r="M107" s="12" t="n"/>
      <c r="N107" s="12" t="n"/>
      <c r="O107" s="12" t="n"/>
      <c r="P107" s="12" t="n"/>
    </row>
    <row r="108"/>
    <row r="109">
      <c r="A109" s="24" t="inlineStr">
        <is>
          <t>سناریوی 3: بدبینانه</t>
        </is>
      </c>
    </row>
    <row r="110">
      <c r="A110" t="inlineStr">
        <is>
          <t>[3] حجم فروش محصولات (تن)</t>
        </is>
      </c>
      <c r="B110" s="8" t="inlineStr">
        <is>
          <t>SB3.vol</t>
        </is>
      </c>
      <c r="C110" s="9" t="inlineStr">
        <is>
          <t>تن</t>
        </is>
      </c>
      <c r="D110" s="14">
        <f>'ENG_OPS'!$D$82*'IN_SCEN'!$F$13</f>
        <v/>
      </c>
      <c r="E110" s="14">
        <f>'ENG_OPS'!$E$82*'IN_SCEN'!$F$13</f>
        <v/>
      </c>
      <c r="F110" s="14">
        <f>'ENG_OPS'!$F$82*'IN_SCEN'!$F$13</f>
        <v/>
      </c>
      <c r="G110" s="14">
        <f>'ENG_OPS'!$G$82*'IN_SCEN'!$F$13</f>
        <v/>
      </c>
      <c r="H110" s="14">
        <f>'ENG_OPS'!$H$82*'IN_SCEN'!$F$13</f>
        <v/>
      </c>
      <c r="I110" s="14">
        <f>'ENG_OPS'!$I$82*'IN_SCEN'!$F$13</f>
        <v/>
      </c>
      <c r="J110" s="14">
        <f>'ENG_OPS'!$J$82*'IN_SCEN'!$F$13</f>
        <v/>
      </c>
      <c r="K110" s="14">
        <f>'ENG_OPS'!$K$82*'IN_SCEN'!$F$13</f>
        <v/>
      </c>
      <c r="L110" s="14">
        <f>'ENG_OPS'!$L$82*'IN_SCEN'!$F$13</f>
        <v/>
      </c>
      <c r="M110" s="14">
        <f>'ENG_OPS'!$M$82*'IN_SCEN'!$F$13</f>
        <v/>
      </c>
      <c r="N110" s="14">
        <f>'ENG_OPS'!$N$82*'IN_SCEN'!$F$13</f>
        <v/>
      </c>
      <c r="O110" s="14">
        <f>'ENG_OPS'!$O$82*'IN_SCEN'!$F$13</f>
        <v/>
      </c>
      <c r="P110" s="14">
        <f>'ENG_OPS'!$P$82*'IN_SCEN'!$F$13</f>
        <v/>
      </c>
    </row>
    <row r="111">
      <c r="A111" t="inlineStr">
        <is>
          <t>[3] درآمد خالص هر تن</t>
        </is>
      </c>
      <c r="B111" s="8" t="inlineStr">
        <is>
          <t>SB3.price</t>
        </is>
      </c>
      <c r="C111" s="9" t="inlineStr">
        <is>
          <t>میلیون ریال/تن</t>
        </is>
      </c>
      <c r="D111" s="13">
        <f>'ENG_OPS'!$D$83*'IN_SCEN'!$F$14</f>
        <v/>
      </c>
      <c r="E111" s="13">
        <f>'ENG_OPS'!$E$83*'IN_SCEN'!$F$14</f>
        <v/>
      </c>
      <c r="F111" s="13">
        <f>'ENG_OPS'!$F$83*'IN_SCEN'!$F$14</f>
        <v/>
      </c>
      <c r="G111" s="13">
        <f>'ENG_OPS'!$G$83*'IN_SCEN'!$F$14</f>
        <v/>
      </c>
      <c r="H111" s="13">
        <f>'ENG_OPS'!$H$83*'IN_SCEN'!$F$14</f>
        <v/>
      </c>
      <c r="I111" s="13">
        <f>'ENG_OPS'!$I$83*'IN_SCEN'!$F$14</f>
        <v/>
      </c>
      <c r="J111" s="13">
        <f>'ENG_OPS'!$J$83*'IN_SCEN'!$F$14</f>
        <v/>
      </c>
      <c r="K111" s="13">
        <f>'ENG_OPS'!$K$83*'IN_SCEN'!$F$14</f>
        <v/>
      </c>
      <c r="L111" s="13">
        <f>'ENG_OPS'!$L$83*'IN_SCEN'!$F$14</f>
        <v/>
      </c>
      <c r="M111" s="13">
        <f>'ENG_OPS'!$M$83*'IN_SCEN'!$F$14</f>
        <v/>
      </c>
      <c r="N111" s="13">
        <f>'ENG_OPS'!$N$83*'IN_SCEN'!$F$14</f>
        <v/>
      </c>
      <c r="O111" s="13">
        <f>'ENG_OPS'!$O$83*'IN_SCEN'!$F$14</f>
        <v/>
      </c>
      <c r="P111" s="13">
        <f>'ENG_OPS'!$P$83*'IN_SCEN'!$F$14</f>
        <v/>
      </c>
    </row>
    <row r="112">
      <c r="A112" t="inlineStr">
        <is>
          <t>[3] درآمد خالص</t>
        </is>
      </c>
      <c r="B112" s="8" t="inlineStr">
        <is>
          <t>SB3.rev</t>
        </is>
      </c>
      <c r="C112" s="9" t="inlineStr">
        <is>
          <t>میلیون ریال</t>
        </is>
      </c>
      <c r="D112" s="14">
        <f>'ENG_SCEN'!$D$110*'ENG_SCEN'!$D$111</f>
        <v/>
      </c>
      <c r="E112" s="14">
        <f>'ENG_SCEN'!$E$110*'ENG_SCEN'!$E$111</f>
        <v/>
      </c>
      <c r="F112" s="14">
        <f>'ENG_SCEN'!$F$110*'ENG_SCEN'!$F$111</f>
        <v/>
      </c>
      <c r="G112" s="14">
        <f>'ENG_SCEN'!$G$110*'ENG_SCEN'!$G$111</f>
        <v/>
      </c>
      <c r="H112" s="14">
        <f>'ENG_SCEN'!$H$110*'ENG_SCEN'!$H$111</f>
        <v/>
      </c>
      <c r="I112" s="14">
        <f>'ENG_SCEN'!$I$110*'ENG_SCEN'!$I$111</f>
        <v/>
      </c>
      <c r="J112" s="14">
        <f>'ENG_SCEN'!$J$110*'ENG_SCEN'!$J$111</f>
        <v/>
      </c>
      <c r="K112" s="14">
        <f>'ENG_SCEN'!$K$110*'ENG_SCEN'!$K$111</f>
        <v/>
      </c>
      <c r="L112" s="14">
        <f>'ENG_SCEN'!$L$110*'ENG_SCEN'!$L$111</f>
        <v/>
      </c>
      <c r="M112" s="14">
        <f>'ENG_SCEN'!$M$110*'ENG_SCEN'!$M$111</f>
        <v/>
      </c>
      <c r="N112" s="14">
        <f>'ENG_SCEN'!$N$110*'ENG_SCEN'!$N$111</f>
        <v/>
      </c>
      <c r="O112" s="14">
        <f>'ENG_SCEN'!$O$110*'ENG_SCEN'!$O$111</f>
        <v/>
      </c>
      <c r="P112" s="14">
        <f>'ENG_SCEN'!$P$110*'ENG_SCEN'!$P$111</f>
        <v/>
      </c>
    </row>
    <row r="113">
      <c r="A113" t="inlineStr">
        <is>
          <t>[3] هزینه مواد اولیه</t>
        </is>
      </c>
      <c r="B113" s="8" t="inlineStr">
        <is>
          <t>SB3.rm</t>
        </is>
      </c>
      <c r="C113" s="9" t="inlineStr">
        <is>
          <t>میلیون ریال</t>
        </is>
      </c>
      <c r="D113" s="14">
        <f>@@ENG_COST|EC.rm|0@@*'IN_SCEN'!$F$13*'IN_SCEN'!$F$15</f>
        <v/>
      </c>
      <c r="E113" s="14">
        <f>@@ENG_COST|EC.rm|1@@*'IN_SCEN'!$F$13*'IN_SCEN'!$F$15</f>
        <v/>
      </c>
      <c r="F113" s="14">
        <f>@@ENG_COST|EC.rm|2@@*'IN_SCEN'!$F$13*'IN_SCEN'!$F$15</f>
        <v/>
      </c>
      <c r="G113" s="14">
        <f>@@ENG_COST|EC.rm|3@@*'IN_SCEN'!$F$13*'IN_SCEN'!$F$15</f>
        <v/>
      </c>
      <c r="H113" s="14">
        <f>@@ENG_COST|EC.rm|4@@*'IN_SCEN'!$F$13*'IN_SCEN'!$F$15</f>
        <v/>
      </c>
      <c r="I113" s="14">
        <f>@@ENG_COST|EC.rm|5@@*'IN_SCEN'!$F$13*'IN_SCEN'!$F$15</f>
        <v/>
      </c>
      <c r="J113" s="14">
        <f>@@ENG_COST|EC.rm|6@@*'IN_SCEN'!$F$13*'IN_SCEN'!$F$15</f>
        <v/>
      </c>
      <c r="K113" s="14">
        <f>@@ENG_COST|EC.rm|7@@*'IN_SCEN'!$F$13*'IN_SCEN'!$F$15</f>
        <v/>
      </c>
      <c r="L113" s="14">
        <f>@@ENG_COST|EC.rm|8@@*'IN_SCEN'!$F$13*'IN_SCEN'!$F$15</f>
        <v/>
      </c>
      <c r="M113" s="14">
        <f>@@ENG_COST|EC.rm|9@@*'IN_SCEN'!$F$13*'IN_SCEN'!$F$15</f>
        <v/>
      </c>
      <c r="N113" s="14">
        <f>@@ENG_COST|EC.rm|10@@*'IN_SCEN'!$F$13*'IN_SCEN'!$F$15</f>
        <v/>
      </c>
      <c r="O113" s="14">
        <f>@@ENG_COST|EC.rm|11@@*'IN_SCEN'!$F$13*'IN_SCEN'!$F$15</f>
        <v/>
      </c>
      <c r="P113" s="14">
        <f>@@ENG_COST|EC.rm|12@@*'IN_SCEN'!$F$13*'IN_SCEN'!$F$15</f>
        <v/>
      </c>
    </row>
    <row r="114">
      <c r="A114" t="inlineStr">
        <is>
          <t>[3] سایر هزینه‌های متغیر</t>
        </is>
      </c>
      <c r="B114" s="8" t="inlineStr">
        <is>
          <t>SB3.var</t>
        </is>
      </c>
      <c r="C114" s="9" t="inlineStr">
        <is>
          <t>میلیون ریال</t>
        </is>
      </c>
      <c r="D114" s="14">
        <f>@@ENG_COST|EC.var_ex_rm|0@@*'IN_SCEN'!$F$13*'IN_SCEN'!$F$16</f>
        <v/>
      </c>
      <c r="E114" s="14">
        <f>@@ENG_COST|EC.var_ex_rm|1@@*'IN_SCEN'!$F$13*'IN_SCEN'!$F$16</f>
        <v/>
      </c>
      <c r="F114" s="14">
        <f>@@ENG_COST|EC.var_ex_rm|2@@*'IN_SCEN'!$F$13*'IN_SCEN'!$F$16</f>
        <v/>
      </c>
      <c r="G114" s="14">
        <f>@@ENG_COST|EC.var_ex_rm|3@@*'IN_SCEN'!$F$13*'IN_SCEN'!$F$16</f>
        <v/>
      </c>
      <c r="H114" s="14">
        <f>@@ENG_COST|EC.var_ex_rm|4@@*'IN_SCEN'!$F$13*'IN_SCEN'!$F$16</f>
        <v/>
      </c>
      <c r="I114" s="14">
        <f>@@ENG_COST|EC.var_ex_rm|5@@*'IN_SCEN'!$F$13*'IN_SCEN'!$F$16</f>
        <v/>
      </c>
      <c r="J114" s="14">
        <f>@@ENG_COST|EC.var_ex_rm|6@@*'IN_SCEN'!$F$13*'IN_SCEN'!$F$16</f>
        <v/>
      </c>
      <c r="K114" s="14">
        <f>@@ENG_COST|EC.var_ex_rm|7@@*'IN_SCEN'!$F$13*'IN_SCEN'!$F$16</f>
        <v/>
      </c>
      <c r="L114" s="14">
        <f>@@ENG_COST|EC.var_ex_rm|8@@*'IN_SCEN'!$F$13*'IN_SCEN'!$F$16</f>
        <v/>
      </c>
      <c r="M114" s="14">
        <f>@@ENG_COST|EC.var_ex_rm|9@@*'IN_SCEN'!$F$13*'IN_SCEN'!$F$16</f>
        <v/>
      </c>
      <c r="N114" s="14">
        <f>@@ENG_COST|EC.var_ex_rm|10@@*'IN_SCEN'!$F$13*'IN_SCEN'!$F$16</f>
        <v/>
      </c>
      <c r="O114" s="14">
        <f>@@ENG_COST|EC.var_ex_rm|11@@*'IN_SCEN'!$F$13*'IN_SCEN'!$F$16</f>
        <v/>
      </c>
      <c r="P114" s="14">
        <f>@@ENG_COST|EC.var_ex_rm|12@@*'IN_SCEN'!$F$13*'IN_SCEN'!$F$16</f>
        <v/>
      </c>
    </row>
    <row r="115">
      <c r="A115" t="inlineStr">
        <is>
          <t>[3] هزینه‌های ثابت نقدی</t>
        </is>
      </c>
      <c r="B115" s="8" t="inlineStr">
        <is>
          <t>SB3.fix</t>
        </is>
      </c>
      <c r="C115" s="9" t="inlineStr">
        <is>
          <t>میلیون ریال</t>
        </is>
      </c>
      <c r="D115" s="14">
        <f>@@ENG_COST|EC.fixed_cash|0@@*'IN_SCEN'!$F$17</f>
        <v/>
      </c>
      <c r="E115" s="14">
        <f>@@ENG_COST|EC.fixed_cash|1@@*'IN_SCEN'!$F$17</f>
        <v/>
      </c>
      <c r="F115" s="14">
        <f>@@ENG_COST|EC.fixed_cash|2@@*'IN_SCEN'!$F$17</f>
        <v/>
      </c>
      <c r="G115" s="14">
        <f>@@ENG_COST|EC.fixed_cash|3@@*'IN_SCEN'!$F$17</f>
        <v/>
      </c>
      <c r="H115" s="14">
        <f>@@ENG_COST|EC.fixed_cash|4@@*'IN_SCEN'!$F$17</f>
        <v/>
      </c>
      <c r="I115" s="14">
        <f>@@ENG_COST|EC.fixed_cash|5@@*'IN_SCEN'!$F$17</f>
        <v/>
      </c>
      <c r="J115" s="14">
        <f>@@ENG_COST|EC.fixed_cash|6@@*'IN_SCEN'!$F$17</f>
        <v/>
      </c>
      <c r="K115" s="14">
        <f>@@ENG_COST|EC.fixed_cash|7@@*'IN_SCEN'!$F$17</f>
        <v/>
      </c>
      <c r="L115" s="14">
        <f>@@ENG_COST|EC.fixed_cash|8@@*'IN_SCEN'!$F$17</f>
        <v/>
      </c>
      <c r="M115" s="14">
        <f>@@ENG_COST|EC.fixed_cash|9@@*'IN_SCEN'!$F$17</f>
        <v/>
      </c>
      <c r="N115" s="14">
        <f>@@ENG_COST|EC.fixed_cash|10@@*'IN_SCEN'!$F$17</f>
        <v/>
      </c>
      <c r="O115" s="14">
        <f>@@ENG_COST|EC.fixed_cash|11@@*'IN_SCEN'!$F$17</f>
        <v/>
      </c>
      <c r="P115" s="14">
        <f>@@ENG_COST|EC.fixed_cash|12@@*'IN_SCEN'!$F$17</f>
        <v/>
      </c>
    </row>
    <row r="116">
      <c r="A116" t="inlineStr">
        <is>
          <t>[3] استهلاک</t>
        </is>
      </c>
      <c r="B116" s="8" t="inlineStr">
        <is>
          <t>SB3.dep</t>
        </is>
      </c>
      <c r="C116" s="9" t="inlineStr">
        <is>
          <t>میلیون ریال</t>
        </is>
      </c>
      <c r="D116" s="14">
        <f>@@ENG_CAPEX|CAPEX.dep_total|0@@*'IN_SCEN'!$F$18</f>
        <v/>
      </c>
      <c r="E116" s="14">
        <f>@@ENG_CAPEX|CAPEX.dep_total|1@@*'IN_SCEN'!$F$18</f>
        <v/>
      </c>
      <c r="F116" s="14">
        <f>@@ENG_CAPEX|CAPEX.dep_total|2@@*'IN_SCEN'!$F$18</f>
        <v/>
      </c>
      <c r="G116" s="14">
        <f>@@ENG_CAPEX|CAPEX.dep_total|3@@*'IN_SCEN'!$F$18</f>
        <v/>
      </c>
      <c r="H116" s="14">
        <f>@@ENG_CAPEX|CAPEX.dep_total|4@@*'IN_SCEN'!$F$18</f>
        <v/>
      </c>
      <c r="I116" s="14">
        <f>@@ENG_CAPEX|CAPEX.dep_total|5@@*'IN_SCEN'!$F$18</f>
        <v/>
      </c>
      <c r="J116" s="14">
        <f>@@ENG_CAPEX|CAPEX.dep_total|6@@*'IN_SCEN'!$F$18</f>
        <v/>
      </c>
      <c r="K116" s="14">
        <f>@@ENG_CAPEX|CAPEX.dep_total|7@@*'IN_SCEN'!$F$18</f>
        <v/>
      </c>
      <c r="L116" s="14">
        <f>@@ENG_CAPEX|CAPEX.dep_total|8@@*'IN_SCEN'!$F$18</f>
        <v/>
      </c>
      <c r="M116" s="14">
        <f>@@ENG_CAPEX|CAPEX.dep_total|9@@*'IN_SCEN'!$F$18</f>
        <v/>
      </c>
      <c r="N116" s="14">
        <f>@@ENG_CAPEX|CAPEX.dep_total|10@@*'IN_SCEN'!$F$18</f>
        <v/>
      </c>
      <c r="O116" s="14">
        <f>@@ENG_CAPEX|CAPEX.dep_total|11@@*'IN_SCEN'!$F$18</f>
        <v/>
      </c>
      <c r="P116" s="14">
        <f>@@ENG_CAPEX|CAPEX.dep_total|12@@*'IN_SCEN'!$F$18</f>
        <v/>
      </c>
    </row>
    <row r="117">
      <c r="A117" t="inlineStr">
        <is>
          <t>[3] EBITDA</t>
        </is>
      </c>
      <c r="B117" s="8" t="inlineStr">
        <is>
          <t>SB3.ebitda</t>
        </is>
      </c>
      <c r="C117" s="9" t="inlineStr">
        <is>
          <t>میلیون ریال</t>
        </is>
      </c>
      <c r="D117" s="14">
        <f>'ENG_SCEN'!$D$112-'ENG_SCEN'!$D$113-'ENG_SCEN'!$D$114-'ENG_SCEN'!$D$115</f>
        <v/>
      </c>
      <c r="E117" s="14">
        <f>'ENG_SCEN'!$E$112-'ENG_SCEN'!$E$113-'ENG_SCEN'!$E$114-'ENG_SCEN'!$E$115</f>
        <v/>
      </c>
      <c r="F117" s="14">
        <f>'ENG_SCEN'!$F$112-'ENG_SCEN'!$F$113-'ENG_SCEN'!$F$114-'ENG_SCEN'!$F$115</f>
        <v/>
      </c>
      <c r="G117" s="14">
        <f>'ENG_SCEN'!$G$112-'ENG_SCEN'!$G$113-'ENG_SCEN'!$G$114-'ENG_SCEN'!$G$115</f>
        <v/>
      </c>
      <c r="H117" s="14">
        <f>'ENG_SCEN'!$H$112-'ENG_SCEN'!$H$113-'ENG_SCEN'!$H$114-'ENG_SCEN'!$H$115</f>
        <v/>
      </c>
      <c r="I117" s="14">
        <f>'ENG_SCEN'!$I$112-'ENG_SCEN'!$I$113-'ENG_SCEN'!$I$114-'ENG_SCEN'!$I$115</f>
        <v/>
      </c>
      <c r="J117" s="14">
        <f>'ENG_SCEN'!$J$112-'ENG_SCEN'!$J$113-'ENG_SCEN'!$J$114-'ENG_SCEN'!$J$115</f>
        <v/>
      </c>
      <c r="K117" s="14">
        <f>'ENG_SCEN'!$K$112-'ENG_SCEN'!$K$113-'ENG_SCEN'!$K$114-'ENG_SCEN'!$K$115</f>
        <v/>
      </c>
      <c r="L117" s="14">
        <f>'ENG_SCEN'!$L$112-'ENG_SCEN'!$L$113-'ENG_SCEN'!$L$114-'ENG_SCEN'!$L$115</f>
        <v/>
      </c>
      <c r="M117" s="14">
        <f>'ENG_SCEN'!$M$112-'ENG_SCEN'!$M$113-'ENG_SCEN'!$M$114-'ENG_SCEN'!$M$115</f>
        <v/>
      </c>
      <c r="N117" s="14">
        <f>'ENG_SCEN'!$N$112-'ENG_SCEN'!$N$113-'ENG_SCEN'!$N$114-'ENG_SCEN'!$N$115</f>
        <v/>
      </c>
      <c r="O117" s="14">
        <f>'ENG_SCEN'!$O$112-'ENG_SCEN'!$O$113-'ENG_SCEN'!$O$114-'ENG_SCEN'!$O$115</f>
        <v/>
      </c>
      <c r="P117" s="14">
        <f>'ENG_SCEN'!$P$112-'ENG_SCEN'!$P$113-'ENG_SCEN'!$P$114-'ENG_SCEN'!$P$115</f>
        <v/>
      </c>
    </row>
    <row r="118">
      <c r="A118" t="inlineStr">
        <is>
          <t>[3] EBIT</t>
        </is>
      </c>
      <c r="B118" s="8" t="inlineStr">
        <is>
          <t>SB3.ebit</t>
        </is>
      </c>
      <c r="C118" s="9" t="inlineStr">
        <is>
          <t>میلیون ریال</t>
        </is>
      </c>
      <c r="D118" s="14">
        <f>'ENG_SCEN'!$D$117-'ENG_SCEN'!$D$116</f>
        <v/>
      </c>
      <c r="E118" s="14">
        <f>'ENG_SCEN'!$E$117-'ENG_SCEN'!$E$116</f>
        <v/>
      </c>
      <c r="F118" s="14">
        <f>'ENG_SCEN'!$F$117-'ENG_SCEN'!$F$116</f>
        <v/>
      </c>
      <c r="G118" s="14">
        <f>'ENG_SCEN'!$G$117-'ENG_SCEN'!$G$116</f>
        <v/>
      </c>
      <c r="H118" s="14">
        <f>'ENG_SCEN'!$H$117-'ENG_SCEN'!$H$116</f>
        <v/>
      </c>
      <c r="I118" s="14">
        <f>'ENG_SCEN'!$I$117-'ENG_SCEN'!$I$116</f>
        <v/>
      </c>
      <c r="J118" s="14">
        <f>'ENG_SCEN'!$J$117-'ENG_SCEN'!$J$116</f>
        <v/>
      </c>
      <c r="K118" s="14">
        <f>'ENG_SCEN'!$K$117-'ENG_SCEN'!$K$116</f>
        <v/>
      </c>
      <c r="L118" s="14">
        <f>'ENG_SCEN'!$L$117-'ENG_SCEN'!$L$116</f>
        <v/>
      </c>
      <c r="M118" s="14">
        <f>'ENG_SCEN'!$M$117-'ENG_SCEN'!$M$116</f>
        <v/>
      </c>
      <c r="N118" s="14">
        <f>'ENG_SCEN'!$N$117-'ENG_SCEN'!$N$116</f>
        <v/>
      </c>
      <c r="O118" s="14">
        <f>'ENG_SCEN'!$O$117-'ENG_SCEN'!$O$116</f>
        <v/>
      </c>
      <c r="P118" s="14">
        <f>'ENG_SCEN'!$P$117-'ENG_SCEN'!$P$116</f>
        <v/>
      </c>
    </row>
    <row r="119">
      <c r="A119" t="inlineStr">
        <is>
          <t>[3] مالیات</t>
        </is>
      </c>
      <c r="B119" s="8" t="inlineStr">
        <is>
          <t>SB3.tax</t>
        </is>
      </c>
      <c r="C119" s="9" t="inlineStr">
        <is>
          <t>میلیون ریال</t>
        </is>
      </c>
      <c r="D119" s="14">
        <f>MAX(0,'ENG_SCEN'!$D$118)*'IN_MACRO'!$D$14</f>
        <v/>
      </c>
      <c r="E119" s="14">
        <f>MAX(0,'ENG_SCEN'!$E$118)*'IN_MACRO'!$D$14</f>
        <v/>
      </c>
      <c r="F119" s="14">
        <f>MAX(0,'ENG_SCEN'!$F$118)*'IN_MACRO'!$D$14</f>
        <v/>
      </c>
      <c r="G119" s="14">
        <f>MAX(0,'ENG_SCEN'!$G$118)*'IN_MACRO'!$D$14</f>
        <v/>
      </c>
      <c r="H119" s="14">
        <f>MAX(0,'ENG_SCEN'!$H$118)*'IN_MACRO'!$D$14</f>
        <v/>
      </c>
      <c r="I119" s="14">
        <f>MAX(0,'ENG_SCEN'!$I$118)*'IN_MACRO'!$D$14</f>
        <v/>
      </c>
      <c r="J119" s="14">
        <f>MAX(0,'ENG_SCEN'!$J$118)*'IN_MACRO'!$D$14</f>
        <v/>
      </c>
      <c r="K119" s="14">
        <f>MAX(0,'ENG_SCEN'!$K$118)*'IN_MACRO'!$D$14</f>
        <v/>
      </c>
      <c r="L119" s="14">
        <f>MAX(0,'ENG_SCEN'!$L$118)*'IN_MACRO'!$D$14</f>
        <v/>
      </c>
      <c r="M119" s="14">
        <f>MAX(0,'ENG_SCEN'!$M$118)*'IN_MACRO'!$D$14</f>
        <v/>
      </c>
      <c r="N119" s="14">
        <f>MAX(0,'ENG_SCEN'!$N$118)*'IN_MACRO'!$D$14</f>
        <v/>
      </c>
      <c r="O119" s="14">
        <f>MAX(0,'ENG_SCEN'!$O$118)*'IN_MACRO'!$D$14</f>
        <v/>
      </c>
      <c r="P119" s="14">
        <f>MAX(0,'ENG_SCEN'!$P$118)*'IN_MACRO'!$D$14</f>
        <v/>
      </c>
    </row>
    <row r="120">
      <c r="A120" t="inlineStr">
        <is>
          <t>[3] NOPAT</t>
        </is>
      </c>
      <c r="B120" s="8" t="inlineStr">
        <is>
          <t>SB3.nopat</t>
        </is>
      </c>
      <c r="C120" s="9" t="inlineStr">
        <is>
          <t>میلیون ریال</t>
        </is>
      </c>
      <c r="D120" s="14">
        <f>'ENG_SCEN'!$D$118-'ENG_SCEN'!$D$119</f>
        <v/>
      </c>
      <c r="E120" s="14">
        <f>'ENG_SCEN'!$E$118-'ENG_SCEN'!$E$119</f>
        <v/>
      </c>
      <c r="F120" s="14">
        <f>'ENG_SCEN'!$F$118-'ENG_SCEN'!$F$119</f>
        <v/>
      </c>
      <c r="G120" s="14">
        <f>'ENG_SCEN'!$G$118-'ENG_SCEN'!$G$119</f>
        <v/>
      </c>
      <c r="H120" s="14">
        <f>'ENG_SCEN'!$H$118-'ENG_SCEN'!$H$119</f>
        <v/>
      </c>
      <c r="I120" s="14">
        <f>'ENG_SCEN'!$I$118-'ENG_SCEN'!$I$119</f>
        <v/>
      </c>
      <c r="J120" s="14">
        <f>'ENG_SCEN'!$J$118-'ENG_SCEN'!$J$119</f>
        <v/>
      </c>
      <c r="K120" s="14">
        <f>'ENG_SCEN'!$K$118-'ENG_SCEN'!$K$119</f>
        <v/>
      </c>
      <c r="L120" s="14">
        <f>'ENG_SCEN'!$L$118-'ENG_SCEN'!$L$119</f>
        <v/>
      </c>
      <c r="M120" s="14">
        <f>'ENG_SCEN'!$M$118-'ENG_SCEN'!$M$119</f>
        <v/>
      </c>
      <c r="N120" s="14">
        <f>'ENG_SCEN'!$N$118-'ENG_SCEN'!$N$119</f>
        <v/>
      </c>
      <c r="O120" s="14">
        <f>'ENG_SCEN'!$O$118-'ENG_SCEN'!$O$119</f>
        <v/>
      </c>
      <c r="P120" s="14">
        <f>'ENG_SCEN'!$P$118-'ENG_SCEN'!$P$119</f>
        <v/>
      </c>
    </row>
    <row r="121">
      <c r="A121" t="inlineStr">
        <is>
          <t>[3] CAPEX و جایگزینی</t>
        </is>
      </c>
      <c r="B121" s="8" t="inlineStr">
        <is>
          <t>SB3.capex</t>
        </is>
      </c>
      <c r="C121" s="9" t="inlineStr">
        <is>
          <t>میلیون ریال</t>
        </is>
      </c>
      <c r="D121" s="14">
        <f>(@@ENG_CAPEX|CAPEX.cap_total|0@@+@@ENG_CAPEX|CAPEX.repl_total|0@@)*'IN_SCEN'!$F$18</f>
        <v/>
      </c>
      <c r="E121" s="14">
        <f>(@@ENG_CAPEX|CAPEX.cap_total|1@@+@@ENG_CAPEX|CAPEX.repl_total|1@@)*'IN_SCEN'!$F$18</f>
        <v/>
      </c>
      <c r="F121" s="14">
        <f>(@@ENG_CAPEX|CAPEX.cap_total|2@@+@@ENG_CAPEX|CAPEX.repl_total|2@@)*'IN_SCEN'!$F$18</f>
        <v/>
      </c>
      <c r="G121" s="14">
        <f>(@@ENG_CAPEX|CAPEX.cap_total|3@@+@@ENG_CAPEX|CAPEX.repl_total|3@@)*'IN_SCEN'!$F$18</f>
        <v/>
      </c>
      <c r="H121" s="14">
        <f>(@@ENG_CAPEX|CAPEX.cap_total|4@@+@@ENG_CAPEX|CAPEX.repl_total|4@@)*'IN_SCEN'!$F$18</f>
        <v/>
      </c>
      <c r="I121" s="14">
        <f>(@@ENG_CAPEX|CAPEX.cap_total|5@@+@@ENG_CAPEX|CAPEX.repl_total|5@@)*'IN_SCEN'!$F$18</f>
        <v/>
      </c>
      <c r="J121" s="14">
        <f>(@@ENG_CAPEX|CAPEX.cap_total|6@@+@@ENG_CAPEX|CAPEX.repl_total|6@@)*'IN_SCEN'!$F$18</f>
        <v/>
      </c>
      <c r="K121" s="14">
        <f>(@@ENG_CAPEX|CAPEX.cap_total|7@@+@@ENG_CAPEX|CAPEX.repl_total|7@@)*'IN_SCEN'!$F$18</f>
        <v/>
      </c>
      <c r="L121" s="14">
        <f>(@@ENG_CAPEX|CAPEX.cap_total|8@@+@@ENG_CAPEX|CAPEX.repl_total|8@@)*'IN_SCEN'!$F$18</f>
        <v/>
      </c>
      <c r="M121" s="14">
        <f>(@@ENG_CAPEX|CAPEX.cap_total|9@@+@@ENG_CAPEX|CAPEX.repl_total|9@@)*'IN_SCEN'!$F$18</f>
        <v/>
      </c>
      <c r="N121" s="14">
        <f>(@@ENG_CAPEX|CAPEX.cap_total|10@@+@@ENG_CAPEX|CAPEX.repl_total|10@@)*'IN_SCEN'!$F$18</f>
        <v/>
      </c>
      <c r="O121" s="14">
        <f>(@@ENG_CAPEX|CAPEX.cap_total|11@@+@@ENG_CAPEX|CAPEX.repl_total|11@@)*'IN_SCEN'!$F$18</f>
        <v/>
      </c>
      <c r="P121" s="14">
        <f>(@@ENG_CAPEX|CAPEX.cap_total|12@@+@@ENG_CAPEX|CAPEX.repl_total|12@@)*'IN_SCEN'!$F$18</f>
        <v/>
      </c>
    </row>
    <row r="122">
      <c r="A122" t="inlineStr">
        <is>
          <t>[3] تغییرات سرمایه در گردش</t>
        </is>
      </c>
      <c r="B122" s="8" t="inlineStr">
        <is>
          <t>SB3.dwc</t>
        </is>
      </c>
      <c r="C122" s="9" t="inlineStr">
        <is>
          <t>میلیون ریال</t>
        </is>
      </c>
      <c r="D122" s="14">
        <f>@@ENG_WC|WC.dwc|0@@*'IN_SCEN'!$F$13*'IN_SCEN'!$F$14</f>
        <v/>
      </c>
      <c r="E122" s="14">
        <f>@@ENG_WC|WC.dwc|1@@*'IN_SCEN'!$F$13*'IN_SCEN'!$F$14</f>
        <v/>
      </c>
      <c r="F122" s="14">
        <f>@@ENG_WC|WC.dwc|2@@*'IN_SCEN'!$F$13*'IN_SCEN'!$F$14</f>
        <v/>
      </c>
      <c r="G122" s="14">
        <f>@@ENG_WC|WC.dwc|3@@*'IN_SCEN'!$F$13*'IN_SCEN'!$F$14</f>
        <v/>
      </c>
      <c r="H122" s="14">
        <f>@@ENG_WC|WC.dwc|4@@*'IN_SCEN'!$F$13*'IN_SCEN'!$F$14</f>
        <v/>
      </c>
      <c r="I122" s="14">
        <f>@@ENG_WC|WC.dwc|5@@*'IN_SCEN'!$F$13*'IN_SCEN'!$F$14</f>
        <v/>
      </c>
      <c r="J122" s="14">
        <f>@@ENG_WC|WC.dwc|6@@*'IN_SCEN'!$F$13*'IN_SCEN'!$F$14</f>
        <v/>
      </c>
      <c r="K122" s="14">
        <f>@@ENG_WC|WC.dwc|7@@*'IN_SCEN'!$F$13*'IN_SCEN'!$F$14</f>
        <v/>
      </c>
      <c r="L122" s="14">
        <f>@@ENG_WC|WC.dwc|8@@*'IN_SCEN'!$F$13*'IN_SCEN'!$F$14</f>
        <v/>
      </c>
      <c r="M122" s="14">
        <f>@@ENG_WC|WC.dwc|9@@*'IN_SCEN'!$F$13*'IN_SCEN'!$F$14</f>
        <v/>
      </c>
      <c r="N122" s="14">
        <f>@@ENG_WC|WC.dwc|10@@*'IN_SCEN'!$F$13*'IN_SCEN'!$F$14</f>
        <v/>
      </c>
      <c r="O122" s="14">
        <f>@@ENG_WC|WC.dwc|11@@*'IN_SCEN'!$F$13*'IN_SCEN'!$F$14</f>
        <v/>
      </c>
      <c r="P122" s="14">
        <f>@@ENG_WC|WC.dwc|12@@*'IN_SCEN'!$F$13*'IN_SCEN'!$F$14</f>
        <v/>
      </c>
    </row>
    <row r="123">
      <c r="A123" t="inlineStr">
        <is>
          <t>[3] جریان نقد آزاد (FCFF)</t>
        </is>
      </c>
      <c r="B123" s="8" t="inlineStr">
        <is>
          <t>SB3.fcf</t>
        </is>
      </c>
      <c r="C123" s="9" t="inlineStr">
        <is>
          <t>میلیون ریال</t>
        </is>
      </c>
      <c r="D123" s="14">
        <f>'ENG_SCEN'!$D$120+'ENG_SCEN'!$D$116-'ENG_SCEN'!$D$121-'ENG_SCEN'!$D$122</f>
        <v/>
      </c>
      <c r="E123" s="14">
        <f>'ENG_SCEN'!$E$120+'ENG_SCEN'!$E$116-'ENG_SCEN'!$E$121-'ENG_SCEN'!$E$122</f>
        <v/>
      </c>
      <c r="F123" s="14">
        <f>'ENG_SCEN'!$F$120+'ENG_SCEN'!$F$116-'ENG_SCEN'!$F$121-'ENG_SCEN'!$F$122</f>
        <v/>
      </c>
      <c r="G123" s="14">
        <f>'ENG_SCEN'!$G$120+'ENG_SCEN'!$G$116-'ENG_SCEN'!$G$121-'ENG_SCEN'!$G$122</f>
        <v/>
      </c>
      <c r="H123" s="14">
        <f>'ENG_SCEN'!$H$120+'ENG_SCEN'!$H$116-'ENG_SCEN'!$H$121-'ENG_SCEN'!$H$122</f>
        <v/>
      </c>
      <c r="I123" s="14">
        <f>'ENG_SCEN'!$I$120+'ENG_SCEN'!$I$116-'ENG_SCEN'!$I$121-'ENG_SCEN'!$I$122</f>
        <v/>
      </c>
      <c r="J123" s="14">
        <f>'ENG_SCEN'!$J$120+'ENG_SCEN'!$J$116-'ENG_SCEN'!$J$121-'ENG_SCEN'!$J$122</f>
        <v/>
      </c>
      <c r="K123" s="14">
        <f>'ENG_SCEN'!$K$120+'ENG_SCEN'!$K$116-'ENG_SCEN'!$K$121-'ENG_SCEN'!$K$122</f>
        <v/>
      </c>
      <c r="L123" s="14">
        <f>'ENG_SCEN'!$L$120+'ENG_SCEN'!$L$116-'ENG_SCEN'!$L$121-'ENG_SCEN'!$L$122</f>
        <v/>
      </c>
      <c r="M123" s="14">
        <f>'ENG_SCEN'!$M$120+'ENG_SCEN'!$M$116-'ENG_SCEN'!$M$121-'ENG_SCEN'!$M$122</f>
        <v/>
      </c>
      <c r="N123" s="14">
        <f>'ENG_SCEN'!$N$120+'ENG_SCEN'!$N$116-'ENG_SCEN'!$N$121-'ENG_SCEN'!$N$122</f>
        <v/>
      </c>
      <c r="O123" s="14">
        <f>'ENG_SCEN'!$O$120+'ENG_SCEN'!$O$116-'ENG_SCEN'!$O$121-'ENG_SCEN'!$O$122</f>
        <v/>
      </c>
      <c r="P123" s="14">
        <f>'ENG_SCEN'!$P$120+'ENG_SCEN'!$P$116-'ENG_SCEN'!$P$121-'ENG_SCEN'!$P$122</f>
        <v/>
      </c>
    </row>
    <row r="124">
      <c r="A124" t="inlineStr">
        <is>
          <t>[3] FCFF تکرارپذیر</t>
        </is>
      </c>
      <c r="B124" s="8" t="inlineStr">
        <is>
          <t>SB3.fcf_rep</t>
        </is>
      </c>
      <c r="C124" s="9" t="inlineStr">
        <is>
          <t>میلیون ریال</t>
        </is>
      </c>
      <c r="D124" s="14">
        <f>'ENG_SCEN'!$D$120+'ENG_SCEN'!$D$116-'ENG_SCEN'!$D$122</f>
        <v/>
      </c>
      <c r="E124" s="14">
        <f>'ENG_SCEN'!$E$120+'ENG_SCEN'!$E$116-'ENG_SCEN'!$E$122</f>
        <v/>
      </c>
      <c r="F124" s="14">
        <f>'ENG_SCEN'!$F$120+'ENG_SCEN'!$F$116-'ENG_SCEN'!$F$122</f>
        <v/>
      </c>
      <c r="G124" s="14">
        <f>'ENG_SCEN'!$G$120+'ENG_SCEN'!$G$116-'ENG_SCEN'!$G$122</f>
        <v/>
      </c>
      <c r="H124" s="14">
        <f>'ENG_SCEN'!$H$120+'ENG_SCEN'!$H$116-'ENG_SCEN'!$H$122</f>
        <v/>
      </c>
      <c r="I124" s="14">
        <f>'ENG_SCEN'!$I$120+'ENG_SCEN'!$I$116-'ENG_SCEN'!$I$122</f>
        <v/>
      </c>
      <c r="J124" s="14">
        <f>'ENG_SCEN'!$J$120+'ENG_SCEN'!$J$116-'ENG_SCEN'!$J$122</f>
        <v/>
      </c>
      <c r="K124" s="14">
        <f>'ENG_SCEN'!$K$120+'ENG_SCEN'!$K$116-'ENG_SCEN'!$K$122</f>
        <v/>
      </c>
      <c r="L124" s="14">
        <f>'ENG_SCEN'!$L$120+'ENG_SCEN'!$L$116-'ENG_SCEN'!$L$122</f>
        <v/>
      </c>
      <c r="M124" s="14">
        <f>'ENG_SCEN'!$M$120+'ENG_SCEN'!$M$116-'ENG_SCEN'!$M$122</f>
        <v/>
      </c>
      <c r="N124" s="14">
        <f>'ENG_SCEN'!$N$120+'ENG_SCEN'!$N$116-'ENG_SCEN'!$N$122</f>
        <v/>
      </c>
      <c r="O124" s="14">
        <f>'ENG_SCEN'!$O$120+'ENG_SCEN'!$O$116-'ENG_SCEN'!$O$122</f>
        <v/>
      </c>
      <c r="P124" s="14">
        <f>'ENG_SCEN'!$P$120+'ENG_SCEN'!$P$116-'ENG_SCEN'!$P$122</f>
        <v/>
      </c>
    </row>
    <row r="125">
      <c r="A125" t="inlineStr">
        <is>
          <t>[3] FCFF تجمعی</t>
        </is>
      </c>
      <c r="B125" s="8" t="inlineStr">
        <is>
          <t>SB3.cum</t>
        </is>
      </c>
      <c r="C125" s="9" t="inlineStr">
        <is>
          <t>میلیون ریال</t>
        </is>
      </c>
      <c r="D125" s="14">
        <f>'ENG_SCEN'!$D$123</f>
        <v/>
      </c>
      <c r="E125" s="14">
        <f>'ENG_SCEN'!$D$125+'ENG_SCEN'!$E$123</f>
        <v/>
      </c>
      <c r="F125" s="14">
        <f>'ENG_SCEN'!$E$125+'ENG_SCEN'!$F$123</f>
        <v/>
      </c>
      <c r="G125" s="14">
        <f>'ENG_SCEN'!$F$125+'ENG_SCEN'!$G$123</f>
        <v/>
      </c>
      <c r="H125" s="14">
        <f>'ENG_SCEN'!$G$125+'ENG_SCEN'!$H$123</f>
        <v/>
      </c>
      <c r="I125" s="14">
        <f>'ENG_SCEN'!$H$125+'ENG_SCEN'!$I$123</f>
        <v/>
      </c>
      <c r="J125" s="14">
        <f>'ENG_SCEN'!$I$125+'ENG_SCEN'!$J$123</f>
        <v/>
      </c>
      <c r="K125" s="14">
        <f>'ENG_SCEN'!$J$125+'ENG_SCEN'!$K$123</f>
        <v/>
      </c>
      <c r="L125" s="14">
        <f>'ENG_SCEN'!$K$125+'ENG_SCEN'!$L$123</f>
        <v/>
      </c>
      <c r="M125" s="14">
        <f>'ENG_SCEN'!$L$125+'ENG_SCEN'!$M$123</f>
        <v/>
      </c>
      <c r="N125" s="14">
        <f>'ENG_SCEN'!$M$125+'ENG_SCEN'!$N$123</f>
        <v/>
      </c>
      <c r="O125" s="14">
        <f>'ENG_SCEN'!$N$125+'ENG_SCEN'!$O$123</f>
        <v/>
      </c>
      <c r="P125" s="14">
        <f>'ENG_SCEN'!$O$125+'ENG_SCEN'!$P$123</f>
        <v/>
      </c>
    </row>
    <row r="126">
      <c r="A126" t="inlineStr">
        <is>
          <t>[3] نرخ تنزیل (WACC)</t>
        </is>
      </c>
      <c r="B126" s="8" t="inlineStr">
        <is>
          <t>SB3.wacc</t>
        </is>
      </c>
      <c r="C126" s="9" t="inlineStr">
        <is>
          <t>درصد</t>
        </is>
      </c>
      <c r="D126" s="11">
        <f>@@ENG_DCF|DCF.wacc|0@@+'IN_SCEN'!$F$20</f>
        <v/>
      </c>
      <c r="E126" s="11">
        <f>@@ENG_DCF|DCF.wacc|1@@+'IN_SCEN'!$F$20</f>
        <v/>
      </c>
      <c r="F126" s="11">
        <f>@@ENG_DCF|DCF.wacc|2@@+'IN_SCEN'!$F$20</f>
        <v/>
      </c>
      <c r="G126" s="11">
        <f>@@ENG_DCF|DCF.wacc|3@@+'IN_SCEN'!$F$20</f>
        <v/>
      </c>
      <c r="H126" s="11">
        <f>@@ENG_DCF|DCF.wacc|4@@+'IN_SCEN'!$F$20</f>
        <v/>
      </c>
      <c r="I126" s="11">
        <f>@@ENG_DCF|DCF.wacc|5@@+'IN_SCEN'!$F$20</f>
        <v/>
      </c>
      <c r="J126" s="11">
        <f>@@ENG_DCF|DCF.wacc|6@@+'IN_SCEN'!$F$20</f>
        <v/>
      </c>
      <c r="K126" s="11">
        <f>@@ENG_DCF|DCF.wacc|7@@+'IN_SCEN'!$F$20</f>
        <v/>
      </c>
      <c r="L126" s="11">
        <f>@@ENG_DCF|DCF.wacc|8@@+'IN_SCEN'!$F$20</f>
        <v/>
      </c>
      <c r="M126" s="11">
        <f>@@ENG_DCF|DCF.wacc|9@@+'IN_SCEN'!$F$20</f>
        <v/>
      </c>
      <c r="N126" s="11">
        <f>@@ENG_DCF|DCF.wacc|10@@+'IN_SCEN'!$F$20</f>
        <v/>
      </c>
      <c r="O126" s="11">
        <f>@@ENG_DCF|DCF.wacc|11@@+'IN_SCEN'!$F$20</f>
        <v/>
      </c>
      <c r="P126" s="11">
        <f>@@ENG_DCF|DCF.wacc|12@@+'IN_SCEN'!$F$20</f>
        <v/>
      </c>
    </row>
    <row r="127">
      <c r="A127" t="inlineStr">
        <is>
          <t>[3] ضریب تنزیل</t>
        </is>
      </c>
      <c r="B127" s="8" t="inlineStr">
        <is>
          <t>SB3.df</t>
        </is>
      </c>
      <c r="C127" s="9" t="inlineStr">
        <is>
          <t>ضریب</t>
        </is>
      </c>
      <c r="D127" s="12">
        <f>1</f>
        <v/>
      </c>
      <c r="E127" s="12">
        <f>'ENG_SCEN'!$D$127/(1+'ENG_SCEN'!$E$126)</f>
        <v/>
      </c>
      <c r="F127" s="12">
        <f>'ENG_SCEN'!$E$127/(1+'ENG_SCEN'!$F$126)</f>
        <v/>
      </c>
      <c r="G127" s="12">
        <f>'ENG_SCEN'!$F$127/(1+'ENG_SCEN'!$G$126)</f>
        <v/>
      </c>
      <c r="H127" s="12">
        <f>'ENG_SCEN'!$G$127/(1+'ENG_SCEN'!$H$126)</f>
        <v/>
      </c>
      <c r="I127" s="12">
        <f>'ENG_SCEN'!$H$127/(1+'ENG_SCEN'!$I$126)</f>
        <v/>
      </c>
      <c r="J127" s="12">
        <f>'ENG_SCEN'!$I$127/(1+'ENG_SCEN'!$J$126)</f>
        <v/>
      </c>
      <c r="K127" s="12">
        <f>'ENG_SCEN'!$J$127/(1+'ENG_SCEN'!$K$126)</f>
        <v/>
      </c>
      <c r="L127" s="12">
        <f>'ENG_SCEN'!$K$127/(1+'ENG_SCEN'!$L$126)</f>
        <v/>
      </c>
      <c r="M127" s="12">
        <f>'ENG_SCEN'!$L$127/(1+'ENG_SCEN'!$M$126)</f>
        <v/>
      </c>
      <c r="N127" s="12">
        <f>'ENG_SCEN'!$M$127/(1+'ENG_SCEN'!$N$126)</f>
        <v/>
      </c>
      <c r="O127" s="12">
        <f>'ENG_SCEN'!$N$127/(1+'ENG_SCEN'!$O$126)</f>
        <v/>
      </c>
      <c r="P127" s="12">
        <f>'ENG_SCEN'!$O$127/(1+'ENG_SCEN'!$P$126)</f>
        <v/>
      </c>
    </row>
    <row r="128">
      <c r="A128" t="inlineStr">
        <is>
          <t>[3] ارزش فعلی FCFF</t>
        </is>
      </c>
      <c r="B128" s="8" t="inlineStr">
        <is>
          <t>SB3.pv</t>
        </is>
      </c>
      <c r="C128" s="9" t="inlineStr">
        <is>
          <t>میلیون ریال</t>
        </is>
      </c>
      <c r="D128" s="14">
        <f>'ENG_SCEN'!$D$123*'ENG_SCEN'!$D$127</f>
        <v/>
      </c>
      <c r="E128" s="14">
        <f>'ENG_SCEN'!$E$123*'ENG_SCEN'!$E$127</f>
        <v/>
      </c>
      <c r="F128" s="14">
        <f>'ENG_SCEN'!$F$123*'ENG_SCEN'!$F$127</f>
        <v/>
      </c>
      <c r="G128" s="14">
        <f>'ENG_SCEN'!$G$123*'ENG_SCEN'!$G$127</f>
        <v/>
      </c>
      <c r="H128" s="14">
        <f>'ENG_SCEN'!$H$123*'ENG_SCEN'!$H$127</f>
        <v/>
      </c>
      <c r="I128" s="14">
        <f>'ENG_SCEN'!$I$123*'ENG_SCEN'!$I$127</f>
        <v/>
      </c>
      <c r="J128" s="14">
        <f>'ENG_SCEN'!$J$123*'ENG_SCEN'!$J$127</f>
        <v/>
      </c>
      <c r="K128" s="14">
        <f>'ENG_SCEN'!$K$123*'ENG_SCEN'!$K$127</f>
        <v/>
      </c>
      <c r="L128" s="14">
        <f>'ENG_SCEN'!$L$123*'ENG_SCEN'!$L$127</f>
        <v/>
      </c>
      <c r="M128" s="14">
        <f>'ENG_SCEN'!$M$123*'ENG_SCEN'!$M$127</f>
        <v/>
      </c>
      <c r="N128" s="14">
        <f>'ENG_SCEN'!$N$123*'ENG_SCEN'!$N$127</f>
        <v/>
      </c>
      <c r="O128" s="14">
        <f>'ENG_SCEN'!$O$123*'ENG_SCEN'!$O$127</f>
        <v/>
      </c>
      <c r="P128" s="14">
        <f>'ENG_SCEN'!$P$123*'ENG_SCEN'!$P$127</f>
        <v/>
      </c>
    </row>
    <row r="129">
      <c r="A129" t="inlineStr">
        <is>
          <t>[3] ارزش فعلی تجمعی</t>
        </is>
      </c>
      <c r="B129" s="8" t="inlineStr">
        <is>
          <t>SB3.pvc</t>
        </is>
      </c>
      <c r="C129" s="9" t="inlineStr">
        <is>
          <t>میلیون ریال</t>
        </is>
      </c>
      <c r="D129" s="14">
        <f>'ENG_SCEN'!$D$128</f>
        <v/>
      </c>
      <c r="E129" s="14">
        <f>'ENG_SCEN'!$D$129+'ENG_SCEN'!$E$128</f>
        <v/>
      </c>
      <c r="F129" s="14">
        <f>'ENG_SCEN'!$E$129+'ENG_SCEN'!$F$128</f>
        <v/>
      </c>
      <c r="G129" s="14">
        <f>'ENG_SCEN'!$F$129+'ENG_SCEN'!$G$128</f>
        <v/>
      </c>
      <c r="H129" s="14">
        <f>'ENG_SCEN'!$G$129+'ENG_SCEN'!$H$128</f>
        <v/>
      </c>
      <c r="I129" s="14">
        <f>'ENG_SCEN'!$H$129+'ENG_SCEN'!$I$128</f>
        <v/>
      </c>
      <c r="J129" s="14">
        <f>'ENG_SCEN'!$I$129+'ENG_SCEN'!$J$128</f>
        <v/>
      </c>
      <c r="K129" s="14">
        <f>'ENG_SCEN'!$J$129+'ENG_SCEN'!$K$128</f>
        <v/>
      </c>
      <c r="L129" s="14">
        <f>'ENG_SCEN'!$K$129+'ENG_SCEN'!$L$128</f>
        <v/>
      </c>
      <c r="M129" s="14">
        <f>'ENG_SCEN'!$L$129+'ENG_SCEN'!$M$128</f>
        <v/>
      </c>
      <c r="N129" s="14">
        <f>'ENG_SCEN'!$M$129+'ENG_SCEN'!$N$128</f>
        <v/>
      </c>
      <c r="O129" s="14">
        <f>'ENG_SCEN'!$N$129+'ENG_SCEN'!$O$128</f>
        <v/>
      </c>
      <c r="P129" s="14">
        <f>'ENG_SCEN'!$O$129+'ENG_SCEN'!$P$128</f>
        <v/>
      </c>
    </row>
    <row r="130">
      <c r="A130" t="inlineStr">
        <is>
          <t>[3] ارزش پایانی</t>
        </is>
      </c>
      <c r="B130" s="8" t="inlineStr">
        <is>
          <t>SB3.tv</t>
        </is>
      </c>
      <c r="C130" s="9" t="inlineStr">
        <is>
          <t>میلیون ریال</t>
        </is>
      </c>
      <c r="D130" s="14">
        <f>IF('IN_MACRO'!$D$23&lt;'IN_MACRO'!$D$11,0,IF('IN_MACRO'!$D$19=1,MAX(0,'ENG_SCEN'!$P$124)*(1+'IN_MACRO'!$D$18)/MAX(0.005,'ENG_SCEN'!$P$126-'IN_MACRO'!$D$18),'ENG_SCEN'!$P$117*'IN_MACRO'!$D$20))</f>
        <v/>
      </c>
      <c r="E130" s="14">
        <f>IF('IN_MACRO'!$E$23&lt;'IN_MACRO'!$D$11,0,IF('IN_MACRO'!$D$19=1,MAX(0,'ENG_SCEN'!$P$124)*(1+'IN_MACRO'!$D$18)/MAX(0.005,'ENG_SCEN'!$P$126-'IN_MACRO'!$D$18),'ENG_SCEN'!$P$117*'IN_MACRO'!$D$20))</f>
        <v/>
      </c>
      <c r="F130" s="14">
        <f>IF('IN_MACRO'!$F$23&lt;'IN_MACRO'!$D$11,0,IF('IN_MACRO'!$D$19=1,MAX(0,'ENG_SCEN'!$P$124)*(1+'IN_MACRO'!$D$18)/MAX(0.005,'ENG_SCEN'!$P$126-'IN_MACRO'!$D$18),'ENG_SCEN'!$P$117*'IN_MACRO'!$D$20))</f>
        <v/>
      </c>
      <c r="G130" s="14">
        <f>IF('IN_MACRO'!$G$23&lt;'IN_MACRO'!$D$11,0,IF('IN_MACRO'!$D$19=1,MAX(0,'ENG_SCEN'!$P$124)*(1+'IN_MACRO'!$D$18)/MAX(0.005,'ENG_SCEN'!$P$126-'IN_MACRO'!$D$18),'ENG_SCEN'!$P$117*'IN_MACRO'!$D$20))</f>
        <v/>
      </c>
      <c r="H130" s="14">
        <f>IF('IN_MACRO'!$H$23&lt;'IN_MACRO'!$D$11,0,IF('IN_MACRO'!$D$19=1,MAX(0,'ENG_SCEN'!$P$124)*(1+'IN_MACRO'!$D$18)/MAX(0.005,'ENG_SCEN'!$P$126-'IN_MACRO'!$D$18),'ENG_SCEN'!$P$117*'IN_MACRO'!$D$20))</f>
        <v/>
      </c>
      <c r="I130" s="14">
        <f>IF('IN_MACRO'!$I$23&lt;'IN_MACRO'!$D$11,0,IF('IN_MACRO'!$D$19=1,MAX(0,'ENG_SCEN'!$P$124)*(1+'IN_MACRO'!$D$18)/MAX(0.005,'ENG_SCEN'!$P$126-'IN_MACRO'!$D$18),'ENG_SCEN'!$P$117*'IN_MACRO'!$D$20))</f>
        <v/>
      </c>
      <c r="J130" s="14">
        <f>IF('IN_MACRO'!$J$23&lt;'IN_MACRO'!$D$11,0,IF('IN_MACRO'!$D$19=1,MAX(0,'ENG_SCEN'!$P$124)*(1+'IN_MACRO'!$D$18)/MAX(0.005,'ENG_SCEN'!$P$126-'IN_MACRO'!$D$18),'ENG_SCEN'!$P$117*'IN_MACRO'!$D$20))</f>
        <v/>
      </c>
      <c r="K130" s="14">
        <f>IF('IN_MACRO'!$K$23&lt;'IN_MACRO'!$D$11,0,IF('IN_MACRO'!$D$19=1,MAX(0,'ENG_SCEN'!$P$124)*(1+'IN_MACRO'!$D$18)/MAX(0.005,'ENG_SCEN'!$P$126-'IN_MACRO'!$D$18),'ENG_SCEN'!$P$117*'IN_MACRO'!$D$20))</f>
        <v/>
      </c>
      <c r="L130" s="14">
        <f>IF('IN_MACRO'!$L$23&lt;'IN_MACRO'!$D$11,0,IF('IN_MACRO'!$D$19=1,MAX(0,'ENG_SCEN'!$P$124)*(1+'IN_MACRO'!$D$18)/MAX(0.005,'ENG_SCEN'!$P$126-'IN_MACRO'!$D$18),'ENG_SCEN'!$P$117*'IN_MACRO'!$D$20))</f>
        <v/>
      </c>
      <c r="M130" s="14">
        <f>IF('IN_MACRO'!$M$23&lt;'IN_MACRO'!$D$11,0,IF('IN_MACRO'!$D$19=1,MAX(0,'ENG_SCEN'!$P$124)*(1+'IN_MACRO'!$D$18)/MAX(0.005,'ENG_SCEN'!$P$126-'IN_MACRO'!$D$18),'ENG_SCEN'!$P$117*'IN_MACRO'!$D$20))</f>
        <v/>
      </c>
      <c r="N130" s="14">
        <f>IF('IN_MACRO'!$N$23&lt;'IN_MACRO'!$D$11,0,IF('IN_MACRO'!$D$19=1,MAX(0,'ENG_SCEN'!$P$124)*(1+'IN_MACRO'!$D$18)/MAX(0.005,'ENG_SCEN'!$P$126-'IN_MACRO'!$D$18),'ENG_SCEN'!$P$117*'IN_MACRO'!$D$20))</f>
        <v/>
      </c>
      <c r="O130" s="14">
        <f>IF('IN_MACRO'!$O$23&lt;'IN_MACRO'!$D$11,0,IF('IN_MACRO'!$D$19=1,MAX(0,'ENG_SCEN'!$P$124)*(1+'IN_MACRO'!$D$18)/MAX(0.005,'ENG_SCEN'!$P$126-'IN_MACRO'!$D$18),'ENG_SCEN'!$P$117*'IN_MACRO'!$D$20))</f>
        <v/>
      </c>
      <c r="P130" s="14">
        <f>IF('IN_MACRO'!$P$23&lt;'IN_MACRO'!$D$11,0,IF('IN_MACRO'!$D$19=1,MAX(0,'ENG_SCEN'!$P$124)*(1+'IN_MACRO'!$D$18)/MAX(0.005,'ENG_SCEN'!$P$126-'IN_MACRO'!$D$18),'ENG_SCEN'!$P$117*'IN_MACRO'!$D$20))</f>
        <v/>
      </c>
    </row>
    <row r="131">
      <c r="A131" t="inlineStr">
        <is>
          <t>[3] ارزش فعلی ارزش پایانی</t>
        </is>
      </c>
      <c r="B131" s="8" t="inlineStr">
        <is>
          <t>SB3.pvtv</t>
        </is>
      </c>
      <c r="C131" s="9" t="inlineStr">
        <is>
          <t>میلیون ریال</t>
        </is>
      </c>
      <c r="D131" s="14">
        <f>'ENG_SCEN'!$D$130*'ENG_SCEN'!$D$127</f>
        <v/>
      </c>
      <c r="E131" s="14">
        <f>'ENG_SCEN'!$E$130*'ENG_SCEN'!$E$127</f>
        <v/>
      </c>
      <c r="F131" s="14">
        <f>'ENG_SCEN'!$F$130*'ENG_SCEN'!$F$127</f>
        <v/>
      </c>
      <c r="G131" s="14">
        <f>'ENG_SCEN'!$G$130*'ENG_SCEN'!$G$127</f>
        <v/>
      </c>
      <c r="H131" s="14">
        <f>'ENG_SCEN'!$H$130*'ENG_SCEN'!$H$127</f>
        <v/>
      </c>
      <c r="I131" s="14">
        <f>'ENG_SCEN'!$I$130*'ENG_SCEN'!$I$127</f>
        <v/>
      </c>
      <c r="J131" s="14">
        <f>'ENG_SCEN'!$J$130*'ENG_SCEN'!$J$127</f>
        <v/>
      </c>
      <c r="K131" s="14">
        <f>'ENG_SCEN'!$K$130*'ENG_SCEN'!$K$127</f>
        <v/>
      </c>
      <c r="L131" s="14">
        <f>'ENG_SCEN'!$L$130*'ENG_SCEN'!$L$127</f>
        <v/>
      </c>
      <c r="M131" s="14">
        <f>'ENG_SCEN'!$M$130*'ENG_SCEN'!$M$127</f>
        <v/>
      </c>
      <c r="N131" s="14">
        <f>'ENG_SCEN'!$N$130*'ENG_SCEN'!$N$127</f>
        <v/>
      </c>
      <c r="O131" s="14">
        <f>'ENG_SCEN'!$O$130*'ENG_SCEN'!$O$127</f>
        <v/>
      </c>
      <c r="P131" s="14">
        <f>'ENG_SCEN'!$P$130*'ENG_SCEN'!$P$127</f>
        <v/>
      </c>
    </row>
    <row r="132">
      <c r="A132" t="inlineStr">
        <is>
          <t>[3] جریان قابل بازدهی (FCF + TV)</t>
        </is>
      </c>
      <c r="B132" s="8" t="inlineStr">
        <is>
          <t>SB3.fcf_tv</t>
        </is>
      </c>
      <c r="C132" s="9" t="inlineStr">
        <is>
          <t>میلیون ریال</t>
        </is>
      </c>
      <c r="D132" s="14">
        <f>'ENG_SCEN'!$D$123+'ENG_SCEN'!$D$130</f>
        <v/>
      </c>
      <c r="E132" s="14">
        <f>'ENG_SCEN'!$E$123+'ENG_SCEN'!$E$130</f>
        <v/>
      </c>
      <c r="F132" s="14">
        <f>'ENG_SCEN'!$F$123+'ENG_SCEN'!$F$130</f>
        <v/>
      </c>
      <c r="G132" s="14">
        <f>'ENG_SCEN'!$G$123+'ENG_SCEN'!$G$130</f>
        <v/>
      </c>
      <c r="H132" s="14">
        <f>'ENG_SCEN'!$H$123+'ENG_SCEN'!$H$130</f>
        <v/>
      </c>
      <c r="I132" s="14">
        <f>'ENG_SCEN'!$I$123+'ENG_SCEN'!$I$130</f>
        <v/>
      </c>
      <c r="J132" s="14">
        <f>'ENG_SCEN'!$J$123+'ENG_SCEN'!$J$130</f>
        <v/>
      </c>
      <c r="K132" s="14">
        <f>'ENG_SCEN'!$K$123+'ENG_SCEN'!$K$130</f>
        <v/>
      </c>
      <c r="L132" s="14">
        <f>'ENG_SCEN'!$L$123+'ENG_SCEN'!$L$130</f>
        <v/>
      </c>
      <c r="M132" s="14">
        <f>'ENG_SCEN'!$M$123+'ENG_SCEN'!$M$130</f>
        <v/>
      </c>
      <c r="N132" s="14">
        <f>'ENG_SCEN'!$N$123+'ENG_SCEN'!$N$130</f>
        <v/>
      </c>
      <c r="O132" s="14">
        <f>'ENG_SCEN'!$O$123+'ENG_SCEN'!$O$130</f>
        <v/>
      </c>
      <c r="P132" s="14">
        <f>'ENG_SCEN'!$P$123+'ENG_SCEN'!$P$130</f>
        <v/>
      </c>
    </row>
    <row r="133">
      <c r="A133" t="inlineStr">
        <is>
          <t>[3] CFADS</t>
        </is>
      </c>
      <c r="B133" s="8" t="inlineStr">
        <is>
          <t>SB3.cfads</t>
        </is>
      </c>
      <c r="C133" s="9" t="inlineStr">
        <is>
          <t>میلیون ریال</t>
        </is>
      </c>
      <c r="D133" s="14">
        <f>'ENG_SCEN'!$D$117-MAX(0,'ENG_SCEN'!$D$118-(@@ENG_FCF|FCF.int_lt|0@@*('IN_FIN'!$D$25+'IN_SCEN'!$F$21)/('IN_FIN'!$D$25+'ENG_SCEN'!$G$19)+@@ENG_FCF|FCF.fees|0@@+@@ENG_FCF|FCF.int_st|0@@-@@ENG_FCF|FCF.int_inc|0@@))*'IN_MACRO'!$D$14-'ENG_SCEN'!$D$122</f>
        <v/>
      </c>
      <c r="E133" s="14">
        <f>'ENG_SCEN'!$E$117-MAX(0,'ENG_SCEN'!$E$118-(@@ENG_FCF|FCF.int_lt|1@@*('IN_FIN'!$D$25+'IN_SCEN'!$F$21)/('IN_FIN'!$D$25+'ENG_SCEN'!$G$19)+@@ENG_FCF|FCF.fees|1@@+@@ENG_FCF|FCF.int_st|1@@-@@ENG_FCF|FCF.int_inc|1@@))*'IN_MACRO'!$D$14-'ENG_SCEN'!$E$122</f>
        <v/>
      </c>
      <c r="F133" s="14">
        <f>'ENG_SCEN'!$F$117-MAX(0,'ENG_SCEN'!$F$118-(@@ENG_FCF|FCF.int_lt|2@@*('IN_FIN'!$D$25+'IN_SCEN'!$F$21)/('IN_FIN'!$D$25+'ENG_SCEN'!$G$19)+@@ENG_FCF|FCF.fees|2@@+@@ENG_FCF|FCF.int_st|2@@-@@ENG_FCF|FCF.int_inc|2@@))*'IN_MACRO'!$D$14-'ENG_SCEN'!$F$122</f>
        <v/>
      </c>
      <c r="G133" s="14">
        <f>'ENG_SCEN'!$G$117-MAX(0,'ENG_SCEN'!$G$118-(@@ENG_FCF|FCF.int_lt|3@@*('IN_FIN'!$D$25+'IN_SCEN'!$F$21)/('IN_FIN'!$D$25+'ENG_SCEN'!$G$19)+@@ENG_FCF|FCF.fees|3@@+@@ENG_FCF|FCF.int_st|3@@-@@ENG_FCF|FCF.int_inc|3@@))*'IN_MACRO'!$D$14-'ENG_SCEN'!$G$122</f>
        <v/>
      </c>
      <c r="H133" s="14">
        <f>'ENG_SCEN'!$H$117-MAX(0,'ENG_SCEN'!$H$118-(@@ENG_FCF|FCF.int_lt|4@@*('IN_FIN'!$D$25+'IN_SCEN'!$F$21)/('IN_FIN'!$D$25+'ENG_SCEN'!$G$19)+@@ENG_FCF|FCF.fees|4@@+@@ENG_FCF|FCF.int_st|4@@-@@ENG_FCF|FCF.int_inc|4@@))*'IN_MACRO'!$D$14-'ENG_SCEN'!$H$122</f>
        <v/>
      </c>
      <c r="I133" s="14">
        <f>'ENG_SCEN'!$I$117-MAX(0,'ENG_SCEN'!$I$118-(@@ENG_FCF|FCF.int_lt|5@@*('IN_FIN'!$D$25+'IN_SCEN'!$F$21)/('IN_FIN'!$D$25+'ENG_SCEN'!$G$19)+@@ENG_FCF|FCF.fees|5@@+@@ENG_FCF|FCF.int_st|5@@-@@ENG_FCF|FCF.int_inc|5@@))*'IN_MACRO'!$D$14-'ENG_SCEN'!$I$122</f>
        <v/>
      </c>
      <c r="J133" s="14">
        <f>'ENG_SCEN'!$J$117-MAX(0,'ENG_SCEN'!$J$118-(@@ENG_FCF|FCF.int_lt|6@@*('IN_FIN'!$D$25+'IN_SCEN'!$F$21)/('IN_FIN'!$D$25+'ENG_SCEN'!$G$19)+@@ENG_FCF|FCF.fees|6@@+@@ENG_FCF|FCF.int_st|6@@-@@ENG_FCF|FCF.int_inc|6@@))*'IN_MACRO'!$D$14-'ENG_SCEN'!$J$122</f>
        <v/>
      </c>
      <c r="K133" s="14">
        <f>'ENG_SCEN'!$K$117-MAX(0,'ENG_SCEN'!$K$118-(@@ENG_FCF|FCF.int_lt|7@@*('IN_FIN'!$D$25+'IN_SCEN'!$F$21)/('IN_FIN'!$D$25+'ENG_SCEN'!$G$19)+@@ENG_FCF|FCF.fees|7@@+@@ENG_FCF|FCF.int_st|7@@-@@ENG_FCF|FCF.int_inc|7@@))*'IN_MACRO'!$D$14-'ENG_SCEN'!$K$122</f>
        <v/>
      </c>
      <c r="L133" s="14">
        <f>'ENG_SCEN'!$L$117-MAX(0,'ENG_SCEN'!$L$118-(@@ENG_FCF|FCF.int_lt|8@@*('IN_FIN'!$D$25+'IN_SCEN'!$F$21)/('IN_FIN'!$D$25+'ENG_SCEN'!$G$19)+@@ENG_FCF|FCF.fees|8@@+@@ENG_FCF|FCF.int_st|8@@-@@ENG_FCF|FCF.int_inc|8@@))*'IN_MACRO'!$D$14-'ENG_SCEN'!$L$122</f>
        <v/>
      </c>
      <c r="M133" s="14">
        <f>'ENG_SCEN'!$M$117-MAX(0,'ENG_SCEN'!$M$118-(@@ENG_FCF|FCF.int_lt|9@@*('IN_FIN'!$D$25+'IN_SCEN'!$F$21)/('IN_FIN'!$D$25+'ENG_SCEN'!$G$19)+@@ENG_FCF|FCF.fees|9@@+@@ENG_FCF|FCF.int_st|9@@-@@ENG_FCF|FCF.int_inc|9@@))*'IN_MACRO'!$D$14-'ENG_SCEN'!$M$122</f>
        <v/>
      </c>
      <c r="N133" s="14">
        <f>'ENG_SCEN'!$N$117-MAX(0,'ENG_SCEN'!$N$118-(@@ENG_FCF|FCF.int_lt|10@@*('IN_FIN'!$D$25+'IN_SCEN'!$F$21)/('IN_FIN'!$D$25+'ENG_SCEN'!$G$19)+@@ENG_FCF|FCF.fees|10@@+@@ENG_FCF|FCF.int_st|10@@-@@ENG_FCF|FCF.int_inc|10@@))*'IN_MACRO'!$D$14-'ENG_SCEN'!$N$122</f>
        <v/>
      </c>
      <c r="O133" s="14">
        <f>'ENG_SCEN'!$O$117-MAX(0,'ENG_SCEN'!$O$118-(@@ENG_FCF|FCF.int_lt|11@@*('IN_FIN'!$D$25+'IN_SCEN'!$F$21)/('IN_FIN'!$D$25+'ENG_SCEN'!$G$19)+@@ENG_FCF|FCF.fees|11@@+@@ENG_FCF|FCF.int_st|11@@-@@ENG_FCF|FCF.int_inc|11@@))*'IN_MACRO'!$D$14-'ENG_SCEN'!$O$122</f>
        <v/>
      </c>
      <c r="P133" s="14">
        <f>'ENG_SCEN'!$P$117-MAX(0,'ENG_SCEN'!$P$118-(@@ENG_FCF|FCF.int_lt|12@@*('IN_FIN'!$D$25+'IN_SCEN'!$F$21)/('IN_FIN'!$D$25+'ENG_SCEN'!$G$19)+@@ENG_FCF|FCF.fees|12@@+@@ENG_FCF|FCF.int_st|12@@-@@ENG_FCF|FCF.int_inc|12@@))*'IN_MACRO'!$D$14-'ENG_SCEN'!$P$122</f>
        <v/>
      </c>
    </row>
    <row r="134">
      <c r="A134" t="inlineStr">
        <is>
          <t>[3] خدمت دین</t>
        </is>
      </c>
      <c r="B134" s="8" t="inlineStr">
        <is>
          <t>SB3.debt_service</t>
        </is>
      </c>
      <c r="C134" s="9" t="inlineStr">
        <is>
          <t>میلیون ریال</t>
        </is>
      </c>
      <c r="D134" s="14">
        <f>@@ENG_FCF|FCF.principal|0@@+@@ENG_FCF|FCF.int_lt|0@@*('IN_FIN'!$D$25+'IN_SCEN'!$F$21)/('IN_FIN'!$D$25+'ENG_SCEN'!$G$19)+@@ENG_FCF|FCF.fees|0@@+@@ENG_FCF|FCF.int_st|0@@</f>
        <v/>
      </c>
      <c r="E134" s="14">
        <f>@@ENG_FCF|FCF.principal|1@@+@@ENG_FCF|FCF.int_lt|1@@*('IN_FIN'!$D$25+'IN_SCEN'!$F$21)/('IN_FIN'!$D$25+'ENG_SCEN'!$G$19)+@@ENG_FCF|FCF.fees|1@@+@@ENG_FCF|FCF.int_st|1@@</f>
        <v/>
      </c>
      <c r="F134" s="14">
        <f>@@ENG_FCF|FCF.principal|2@@+@@ENG_FCF|FCF.int_lt|2@@*('IN_FIN'!$D$25+'IN_SCEN'!$F$21)/('IN_FIN'!$D$25+'ENG_SCEN'!$G$19)+@@ENG_FCF|FCF.fees|2@@+@@ENG_FCF|FCF.int_st|2@@</f>
        <v/>
      </c>
      <c r="G134" s="14">
        <f>@@ENG_FCF|FCF.principal|3@@+@@ENG_FCF|FCF.int_lt|3@@*('IN_FIN'!$D$25+'IN_SCEN'!$F$21)/('IN_FIN'!$D$25+'ENG_SCEN'!$G$19)+@@ENG_FCF|FCF.fees|3@@+@@ENG_FCF|FCF.int_st|3@@</f>
        <v/>
      </c>
      <c r="H134" s="14">
        <f>@@ENG_FCF|FCF.principal|4@@+@@ENG_FCF|FCF.int_lt|4@@*('IN_FIN'!$D$25+'IN_SCEN'!$F$21)/('IN_FIN'!$D$25+'ENG_SCEN'!$G$19)+@@ENG_FCF|FCF.fees|4@@+@@ENG_FCF|FCF.int_st|4@@</f>
        <v/>
      </c>
      <c r="I134" s="14">
        <f>@@ENG_FCF|FCF.principal|5@@+@@ENG_FCF|FCF.int_lt|5@@*('IN_FIN'!$D$25+'IN_SCEN'!$F$21)/('IN_FIN'!$D$25+'ENG_SCEN'!$G$19)+@@ENG_FCF|FCF.fees|5@@+@@ENG_FCF|FCF.int_st|5@@</f>
        <v/>
      </c>
      <c r="J134" s="14">
        <f>@@ENG_FCF|FCF.principal|6@@+@@ENG_FCF|FCF.int_lt|6@@*('IN_FIN'!$D$25+'IN_SCEN'!$F$21)/('IN_FIN'!$D$25+'ENG_SCEN'!$G$19)+@@ENG_FCF|FCF.fees|6@@+@@ENG_FCF|FCF.int_st|6@@</f>
        <v/>
      </c>
      <c r="K134" s="14">
        <f>@@ENG_FCF|FCF.principal|7@@+@@ENG_FCF|FCF.int_lt|7@@*('IN_FIN'!$D$25+'IN_SCEN'!$F$21)/('IN_FIN'!$D$25+'ENG_SCEN'!$G$19)+@@ENG_FCF|FCF.fees|7@@+@@ENG_FCF|FCF.int_st|7@@</f>
        <v/>
      </c>
      <c r="L134" s="14">
        <f>@@ENG_FCF|FCF.principal|8@@+@@ENG_FCF|FCF.int_lt|8@@*('IN_FIN'!$D$25+'IN_SCEN'!$F$21)/('IN_FIN'!$D$25+'ENG_SCEN'!$G$19)+@@ENG_FCF|FCF.fees|8@@+@@ENG_FCF|FCF.int_st|8@@</f>
        <v/>
      </c>
      <c r="M134" s="14">
        <f>@@ENG_FCF|FCF.principal|9@@+@@ENG_FCF|FCF.int_lt|9@@*('IN_FIN'!$D$25+'IN_SCEN'!$F$21)/('IN_FIN'!$D$25+'ENG_SCEN'!$G$19)+@@ENG_FCF|FCF.fees|9@@+@@ENG_FCF|FCF.int_st|9@@</f>
        <v/>
      </c>
      <c r="N134" s="14">
        <f>@@ENG_FCF|FCF.principal|10@@+@@ENG_FCF|FCF.int_lt|10@@*('IN_FIN'!$D$25+'IN_SCEN'!$F$21)/('IN_FIN'!$D$25+'ENG_SCEN'!$G$19)+@@ENG_FCF|FCF.fees|10@@+@@ENG_FCF|FCF.int_st|10@@</f>
        <v/>
      </c>
      <c r="O134" s="14">
        <f>@@ENG_FCF|FCF.principal|11@@+@@ENG_FCF|FCF.int_lt|11@@*('IN_FIN'!$D$25+'IN_SCEN'!$F$21)/('IN_FIN'!$D$25+'ENG_SCEN'!$G$19)+@@ENG_FCF|FCF.fees|11@@+@@ENG_FCF|FCF.int_st|11@@</f>
        <v/>
      </c>
      <c r="P134" s="14">
        <f>@@ENG_FCF|FCF.principal|12@@+@@ENG_FCF|FCF.int_lt|12@@*('IN_FIN'!$D$25+'IN_SCEN'!$F$21)/('IN_FIN'!$D$25+'ENG_SCEN'!$G$19)+@@ENG_FCF|FCF.fees|12@@+@@ENG_FCF|FCF.int_st|12@@</f>
        <v/>
      </c>
    </row>
    <row r="135">
      <c r="A135" t="inlineStr">
        <is>
          <t>[3] DSCR</t>
        </is>
      </c>
      <c r="B135" s="8" t="inlineStr">
        <is>
          <t>SB3.dscr</t>
        </is>
      </c>
      <c r="C135" s="9" t="inlineStr">
        <is>
          <t>ضریب</t>
        </is>
      </c>
      <c r="D135" s="12">
        <f>IFERROR('ENG_SCEN'!$D$133/'ENG_SCEN'!$D$134,"─")</f>
        <v/>
      </c>
      <c r="E135" s="12">
        <f>IFERROR('ENG_SCEN'!$E$133/'ENG_SCEN'!$E$134,"─")</f>
        <v/>
      </c>
      <c r="F135" s="12">
        <f>IFERROR('ENG_SCEN'!$F$133/'ENG_SCEN'!$F$134,"─")</f>
        <v/>
      </c>
      <c r="G135" s="12">
        <f>IFERROR('ENG_SCEN'!$G$133/'ENG_SCEN'!$G$134,"─")</f>
        <v/>
      </c>
      <c r="H135" s="12">
        <f>IFERROR('ENG_SCEN'!$H$133/'ENG_SCEN'!$H$134,"─")</f>
        <v/>
      </c>
      <c r="I135" s="12">
        <f>IFERROR('ENG_SCEN'!$I$133/'ENG_SCEN'!$I$134,"─")</f>
        <v/>
      </c>
      <c r="J135" s="12">
        <f>IFERROR('ENG_SCEN'!$J$133/'ENG_SCEN'!$J$134,"─")</f>
        <v/>
      </c>
      <c r="K135" s="12">
        <f>IFERROR('ENG_SCEN'!$K$133/'ENG_SCEN'!$K$134,"─")</f>
        <v/>
      </c>
      <c r="L135" s="12">
        <f>IFERROR('ENG_SCEN'!$L$133/'ENG_SCEN'!$L$134,"─")</f>
        <v/>
      </c>
      <c r="M135" s="12">
        <f>IFERROR('ENG_SCEN'!$M$133/'ENG_SCEN'!$M$134,"─")</f>
        <v/>
      </c>
      <c r="N135" s="12">
        <f>IFERROR('ENG_SCEN'!$N$133/'ENG_SCEN'!$N$134,"─")</f>
        <v/>
      </c>
      <c r="O135" s="12">
        <f>IFERROR('ENG_SCEN'!$O$133/'ENG_SCEN'!$O$134,"─")</f>
        <v/>
      </c>
      <c r="P135" s="12">
        <f>IFERROR('ENG_SCEN'!$P$133/'ENG_SCEN'!$P$134,"─")</f>
        <v/>
      </c>
    </row>
    <row r="136">
      <c r="A136" t="inlineStr">
        <is>
          <t>[3] ارزش فعلی خالص (NPV)</t>
        </is>
      </c>
      <c r="C136" s="9" t="inlineStr">
        <is>
          <t>میلیون ریال</t>
        </is>
      </c>
      <c r="D136" s="14">
        <f>SUM('ENG_SCEN'!$D$128:$P$128)+SUM('ENG_SCEN'!$D$131:$P$131)</f>
        <v/>
      </c>
      <c r="E136" s="14" t="n"/>
      <c r="F136" s="14" t="n"/>
      <c r="G136" s="14" t="n"/>
      <c r="H136" s="14" t="n"/>
      <c r="I136" s="14" t="n"/>
      <c r="J136" s="14" t="n"/>
      <c r="K136" s="14" t="n"/>
      <c r="L136" s="14" t="n"/>
      <c r="M136" s="14" t="n"/>
      <c r="N136" s="14" t="n"/>
      <c r="O136" s="14" t="n"/>
      <c r="P136" s="14" t="n"/>
    </row>
    <row r="137">
      <c r="A137" t="inlineStr">
        <is>
          <t>[3] IRR پروژه</t>
        </is>
      </c>
      <c r="C137" s="9" t="inlineStr">
        <is>
          <t>درصد</t>
        </is>
      </c>
      <c r="D137" s="11">
        <f>IFERROR(IRR('ENG_SCEN'!$D$132:$P$132),NA())</f>
        <v/>
      </c>
      <c r="E137" s="11" t="n"/>
      <c r="F137" s="11" t="n"/>
      <c r="G137" s="11" t="n"/>
      <c r="H137" s="11" t="n"/>
      <c r="I137" s="11" t="n"/>
      <c r="J137" s="11" t="n"/>
      <c r="K137" s="11" t="n"/>
      <c r="L137" s="11" t="n"/>
      <c r="M137" s="11" t="n"/>
      <c r="N137" s="11" t="n"/>
      <c r="O137" s="11" t="n"/>
      <c r="P137" s="11" t="n"/>
    </row>
    <row r="138">
      <c r="A138" t="inlineStr">
        <is>
          <t>[3] دوره بازپرداشت (سال)</t>
        </is>
      </c>
      <c r="C138" s="9" t="inlineStr">
        <is>
          <t>سال</t>
        </is>
      </c>
      <c r="D138" s="13">
        <f>IF(COUNTIF('ENG_SCEN'!$D$125:$P$125,"&lt;0")=0,0,IF(COUNTIF('ENG_SCEN'!$D$125:$P$125,"&lt;0")&gt;=13,NA(),INDEX('IN_MACRO'!$D$23:$P$23,COUNTIF('ENG_SCEN'!$D$125:$P$125,"&lt;0"))+(0-INDEX('ENG_SCEN'!$D$125:$P$125,COUNTIF('ENG_SCEN'!$D$125:$P$125,"&lt;0")))/(INDEX('ENG_SCEN'!$D$125:$P$125,COUNTIF('ENG_SCEN'!$D$125:$P$125,"&lt;0")+1)-INDEX('ENG_SCEN'!$D$125:$P$125,COUNTIF('ENG_SCEN'!$D$125:$P$125,"&lt;0")))))</f>
        <v/>
      </c>
      <c r="E138" s="13" t="n"/>
      <c r="F138" s="13" t="n"/>
      <c r="G138" s="13" t="n"/>
      <c r="H138" s="13" t="n"/>
      <c r="I138" s="13" t="n"/>
      <c r="J138" s="13" t="n"/>
      <c r="K138" s="13" t="n"/>
      <c r="L138" s="13" t="n"/>
      <c r="M138" s="13" t="n"/>
      <c r="N138" s="13" t="n"/>
      <c r="O138" s="13" t="n"/>
      <c r="P138" s="13" t="n"/>
    </row>
    <row r="139">
      <c r="A139" t="inlineStr">
        <is>
          <t>[3] شاخص سودآوری</t>
        </is>
      </c>
      <c r="C139" s="9" t="inlineStr">
        <is>
          <t>ضریب</t>
        </is>
      </c>
      <c r="D139" s="12">
        <f>IFERROR((SUMIF('ENG_SCEN'!$D$128:$P$128,"&gt;0")+SUM('ENG_SCEN'!$D$131:$P$131))/ABS(SUMIF('ENG_SCEN'!$D$128:$P$128,"&lt;0")),NA())</f>
        <v/>
      </c>
      <c r="E139" s="12" t="n"/>
      <c r="F139" s="12" t="n"/>
      <c r="G139" s="12" t="n"/>
      <c r="H139" s="12" t="n"/>
      <c r="I139" s="12" t="n"/>
      <c r="J139" s="12" t="n"/>
      <c r="K139" s="12" t="n"/>
      <c r="L139" s="12" t="n"/>
      <c r="M139" s="12" t="n"/>
      <c r="N139" s="12" t="n"/>
      <c r="O139" s="12" t="n"/>
      <c r="P139" s="12" t="n"/>
    </row>
    <row r="140">
      <c r="A140" t="inlineStr">
        <is>
          <t>[3] حداقل DSCR</t>
        </is>
      </c>
      <c r="C140" s="9" t="inlineStr">
        <is>
          <t>ضریب</t>
        </is>
      </c>
      <c r="D140" s="12">
        <f>IFERROR(IF(COUNT('ENG_SCEN'!$D$135:$P$135)=0,NA(),MIN('ENG_SCEN'!$D$135:$P$135)),NA())</f>
        <v/>
      </c>
      <c r="E140" s="12" t="n"/>
      <c r="F140" s="12" t="n"/>
      <c r="G140" s="12" t="n"/>
      <c r="H140" s="12" t="n"/>
      <c r="I140" s="12" t="n"/>
      <c r="J140" s="12" t="n"/>
      <c r="K140" s="12" t="n"/>
      <c r="L140" s="12" t="n"/>
      <c r="M140" s="12" t="n"/>
      <c r="N140" s="12" t="n"/>
      <c r="O140" s="12" t="n"/>
      <c r="P140" s="12" t="n"/>
    </row>
    <row r="141">
      <c r="A141" t="inlineStr">
        <is>
          <t>[3] میانگین DSCR دوره بازپرداخت</t>
        </is>
      </c>
      <c r="C141" s="9" t="inlineStr">
        <is>
          <t>ضریب</t>
        </is>
      </c>
      <c r="D141" s="12">
        <f>IFERROR(AVERAGEIF('ENG_SCEN'!$D$134:$P$134,"&gt;0",'ENG_SCEN'!$D$135:$P$135),NA())</f>
        <v/>
      </c>
      <c r="E141" s="12" t="n"/>
      <c r="F141" s="12" t="n"/>
      <c r="G141" s="12" t="n"/>
      <c r="H141" s="12" t="n"/>
      <c r="I141" s="12" t="n"/>
      <c r="J141" s="12" t="n"/>
      <c r="K141" s="12" t="n"/>
      <c r="L141" s="12" t="n"/>
      <c r="M141" s="12" t="n"/>
      <c r="N141" s="12" t="n"/>
      <c r="O141" s="12" t="n"/>
      <c r="P141" s="12" t="n"/>
    </row>
  </sheetData>
  <pageMargins left="0.75" right="0.75" top="1" bottom="1" header="0.5" footer="0.5"/>
</worksheet>
</file>

<file path=xl/worksheets/sheet9.xml><?xml version="1.0" encoding="utf-8"?>
<worksheet xmlns="http://schemas.openxmlformats.org/spreadsheetml/2006/main">
  <sheetPr>
    <tabColor rgb="00A6A6A6"/>
    <outlinePr summaryBelow="1" summaryRight="1"/>
    <pageSetUpPr/>
  </sheetPr>
  <dimension ref="A1:P84"/>
  <sheetViews>
    <sheetView rightToLeft="1" workbookViewId="0">
      <pane xSplit="3" ySplit="6" topLeftCell="D7"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موتور محاسبات عملیاتی</t>
        </is>
      </c>
      <c r="B1" s="2" t="inlineStr">
        <is>
          <t>موتور محاسبات</t>
        </is>
      </c>
    </row>
    <row r="2">
      <c r="A2" s="3" t="inlineStr">
        <is>
          <t>تبدیل ورودی‌های فنی ایستگاه‌ها به ظرفیت، جریان مواد، محصول قابل فروش و درآمد.</t>
        </is>
      </c>
    </row>
    <row r="3"/>
    <row r="4"/>
    <row r="5"/>
    <row r="6"/>
    <row r="7">
      <c r="A7" s="4" t="inlineStr">
        <is>
          <t>دوره (t)</t>
        </is>
      </c>
      <c r="D7" s="5">
        <f>'IN_MACRO'!D$23</f>
        <v/>
      </c>
      <c r="E7" s="5">
        <f>'IN_MACRO'!E$23</f>
        <v/>
      </c>
      <c r="F7" s="5">
        <f>'IN_MACRO'!F$23</f>
        <v/>
      </c>
      <c r="G7" s="5">
        <f>'IN_MACRO'!G$23</f>
        <v/>
      </c>
      <c r="H7" s="5">
        <f>'IN_MACRO'!H$23</f>
        <v/>
      </c>
      <c r="I7" s="5">
        <f>'IN_MACRO'!I$23</f>
        <v/>
      </c>
      <c r="J7" s="5">
        <f>'IN_MACRO'!J$23</f>
        <v/>
      </c>
      <c r="K7" s="5">
        <f>'IN_MACRO'!K$23</f>
        <v/>
      </c>
      <c r="L7" s="5">
        <f>'IN_MACRO'!L$23</f>
        <v/>
      </c>
      <c r="M7" s="5">
        <f>'IN_MACRO'!M$23</f>
        <v/>
      </c>
      <c r="N7" s="5">
        <f>'IN_MACRO'!N$23</f>
        <v/>
      </c>
      <c r="O7" s="5">
        <f>'IN_MACRO'!O$23</f>
        <v/>
      </c>
      <c r="P7" s="5">
        <f>'IN_MACRO'!P$23</f>
        <v/>
      </c>
    </row>
    <row r="8">
      <c r="A8" s="4" t="inlineStr">
        <is>
          <t>سال تقویمی</t>
        </is>
      </c>
      <c r="D8" s="5">
        <f>'IN_MACRO'!D$24</f>
        <v/>
      </c>
      <c r="E8" s="5">
        <f>'IN_MACRO'!E$24</f>
        <v/>
      </c>
      <c r="F8" s="5">
        <f>'IN_MACRO'!F$24</f>
        <v/>
      </c>
      <c r="G8" s="5">
        <f>'IN_MACRO'!G$24</f>
        <v/>
      </c>
      <c r="H8" s="5">
        <f>'IN_MACRO'!H$24</f>
        <v/>
      </c>
      <c r="I8" s="5">
        <f>'IN_MACRO'!I$24</f>
        <v/>
      </c>
      <c r="J8" s="5">
        <f>'IN_MACRO'!J$24</f>
        <v/>
      </c>
      <c r="K8" s="5">
        <f>'IN_MACRO'!K$24</f>
        <v/>
      </c>
      <c r="L8" s="5">
        <f>'IN_MACRO'!L$24</f>
        <v/>
      </c>
      <c r="M8" s="5">
        <f>'IN_MACRO'!M$24</f>
        <v/>
      </c>
      <c r="N8" s="5">
        <f>'IN_MACRO'!N$24</f>
        <v/>
      </c>
      <c r="O8" s="5">
        <f>'IN_MACRO'!O$24</f>
        <v/>
      </c>
      <c r="P8" s="5">
        <f>'IN_MACRO'!P$24</f>
        <v/>
      </c>
    </row>
    <row r="9">
      <c r="A9" s="6" t="inlineStr">
        <is>
          <t>الف) ظرفیت و بارگذاری</t>
        </is>
      </c>
      <c r="B9" s="7" t="n"/>
      <c r="C9" s="7" t="n"/>
      <c r="D9" s="7" t="n"/>
      <c r="E9" s="7" t="n"/>
      <c r="F9" s="7" t="n"/>
      <c r="G9" s="7" t="n"/>
      <c r="H9" s="7" t="n"/>
      <c r="I9" s="7" t="n"/>
      <c r="J9" s="7" t="n"/>
      <c r="K9" s="7" t="n"/>
      <c r="L9" s="7" t="n"/>
      <c r="M9" s="7" t="n"/>
      <c r="N9" s="7" t="n"/>
      <c r="O9" s="7" t="n"/>
      <c r="P9" s="7" t="n"/>
    </row>
    <row r="10">
      <c r="A10" t="inlineStr">
        <is>
          <t>ضریب دستیابی به ظرفیت (Ramp)</t>
        </is>
      </c>
      <c r="B10" s="8" t="inlineStr">
        <is>
          <t>OPS.ramp</t>
        </is>
      </c>
      <c r="C10" s="9" t="inlineStr">
        <is>
          <t>درصد</t>
        </is>
      </c>
      <c r="D10" s="11">
        <f>'IN_TECH'!$D$59*'IN_MACRO'!$D$34</f>
        <v/>
      </c>
      <c r="E10" s="11">
        <f>'IN_TECH'!$E$59*'IN_MACRO'!$E$34</f>
        <v/>
      </c>
      <c r="F10" s="11">
        <f>'IN_TECH'!$F$59*'IN_MACRO'!$F$34</f>
        <v/>
      </c>
      <c r="G10" s="11">
        <f>'IN_TECH'!$G$59*'IN_MACRO'!$G$34</f>
        <v/>
      </c>
      <c r="H10" s="11">
        <f>'IN_TECH'!$H$59*'IN_MACRO'!$H$34</f>
        <v/>
      </c>
      <c r="I10" s="11">
        <f>'IN_TECH'!$I$59*'IN_MACRO'!$I$34</f>
        <v/>
      </c>
      <c r="J10" s="11">
        <f>'IN_TECH'!$J$59*'IN_MACRO'!$J$34</f>
        <v/>
      </c>
      <c r="K10" s="11">
        <f>'IN_TECH'!$K$59*'IN_MACRO'!$K$34</f>
        <v/>
      </c>
      <c r="L10" s="11">
        <f>'IN_TECH'!$L$59*'IN_MACRO'!$L$34</f>
        <v/>
      </c>
      <c r="M10" s="11">
        <f>'IN_TECH'!$M$59*'IN_MACRO'!$M$34</f>
        <v/>
      </c>
      <c r="N10" s="11">
        <f>'IN_TECH'!$N$59*'IN_MACRO'!$N$34</f>
        <v/>
      </c>
      <c r="O10" s="11">
        <f>'IN_TECH'!$O$59*'IN_MACRO'!$O$34</f>
        <v/>
      </c>
      <c r="P10" s="11">
        <f>'IN_TECH'!$P$59*'IN_MACRO'!$P$34</f>
        <v/>
      </c>
    </row>
    <row r="11">
      <c r="A11" t="inlineStr">
        <is>
          <t>نرخ دسترسی کل خط (کمینهٔ ایستگاه‌ها)</t>
        </is>
      </c>
      <c r="B11" s="8" t="inlineStr">
        <is>
          <t>OPS.avail</t>
        </is>
      </c>
      <c r="C11" s="9" t="inlineStr">
        <is>
          <t>درصد</t>
        </is>
      </c>
      <c r="D11" s="11">
        <f>MIN('IN_TECH'!$D$38,'IN_TECH'!$E$38,'IN_TECH'!$F$38,'IN_TECH'!$G$38,'IN_TECH'!$H$38,'IN_TECH'!$I$38)</f>
        <v/>
      </c>
      <c r="E11" s="11">
        <f>MIN('IN_TECH'!$D$38,'IN_TECH'!$E$38,'IN_TECH'!$F$38,'IN_TECH'!$G$38,'IN_TECH'!$H$38,'IN_TECH'!$I$38)</f>
        <v/>
      </c>
      <c r="F11" s="11">
        <f>MIN('IN_TECH'!$D$38,'IN_TECH'!$E$38,'IN_TECH'!$F$38,'IN_TECH'!$G$38,'IN_TECH'!$H$38,'IN_TECH'!$I$38)</f>
        <v/>
      </c>
      <c r="G11" s="11">
        <f>MIN('IN_TECH'!$D$38,'IN_TECH'!$E$38,'IN_TECH'!$F$38,'IN_TECH'!$G$38,'IN_TECH'!$H$38,'IN_TECH'!$I$38)</f>
        <v/>
      </c>
      <c r="H11" s="11">
        <f>MIN('IN_TECH'!$D$38,'IN_TECH'!$E$38,'IN_TECH'!$F$38,'IN_TECH'!$G$38,'IN_TECH'!$H$38,'IN_TECH'!$I$38)</f>
        <v/>
      </c>
      <c r="I11" s="11">
        <f>MIN('IN_TECH'!$D$38,'IN_TECH'!$E$38,'IN_TECH'!$F$38,'IN_TECH'!$G$38,'IN_TECH'!$H$38,'IN_TECH'!$I$38)</f>
        <v/>
      </c>
      <c r="J11" s="11">
        <f>MIN('IN_TECH'!$D$38,'IN_TECH'!$E$38,'IN_TECH'!$F$38,'IN_TECH'!$G$38,'IN_TECH'!$H$38,'IN_TECH'!$I$38)</f>
        <v/>
      </c>
      <c r="K11" s="11">
        <f>MIN('IN_TECH'!$D$38,'IN_TECH'!$E$38,'IN_TECH'!$F$38,'IN_TECH'!$G$38,'IN_TECH'!$H$38,'IN_TECH'!$I$38)</f>
        <v/>
      </c>
      <c r="L11" s="11">
        <f>MIN('IN_TECH'!$D$38,'IN_TECH'!$E$38,'IN_TECH'!$F$38,'IN_TECH'!$G$38,'IN_TECH'!$H$38,'IN_TECH'!$I$38)</f>
        <v/>
      </c>
      <c r="M11" s="11">
        <f>MIN('IN_TECH'!$D$38,'IN_TECH'!$E$38,'IN_TECH'!$F$38,'IN_TECH'!$G$38,'IN_TECH'!$H$38,'IN_TECH'!$I$38)</f>
        <v/>
      </c>
      <c r="N11" s="11">
        <f>MIN('IN_TECH'!$D$38,'IN_TECH'!$E$38,'IN_TECH'!$F$38,'IN_TECH'!$G$38,'IN_TECH'!$H$38,'IN_TECH'!$I$38)</f>
        <v/>
      </c>
      <c r="O11" s="11">
        <f>MIN('IN_TECH'!$D$38,'IN_TECH'!$E$38,'IN_TECH'!$F$38,'IN_TECH'!$G$38,'IN_TECH'!$H$38,'IN_TECH'!$I$38)</f>
        <v/>
      </c>
      <c r="P11" s="11">
        <f>MIN('IN_TECH'!$D$38,'IN_TECH'!$E$38,'IN_TECH'!$F$38,'IN_TECH'!$G$38,'IN_TECH'!$H$38,'IN_TECH'!$I$38)</f>
        <v/>
      </c>
    </row>
    <row r="12">
      <c r="A12" t="inlineStr">
        <is>
          <t>ضریب بهره‌برداری مؤثر</t>
        </is>
      </c>
      <c r="B12" s="8" t="inlineStr">
        <is>
          <t>OPS.util</t>
        </is>
      </c>
      <c r="C12" s="9" t="inlineStr">
        <is>
          <t>درصد</t>
        </is>
      </c>
      <c r="D12" s="11">
        <f>'ENG_OPS'!$D$10*'ENG_OPS'!$D$11*'ENG_SCEN'!$G$11</f>
        <v/>
      </c>
      <c r="E12" s="11">
        <f>'ENG_OPS'!$E$10*'ENG_OPS'!$E$11*'ENG_SCEN'!$G$11</f>
        <v/>
      </c>
      <c r="F12" s="11">
        <f>'ENG_OPS'!$F$10*'ENG_OPS'!$F$11*'ENG_SCEN'!$G$11</f>
        <v/>
      </c>
      <c r="G12" s="11">
        <f>'ENG_OPS'!$G$10*'ENG_OPS'!$G$11*'ENG_SCEN'!$G$11</f>
        <v/>
      </c>
      <c r="H12" s="11">
        <f>'ENG_OPS'!$H$10*'ENG_OPS'!$H$11*'ENG_SCEN'!$G$11</f>
        <v/>
      </c>
      <c r="I12" s="11">
        <f>'ENG_OPS'!$I$10*'ENG_OPS'!$I$11*'ENG_SCEN'!$G$11</f>
        <v/>
      </c>
      <c r="J12" s="11">
        <f>'ENG_OPS'!$J$10*'ENG_OPS'!$J$11*'ENG_SCEN'!$G$11</f>
        <v/>
      </c>
      <c r="K12" s="11">
        <f>'ENG_OPS'!$K$10*'ENG_OPS'!$K$11*'ENG_SCEN'!$G$11</f>
        <v/>
      </c>
      <c r="L12" s="11">
        <f>'ENG_OPS'!$L$10*'ENG_OPS'!$L$11*'ENG_SCEN'!$G$11</f>
        <v/>
      </c>
      <c r="M12" s="11">
        <f>'ENG_OPS'!$M$10*'ENG_OPS'!$M$11*'ENG_SCEN'!$G$11</f>
        <v/>
      </c>
      <c r="N12" s="11">
        <f>'ENG_OPS'!$N$10*'ENG_OPS'!$N$11*'ENG_SCEN'!$G$11</f>
        <v/>
      </c>
      <c r="O12" s="11">
        <f>'ENG_OPS'!$O$10*'ENG_OPS'!$O$11*'ENG_SCEN'!$G$11</f>
        <v/>
      </c>
      <c r="P12" s="11">
        <f>'ENG_OPS'!$P$10*'ENG_OPS'!$P$11*'ENG_SCEN'!$G$11</f>
        <v/>
      </c>
    </row>
    <row r="13">
      <c r="A13" t="inlineStr">
        <is>
          <t>سهم خوراک ایستگاه 1 (به‌ازای هر تن ورودی)</t>
        </is>
      </c>
      <c r="B13" s="8" t="inlineStr">
        <is>
          <t>OPS.split.0</t>
        </is>
      </c>
      <c r="C13" s="9" t="inlineStr">
        <is>
          <t>تن/تن</t>
        </is>
      </c>
      <c r="D13" s="12">
        <f>1</f>
        <v/>
      </c>
      <c r="E13" s="12">
        <f>1</f>
        <v/>
      </c>
      <c r="F13" s="12">
        <f>1</f>
        <v/>
      </c>
      <c r="G13" s="12">
        <f>1</f>
        <v/>
      </c>
      <c r="H13" s="12">
        <f>1</f>
        <v/>
      </c>
      <c r="I13" s="12">
        <f>1</f>
        <v/>
      </c>
      <c r="J13" s="12">
        <f>1</f>
        <v/>
      </c>
      <c r="K13" s="12">
        <f>1</f>
        <v/>
      </c>
      <c r="L13" s="12">
        <f>1</f>
        <v/>
      </c>
      <c r="M13" s="12">
        <f>1</f>
        <v/>
      </c>
      <c r="N13" s="12">
        <f>1</f>
        <v/>
      </c>
      <c r="O13" s="12">
        <f>1</f>
        <v/>
      </c>
      <c r="P13" s="12">
        <f>1</f>
        <v/>
      </c>
    </row>
    <row r="14">
      <c r="A14" t="inlineStr">
        <is>
          <t>سهم خوراک ایستگاه 2 (به‌ازای هر تن ورودی)</t>
        </is>
      </c>
      <c r="B14" s="8" t="inlineStr">
        <is>
          <t>OPS.split.1</t>
        </is>
      </c>
      <c r="C14" s="9" t="inlineStr">
        <is>
          <t>تن/تن</t>
        </is>
      </c>
      <c r="D14" s="12">
        <f>(1-'IN_TECH'!$D$40)</f>
        <v/>
      </c>
      <c r="E14" s="12">
        <f>(1-'IN_TECH'!$D$40)</f>
        <v/>
      </c>
      <c r="F14" s="12">
        <f>(1-'IN_TECH'!$D$40)</f>
        <v/>
      </c>
      <c r="G14" s="12">
        <f>(1-'IN_TECH'!$D$40)</f>
        <v/>
      </c>
      <c r="H14" s="12">
        <f>(1-'IN_TECH'!$D$40)</f>
        <v/>
      </c>
      <c r="I14" s="12">
        <f>(1-'IN_TECH'!$D$40)</f>
        <v/>
      </c>
      <c r="J14" s="12">
        <f>(1-'IN_TECH'!$D$40)</f>
        <v/>
      </c>
      <c r="K14" s="12">
        <f>(1-'IN_TECH'!$D$40)</f>
        <v/>
      </c>
      <c r="L14" s="12">
        <f>(1-'IN_TECH'!$D$40)</f>
        <v/>
      </c>
      <c r="M14" s="12">
        <f>(1-'IN_TECH'!$D$40)</f>
        <v/>
      </c>
      <c r="N14" s="12">
        <f>(1-'IN_TECH'!$D$40)</f>
        <v/>
      </c>
      <c r="O14" s="12">
        <f>(1-'IN_TECH'!$D$40)</f>
        <v/>
      </c>
      <c r="P14" s="12">
        <f>(1-'IN_TECH'!$D$40)</f>
        <v/>
      </c>
    </row>
    <row r="15">
      <c r="A15" t="inlineStr">
        <is>
          <t>سهم خوراک ایستگاه 3 (به‌ازای هر تن ورودی)</t>
        </is>
      </c>
      <c r="B15" s="8" t="inlineStr">
        <is>
          <t>OPS.split.2</t>
        </is>
      </c>
      <c r="C15" s="9" t="inlineStr">
        <is>
          <t>تن/تن</t>
        </is>
      </c>
      <c r="D15" s="12">
        <f>(((1-'IN_TECH'!$D$40)*(1-'IN_TECH'!$E$40))*'IN_TECH'!$D$27)</f>
        <v/>
      </c>
      <c r="E15" s="12">
        <f>(((1-'IN_TECH'!$D$40)*(1-'IN_TECH'!$E$40))*'IN_TECH'!$D$27)</f>
        <v/>
      </c>
      <c r="F15" s="12">
        <f>(((1-'IN_TECH'!$D$40)*(1-'IN_TECH'!$E$40))*'IN_TECH'!$D$27)</f>
        <v/>
      </c>
      <c r="G15" s="12">
        <f>(((1-'IN_TECH'!$D$40)*(1-'IN_TECH'!$E$40))*'IN_TECH'!$D$27)</f>
        <v/>
      </c>
      <c r="H15" s="12">
        <f>(((1-'IN_TECH'!$D$40)*(1-'IN_TECH'!$E$40))*'IN_TECH'!$D$27)</f>
        <v/>
      </c>
      <c r="I15" s="12">
        <f>(((1-'IN_TECH'!$D$40)*(1-'IN_TECH'!$E$40))*'IN_TECH'!$D$27)</f>
        <v/>
      </c>
      <c r="J15" s="12">
        <f>(((1-'IN_TECH'!$D$40)*(1-'IN_TECH'!$E$40))*'IN_TECH'!$D$27)</f>
        <v/>
      </c>
      <c r="K15" s="12">
        <f>(((1-'IN_TECH'!$D$40)*(1-'IN_TECH'!$E$40))*'IN_TECH'!$D$27)</f>
        <v/>
      </c>
      <c r="L15" s="12">
        <f>(((1-'IN_TECH'!$D$40)*(1-'IN_TECH'!$E$40))*'IN_TECH'!$D$27)</f>
        <v/>
      </c>
      <c r="M15" s="12">
        <f>(((1-'IN_TECH'!$D$40)*(1-'IN_TECH'!$E$40))*'IN_TECH'!$D$27)</f>
        <v/>
      </c>
      <c r="N15" s="12">
        <f>(((1-'IN_TECH'!$D$40)*(1-'IN_TECH'!$E$40))*'IN_TECH'!$D$27)</f>
        <v/>
      </c>
      <c r="O15" s="12">
        <f>(((1-'IN_TECH'!$D$40)*(1-'IN_TECH'!$E$40))*'IN_TECH'!$D$27)</f>
        <v/>
      </c>
      <c r="P15" s="12">
        <f>(((1-'IN_TECH'!$D$40)*(1-'IN_TECH'!$E$40))*'IN_TECH'!$D$27)</f>
        <v/>
      </c>
    </row>
    <row r="16">
      <c r="A16" t="inlineStr">
        <is>
          <t>سهم خوراک ایستگاه 4 (به‌ازای هر تن ورودی)</t>
        </is>
      </c>
      <c r="B16" s="8" t="inlineStr">
        <is>
          <t>OPS.split.3</t>
        </is>
      </c>
      <c r="C16" s="9" t="inlineStr">
        <is>
          <t>تن/تن</t>
        </is>
      </c>
      <c r="D16" s="12">
        <f>(((((1-'IN_TECH'!$D$40)*(1-'IN_TECH'!$E$40))*'IN_TECH'!$D$27)*'IN_TECH'!$D$18*(1-'IN_TECH'!$F$40))+(((1-'IN_TECH'!$D$40)*(1-'IN_TECH'!$E$40))*'IN_TECH'!$D$28))</f>
        <v/>
      </c>
      <c r="E16" s="12">
        <f>(((((1-'IN_TECH'!$D$40)*(1-'IN_TECH'!$E$40))*'IN_TECH'!$D$27)*'IN_TECH'!$D$18*(1-'IN_TECH'!$F$40))+(((1-'IN_TECH'!$D$40)*(1-'IN_TECH'!$E$40))*'IN_TECH'!$D$28))</f>
        <v/>
      </c>
      <c r="F16" s="12">
        <f>(((((1-'IN_TECH'!$D$40)*(1-'IN_TECH'!$E$40))*'IN_TECH'!$D$27)*'IN_TECH'!$D$18*(1-'IN_TECH'!$F$40))+(((1-'IN_TECH'!$D$40)*(1-'IN_TECH'!$E$40))*'IN_TECH'!$D$28))</f>
        <v/>
      </c>
      <c r="G16" s="12">
        <f>(((((1-'IN_TECH'!$D$40)*(1-'IN_TECH'!$E$40))*'IN_TECH'!$D$27)*'IN_TECH'!$D$18*(1-'IN_TECH'!$F$40))+(((1-'IN_TECH'!$D$40)*(1-'IN_TECH'!$E$40))*'IN_TECH'!$D$28))</f>
        <v/>
      </c>
      <c r="H16" s="12">
        <f>(((((1-'IN_TECH'!$D$40)*(1-'IN_TECH'!$E$40))*'IN_TECH'!$D$27)*'IN_TECH'!$D$18*(1-'IN_TECH'!$F$40))+(((1-'IN_TECH'!$D$40)*(1-'IN_TECH'!$E$40))*'IN_TECH'!$D$28))</f>
        <v/>
      </c>
      <c r="I16" s="12">
        <f>(((((1-'IN_TECH'!$D$40)*(1-'IN_TECH'!$E$40))*'IN_TECH'!$D$27)*'IN_TECH'!$D$18*(1-'IN_TECH'!$F$40))+(((1-'IN_TECH'!$D$40)*(1-'IN_TECH'!$E$40))*'IN_TECH'!$D$28))</f>
        <v/>
      </c>
      <c r="J16" s="12">
        <f>(((((1-'IN_TECH'!$D$40)*(1-'IN_TECH'!$E$40))*'IN_TECH'!$D$27)*'IN_TECH'!$D$18*(1-'IN_TECH'!$F$40))+(((1-'IN_TECH'!$D$40)*(1-'IN_TECH'!$E$40))*'IN_TECH'!$D$28))</f>
        <v/>
      </c>
      <c r="K16" s="12">
        <f>(((((1-'IN_TECH'!$D$40)*(1-'IN_TECH'!$E$40))*'IN_TECH'!$D$27)*'IN_TECH'!$D$18*(1-'IN_TECH'!$F$40))+(((1-'IN_TECH'!$D$40)*(1-'IN_TECH'!$E$40))*'IN_TECH'!$D$28))</f>
        <v/>
      </c>
      <c r="L16" s="12">
        <f>(((((1-'IN_TECH'!$D$40)*(1-'IN_TECH'!$E$40))*'IN_TECH'!$D$27)*'IN_TECH'!$D$18*(1-'IN_TECH'!$F$40))+(((1-'IN_TECH'!$D$40)*(1-'IN_TECH'!$E$40))*'IN_TECH'!$D$28))</f>
        <v/>
      </c>
      <c r="M16" s="12">
        <f>(((((1-'IN_TECH'!$D$40)*(1-'IN_TECH'!$E$40))*'IN_TECH'!$D$27)*'IN_TECH'!$D$18*(1-'IN_TECH'!$F$40))+(((1-'IN_TECH'!$D$40)*(1-'IN_TECH'!$E$40))*'IN_TECH'!$D$28))</f>
        <v/>
      </c>
      <c r="N16" s="12">
        <f>(((((1-'IN_TECH'!$D$40)*(1-'IN_TECH'!$E$40))*'IN_TECH'!$D$27)*'IN_TECH'!$D$18*(1-'IN_TECH'!$F$40))+(((1-'IN_TECH'!$D$40)*(1-'IN_TECH'!$E$40))*'IN_TECH'!$D$28))</f>
        <v/>
      </c>
      <c r="O16" s="12">
        <f>(((((1-'IN_TECH'!$D$40)*(1-'IN_TECH'!$E$40))*'IN_TECH'!$D$27)*'IN_TECH'!$D$18*(1-'IN_TECH'!$F$40))+(((1-'IN_TECH'!$D$40)*(1-'IN_TECH'!$E$40))*'IN_TECH'!$D$28))</f>
        <v/>
      </c>
      <c r="P16" s="12">
        <f>(((((1-'IN_TECH'!$D$40)*(1-'IN_TECH'!$E$40))*'IN_TECH'!$D$27)*'IN_TECH'!$D$18*(1-'IN_TECH'!$F$40))+(((1-'IN_TECH'!$D$40)*(1-'IN_TECH'!$E$40))*'IN_TECH'!$D$28))</f>
        <v/>
      </c>
    </row>
    <row r="17">
      <c r="A17" t="inlineStr">
        <is>
          <t>سهم خوراک ایستگاه 5 (به‌ازای هر تن ورودی)</t>
        </is>
      </c>
      <c r="B17" s="8" t="inlineStr">
        <is>
          <t>OPS.split.4</t>
        </is>
      </c>
      <c r="C17" s="9" t="inlineStr">
        <is>
          <t>تن/تن</t>
        </is>
      </c>
      <c r="D17" s="12">
        <f>((((((1-'IN_TECH'!$D$40)*(1-'IN_TECH'!$E$40))*'IN_TECH'!$D$27)*'IN_TECH'!$D$18*(1-'IN_TECH'!$F$40))*'IN_TECH'!$D$16+(((1-'IN_TECH'!$D$40)*(1-'IN_TECH'!$E$40))*'IN_TECH'!$D$28)*'IN_TECH'!$D$17)*'IN_TECH'!$D$19*(1-'IN_TECH'!$G$40))</f>
        <v/>
      </c>
      <c r="E17" s="12">
        <f>((((((1-'IN_TECH'!$D$40)*(1-'IN_TECH'!$E$40))*'IN_TECH'!$D$27)*'IN_TECH'!$D$18*(1-'IN_TECH'!$F$40))*'IN_TECH'!$D$16+(((1-'IN_TECH'!$D$40)*(1-'IN_TECH'!$E$40))*'IN_TECH'!$D$28)*'IN_TECH'!$D$17)*'IN_TECH'!$D$19*(1-'IN_TECH'!$G$40))</f>
        <v/>
      </c>
      <c r="F17" s="12">
        <f>((((((1-'IN_TECH'!$D$40)*(1-'IN_TECH'!$E$40))*'IN_TECH'!$D$27)*'IN_TECH'!$D$18*(1-'IN_TECH'!$F$40))*'IN_TECH'!$D$16+(((1-'IN_TECH'!$D$40)*(1-'IN_TECH'!$E$40))*'IN_TECH'!$D$28)*'IN_TECH'!$D$17)*'IN_TECH'!$D$19*(1-'IN_TECH'!$G$40))</f>
        <v/>
      </c>
      <c r="G17" s="12">
        <f>((((((1-'IN_TECH'!$D$40)*(1-'IN_TECH'!$E$40))*'IN_TECH'!$D$27)*'IN_TECH'!$D$18*(1-'IN_TECH'!$F$40))*'IN_TECH'!$D$16+(((1-'IN_TECH'!$D$40)*(1-'IN_TECH'!$E$40))*'IN_TECH'!$D$28)*'IN_TECH'!$D$17)*'IN_TECH'!$D$19*(1-'IN_TECH'!$G$40))</f>
        <v/>
      </c>
      <c r="H17" s="12">
        <f>((((((1-'IN_TECH'!$D$40)*(1-'IN_TECH'!$E$40))*'IN_TECH'!$D$27)*'IN_TECH'!$D$18*(1-'IN_TECH'!$F$40))*'IN_TECH'!$D$16+(((1-'IN_TECH'!$D$40)*(1-'IN_TECH'!$E$40))*'IN_TECH'!$D$28)*'IN_TECH'!$D$17)*'IN_TECH'!$D$19*(1-'IN_TECH'!$G$40))</f>
        <v/>
      </c>
      <c r="I17" s="12">
        <f>((((((1-'IN_TECH'!$D$40)*(1-'IN_TECH'!$E$40))*'IN_TECH'!$D$27)*'IN_TECH'!$D$18*(1-'IN_TECH'!$F$40))*'IN_TECH'!$D$16+(((1-'IN_TECH'!$D$40)*(1-'IN_TECH'!$E$40))*'IN_TECH'!$D$28)*'IN_TECH'!$D$17)*'IN_TECH'!$D$19*(1-'IN_TECH'!$G$40))</f>
        <v/>
      </c>
      <c r="J17" s="12">
        <f>((((((1-'IN_TECH'!$D$40)*(1-'IN_TECH'!$E$40))*'IN_TECH'!$D$27)*'IN_TECH'!$D$18*(1-'IN_TECH'!$F$40))*'IN_TECH'!$D$16+(((1-'IN_TECH'!$D$40)*(1-'IN_TECH'!$E$40))*'IN_TECH'!$D$28)*'IN_TECH'!$D$17)*'IN_TECH'!$D$19*(1-'IN_TECH'!$G$40))</f>
        <v/>
      </c>
      <c r="K17" s="12">
        <f>((((((1-'IN_TECH'!$D$40)*(1-'IN_TECH'!$E$40))*'IN_TECH'!$D$27)*'IN_TECH'!$D$18*(1-'IN_TECH'!$F$40))*'IN_TECH'!$D$16+(((1-'IN_TECH'!$D$40)*(1-'IN_TECH'!$E$40))*'IN_TECH'!$D$28)*'IN_TECH'!$D$17)*'IN_TECH'!$D$19*(1-'IN_TECH'!$G$40))</f>
        <v/>
      </c>
      <c r="L17" s="12">
        <f>((((((1-'IN_TECH'!$D$40)*(1-'IN_TECH'!$E$40))*'IN_TECH'!$D$27)*'IN_TECH'!$D$18*(1-'IN_TECH'!$F$40))*'IN_TECH'!$D$16+(((1-'IN_TECH'!$D$40)*(1-'IN_TECH'!$E$40))*'IN_TECH'!$D$28)*'IN_TECH'!$D$17)*'IN_TECH'!$D$19*(1-'IN_TECH'!$G$40))</f>
        <v/>
      </c>
      <c r="M17" s="12">
        <f>((((((1-'IN_TECH'!$D$40)*(1-'IN_TECH'!$E$40))*'IN_TECH'!$D$27)*'IN_TECH'!$D$18*(1-'IN_TECH'!$F$40))*'IN_TECH'!$D$16+(((1-'IN_TECH'!$D$40)*(1-'IN_TECH'!$E$40))*'IN_TECH'!$D$28)*'IN_TECH'!$D$17)*'IN_TECH'!$D$19*(1-'IN_TECH'!$G$40))</f>
        <v/>
      </c>
      <c r="N17" s="12">
        <f>((((((1-'IN_TECH'!$D$40)*(1-'IN_TECH'!$E$40))*'IN_TECH'!$D$27)*'IN_TECH'!$D$18*(1-'IN_TECH'!$F$40))*'IN_TECH'!$D$16+(((1-'IN_TECH'!$D$40)*(1-'IN_TECH'!$E$40))*'IN_TECH'!$D$28)*'IN_TECH'!$D$17)*'IN_TECH'!$D$19*(1-'IN_TECH'!$G$40))</f>
        <v/>
      </c>
      <c r="O17" s="12">
        <f>((((((1-'IN_TECH'!$D$40)*(1-'IN_TECH'!$E$40))*'IN_TECH'!$D$27)*'IN_TECH'!$D$18*(1-'IN_TECH'!$F$40))*'IN_TECH'!$D$16+(((1-'IN_TECH'!$D$40)*(1-'IN_TECH'!$E$40))*'IN_TECH'!$D$28)*'IN_TECH'!$D$17)*'IN_TECH'!$D$19*(1-'IN_TECH'!$G$40))</f>
        <v/>
      </c>
      <c r="P17" s="12">
        <f>((((((1-'IN_TECH'!$D$40)*(1-'IN_TECH'!$E$40))*'IN_TECH'!$D$27)*'IN_TECH'!$D$18*(1-'IN_TECH'!$F$40))*'IN_TECH'!$D$16+(((1-'IN_TECH'!$D$40)*(1-'IN_TECH'!$E$40))*'IN_TECH'!$D$28)*'IN_TECH'!$D$17)*'IN_TECH'!$D$19*(1-'IN_TECH'!$G$40))</f>
        <v/>
      </c>
    </row>
    <row r="18">
      <c r="A18" t="inlineStr">
        <is>
          <t>سهم خوراک ایستگاه 6 (به‌ازای هر تن ورودی)</t>
        </is>
      </c>
      <c r="B18" s="8" t="inlineStr">
        <is>
          <t>OPS.split.5</t>
        </is>
      </c>
      <c r="C18" s="9" t="inlineStr">
        <is>
          <t>تن/تن</t>
        </is>
      </c>
      <c r="D18" s="12">
        <f>((((((((1-'IN_TECH'!$D$40)*(1-'IN_TECH'!$E$40))*'IN_TECH'!$D$27)*'IN_TECH'!$D$18*(1-'IN_TECH'!$F$40))*'IN_TECH'!$D$16+(((1-'IN_TECH'!$D$40)*(1-'IN_TECH'!$E$40))*'IN_TECH'!$D$28)*'IN_TECH'!$D$17)*'IN_TECH'!$D$19*(1-'IN_TECH'!$G$40))*'IN_TECH'!$D$20*(1-'IN_TECH'!$H$40))+(((1-'IN_TECH'!$D$40)*(1-'IN_TECH'!$E$40))*'IN_TECH'!$D$29)*'IN_TECH'!$D$21+'IN_TECH'!$D$22)</f>
        <v/>
      </c>
      <c r="E18" s="12">
        <f>((((((((1-'IN_TECH'!$D$40)*(1-'IN_TECH'!$E$40))*'IN_TECH'!$D$27)*'IN_TECH'!$D$18*(1-'IN_TECH'!$F$40))*'IN_TECH'!$D$16+(((1-'IN_TECH'!$D$40)*(1-'IN_TECH'!$E$40))*'IN_TECH'!$D$28)*'IN_TECH'!$D$17)*'IN_TECH'!$D$19*(1-'IN_TECH'!$G$40))*'IN_TECH'!$D$20*(1-'IN_TECH'!$H$40))+(((1-'IN_TECH'!$D$40)*(1-'IN_TECH'!$E$40))*'IN_TECH'!$D$29)*'IN_TECH'!$D$21+'IN_TECH'!$D$22)</f>
        <v/>
      </c>
      <c r="F18" s="12">
        <f>((((((((1-'IN_TECH'!$D$40)*(1-'IN_TECH'!$E$40))*'IN_TECH'!$D$27)*'IN_TECH'!$D$18*(1-'IN_TECH'!$F$40))*'IN_TECH'!$D$16+(((1-'IN_TECH'!$D$40)*(1-'IN_TECH'!$E$40))*'IN_TECH'!$D$28)*'IN_TECH'!$D$17)*'IN_TECH'!$D$19*(1-'IN_TECH'!$G$40))*'IN_TECH'!$D$20*(1-'IN_TECH'!$H$40))+(((1-'IN_TECH'!$D$40)*(1-'IN_TECH'!$E$40))*'IN_TECH'!$D$29)*'IN_TECH'!$D$21+'IN_TECH'!$D$22)</f>
        <v/>
      </c>
      <c r="G18" s="12">
        <f>((((((((1-'IN_TECH'!$D$40)*(1-'IN_TECH'!$E$40))*'IN_TECH'!$D$27)*'IN_TECH'!$D$18*(1-'IN_TECH'!$F$40))*'IN_TECH'!$D$16+(((1-'IN_TECH'!$D$40)*(1-'IN_TECH'!$E$40))*'IN_TECH'!$D$28)*'IN_TECH'!$D$17)*'IN_TECH'!$D$19*(1-'IN_TECH'!$G$40))*'IN_TECH'!$D$20*(1-'IN_TECH'!$H$40))+(((1-'IN_TECH'!$D$40)*(1-'IN_TECH'!$E$40))*'IN_TECH'!$D$29)*'IN_TECH'!$D$21+'IN_TECH'!$D$22)</f>
        <v/>
      </c>
      <c r="H18" s="12">
        <f>((((((((1-'IN_TECH'!$D$40)*(1-'IN_TECH'!$E$40))*'IN_TECH'!$D$27)*'IN_TECH'!$D$18*(1-'IN_TECH'!$F$40))*'IN_TECH'!$D$16+(((1-'IN_TECH'!$D$40)*(1-'IN_TECH'!$E$40))*'IN_TECH'!$D$28)*'IN_TECH'!$D$17)*'IN_TECH'!$D$19*(1-'IN_TECH'!$G$40))*'IN_TECH'!$D$20*(1-'IN_TECH'!$H$40))+(((1-'IN_TECH'!$D$40)*(1-'IN_TECH'!$E$40))*'IN_TECH'!$D$29)*'IN_TECH'!$D$21+'IN_TECH'!$D$22)</f>
        <v/>
      </c>
      <c r="I18" s="12">
        <f>((((((((1-'IN_TECH'!$D$40)*(1-'IN_TECH'!$E$40))*'IN_TECH'!$D$27)*'IN_TECH'!$D$18*(1-'IN_TECH'!$F$40))*'IN_TECH'!$D$16+(((1-'IN_TECH'!$D$40)*(1-'IN_TECH'!$E$40))*'IN_TECH'!$D$28)*'IN_TECH'!$D$17)*'IN_TECH'!$D$19*(1-'IN_TECH'!$G$40))*'IN_TECH'!$D$20*(1-'IN_TECH'!$H$40))+(((1-'IN_TECH'!$D$40)*(1-'IN_TECH'!$E$40))*'IN_TECH'!$D$29)*'IN_TECH'!$D$21+'IN_TECH'!$D$22)</f>
        <v/>
      </c>
      <c r="J18" s="12">
        <f>((((((((1-'IN_TECH'!$D$40)*(1-'IN_TECH'!$E$40))*'IN_TECH'!$D$27)*'IN_TECH'!$D$18*(1-'IN_TECH'!$F$40))*'IN_TECH'!$D$16+(((1-'IN_TECH'!$D$40)*(1-'IN_TECH'!$E$40))*'IN_TECH'!$D$28)*'IN_TECH'!$D$17)*'IN_TECH'!$D$19*(1-'IN_TECH'!$G$40))*'IN_TECH'!$D$20*(1-'IN_TECH'!$H$40))+(((1-'IN_TECH'!$D$40)*(1-'IN_TECH'!$E$40))*'IN_TECH'!$D$29)*'IN_TECH'!$D$21+'IN_TECH'!$D$22)</f>
        <v/>
      </c>
      <c r="K18" s="12">
        <f>((((((((1-'IN_TECH'!$D$40)*(1-'IN_TECH'!$E$40))*'IN_TECH'!$D$27)*'IN_TECH'!$D$18*(1-'IN_TECH'!$F$40))*'IN_TECH'!$D$16+(((1-'IN_TECH'!$D$40)*(1-'IN_TECH'!$E$40))*'IN_TECH'!$D$28)*'IN_TECH'!$D$17)*'IN_TECH'!$D$19*(1-'IN_TECH'!$G$40))*'IN_TECH'!$D$20*(1-'IN_TECH'!$H$40))+(((1-'IN_TECH'!$D$40)*(1-'IN_TECH'!$E$40))*'IN_TECH'!$D$29)*'IN_TECH'!$D$21+'IN_TECH'!$D$22)</f>
        <v/>
      </c>
      <c r="L18" s="12">
        <f>((((((((1-'IN_TECH'!$D$40)*(1-'IN_TECH'!$E$40))*'IN_TECH'!$D$27)*'IN_TECH'!$D$18*(1-'IN_TECH'!$F$40))*'IN_TECH'!$D$16+(((1-'IN_TECH'!$D$40)*(1-'IN_TECH'!$E$40))*'IN_TECH'!$D$28)*'IN_TECH'!$D$17)*'IN_TECH'!$D$19*(1-'IN_TECH'!$G$40))*'IN_TECH'!$D$20*(1-'IN_TECH'!$H$40))+(((1-'IN_TECH'!$D$40)*(1-'IN_TECH'!$E$40))*'IN_TECH'!$D$29)*'IN_TECH'!$D$21+'IN_TECH'!$D$22)</f>
        <v/>
      </c>
      <c r="M18" s="12">
        <f>((((((((1-'IN_TECH'!$D$40)*(1-'IN_TECH'!$E$40))*'IN_TECH'!$D$27)*'IN_TECH'!$D$18*(1-'IN_TECH'!$F$40))*'IN_TECH'!$D$16+(((1-'IN_TECH'!$D$40)*(1-'IN_TECH'!$E$40))*'IN_TECH'!$D$28)*'IN_TECH'!$D$17)*'IN_TECH'!$D$19*(1-'IN_TECH'!$G$40))*'IN_TECH'!$D$20*(1-'IN_TECH'!$H$40))+(((1-'IN_TECH'!$D$40)*(1-'IN_TECH'!$E$40))*'IN_TECH'!$D$29)*'IN_TECH'!$D$21+'IN_TECH'!$D$22)</f>
        <v/>
      </c>
      <c r="N18" s="12">
        <f>((((((((1-'IN_TECH'!$D$40)*(1-'IN_TECH'!$E$40))*'IN_TECH'!$D$27)*'IN_TECH'!$D$18*(1-'IN_TECH'!$F$40))*'IN_TECH'!$D$16+(((1-'IN_TECH'!$D$40)*(1-'IN_TECH'!$E$40))*'IN_TECH'!$D$28)*'IN_TECH'!$D$17)*'IN_TECH'!$D$19*(1-'IN_TECH'!$G$40))*'IN_TECH'!$D$20*(1-'IN_TECH'!$H$40))+(((1-'IN_TECH'!$D$40)*(1-'IN_TECH'!$E$40))*'IN_TECH'!$D$29)*'IN_TECH'!$D$21+'IN_TECH'!$D$22)</f>
        <v/>
      </c>
      <c r="O18" s="12">
        <f>((((((((1-'IN_TECH'!$D$40)*(1-'IN_TECH'!$E$40))*'IN_TECH'!$D$27)*'IN_TECH'!$D$18*(1-'IN_TECH'!$F$40))*'IN_TECH'!$D$16+(((1-'IN_TECH'!$D$40)*(1-'IN_TECH'!$E$40))*'IN_TECH'!$D$28)*'IN_TECH'!$D$17)*'IN_TECH'!$D$19*(1-'IN_TECH'!$G$40))*'IN_TECH'!$D$20*(1-'IN_TECH'!$H$40))+(((1-'IN_TECH'!$D$40)*(1-'IN_TECH'!$E$40))*'IN_TECH'!$D$29)*'IN_TECH'!$D$21+'IN_TECH'!$D$22)</f>
        <v/>
      </c>
      <c r="P18" s="12">
        <f>((((((((1-'IN_TECH'!$D$40)*(1-'IN_TECH'!$E$40))*'IN_TECH'!$D$27)*'IN_TECH'!$D$18*(1-'IN_TECH'!$F$40))*'IN_TECH'!$D$16+(((1-'IN_TECH'!$D$40)*(1-'IN_TECH'!$E$40))*'IN_TECH'!$D$28)*'IN_TECH'!$D$17)*'IN_TECH'!$D$19*(1-'IN_TECH'!$G$40))*'IN_TECH'!$D$20*(1-'IN_TECH'!$H$40))+(((1-'IN_TECH'!$D$40)*(1-'IN_TECH'!$E$40))*'IN_TECH'!$D$29)*'IN_TECH'!$D$21+'IN_TECH'!$D$22)</f>
        <v/>
      </c>
    </row>
    <row r="19">
      <c r="A19" t="inlineStr">
        <is>
          <t>بیشینهٔ ورودی قابل پردازش (محدودیت گلوگاه)</t>
        </is>
      </c>
      <c r="B19" s="8" t="inlineStr">
        <is>
          <t>OPS.intake_cap</t>
        </is>
      </c>
      <c r="C19" s="9" t="inlineStr">
        <is>
          <t>تن</t>
        </is>
      </c>
      <c r="D19" s="14">
        <f>MIN(IFERROR('IN_TECH'!$D$36/'ENG_OPS'!$D$13,1E+15),IFERROR('IN_TECH'!$E$36/'ENG_OPS'!$D$14,1E+15),IFERROR('IN_TECH'!$F$36/'ENG_OPS'!$D$15,1E+15),IFERROR('IN_TECH'!$G$36/'ENG_OPS'!$D$16,1E+15),IFERROR('IN_TECH'!$H$36/'ENG_OPS'!$D$17,1E+15),IFERROR('IN_TECH'!$I$36/'ENG_OPS'!$D$18,1E+15))</f>
        <v/>
      </c>
      <c r="E19" s="14">
        <f>MIN(IFERROR('IN_TECH'!$D$36/'ENG_OPS'!$E$13,1E+15),IFERROR('IN_TECH'!$E$36/'ENG_OPS'!$E$14,1E+15),IFERROR('IN_TECH'!$F$36/'ENG_OPS'!$E$15,1E+15),IFERROR('IN_TECH'!$G$36/'ENG_OPS'!$E$16,1E+15),IFERROR('IN_TECH'!$H$36/'ENG_OPS'!$E$17,1E+15),IFERROR('IN_TECH'!$I$36/'ENG_OPS'!$E$18,1E+15))</f>
        <v/>
      </c>
      <c r="F19" s="14">
        <f>MIN(IFERROR('IN_TECH'!$D$36/'ENG_OPS'!$F$13,1E+15),IFERROR('IN_TECH'!$E$36/'ENG_OPS'!$F$14,1E+15),IFERROR('IN_TECH'!$F$36/'ENG_OPS'!$F$15,1E+15),IFERROR('IN_TECH'!$G$36/'ENG_OPS'!$F$16,1E+15),IFERROR('IN_TECH'!$H$36/'ENG_OPS'!$F$17,1E+15),IFERROR('IN_TECH'!$I$36/'ENG_OPS'!$F$18,1E+15))</f>
        <v/>
      </c>
      <c r="G19" s="14">
        <f>MIN(IFERROR('IN_TECH'!$D$36/'ENG_OPS'!$G$13,1E+15),IFERROR('IN_TECH'!$E$36/'ENG_OPS'!$G$14,1E+15),IFERROR('IN_TECH'!$F$36/'ENG_OPS'!$G$15,1E+15),IFERROR('IN_TECH'!$G$36/'ENG_OPS'!$G$16,1E+15),IFERROR('IN_TECH'!$H$36/'ENG_OPS'!$G$17,1E+15),IFERROR('IN_TECH'!$I$36/'ENG_OPS'!$G$18,1E+15))</f>
        <v/>
      </c>
      <c r="H19" s="14">
        <f>MIN(IFERROR('IN_TECH'!$D$36/'ENG_OPS'!$H$13,1E+15),IFERROR('IN_TECH'!$E$36/'ENG_OPS'!$H$14,1E+15),IFERROR('IN_TECH'!$F$36/'ENG_OPS'!$H$15,1E+15),IFERROR('IN_TECH'!$G$36/'ENG_OPS'!$H$16,1E+15),IFERROR('IN_TECH'!$H$36/'ENG_OPS'!$H$17,1E+15),IFERROR('IN_TECH'!$I$36/'ENG_OPS'!$H$18,1E+15))</f>
        <v/>
      </c>
      <c r="I19" s="14">
        <f>MIN(IFERROR('IN_TECH'!$D$36/'ENG_OPS'!$I$13,1E+15),IFERROR('IN_TECH'!$E$36/'ENG_OPS'!$I$14,1E+15),IFERROR('IN_TECH'!$F$36/'ENG_OPS'!$I$15,1E+15),IFERROR('IN_TECH'!$G$36/'ENG_OPS'!$I$16,1E+15),IFERROR('IN_TECH'!$H$36/'ENG_OPS'!$I$17,1E+15),IFERROR('IN_TECH'!$I$36/'ENG_OPS'!$I$18,1E+15))</f>
        <v/>
      </c>
      <c r="J19" s="14">
        <f>MIN(IFERROR('IN_TECH'!$D$36/'ENG_OPS'!$J$13,1E+15),IFERROR('IN_TECH'!$E$36/'ENG_OPS'!$J$14,1E+15),IFERROR('IN_TECH'!$F$36/'ENG_OPS'!$J$15,1E+15),IFERROR('IN_TECH'!$G$36/'ENG_OPS'!$J$16,1E+15),IFERROR('IN_TECH'!$H$36/'ENG_OPS'!$J$17,1E+15),IFERROR('IN_TECH'!$I$36/'ENG_OPS'!$J$18,1E+15))</f>
        <v/>
      </c>
      <c r="K19" s="14">
        <f>MIN(IFERROR('IN_TECH'!$D$36/'ENG_OPS'!$K$13,1E+15),IFERROR('IN_TECH'!$E$36/'ENG_OPS'!$K$14,1E+15),IFERROR('IN_TECH'!$F$36/'ENG_OPS'!$K$15,1E+15),IFERROR('IN_TECH'!$G$36/'ENG_OPS'!$K$16,1E+15),IFERROR('IN_TECH'!$H$36/'ENG_OPS'!$K$17,1E+15),IFERROR('IN_TECH'!$I$36/'ENG_OPS'!$K$18,1E+15))</f>
        <v/>
      </c>
      <c r="L19" s="14">
        <f>MIN(IFERROR('IN_TECH'!$D$36/'ENG_OPS'!$L$13,1E+15),IFERROR('IN_TECH'!$E$36/'ENG_OPS'!$L$14,1E+15),IFERROR('IN_TECH'!$F$36/'ENG_OPS'!$L$15,1E+15),IFERROR('IN_TECH'!$G$36/'ENG_OPS'!$L$16,1E+15),IFERROR('IN_TECH'!$H$36/'ENG_OPS'!$L$17,1E+15),IFERROR('IN_TECH'!$I$36/'ENG_OPS'!$L$18,1E+15))</f>
        <v/>
      </c>
      <c r="M19" s="14">
        <f>MIN(IFERROR('IN_TECH'!$D$36/'ENG_OPS'!$M$13,1E+15),IFERROR('IN_TECH'!$E$36/'ENG_OPS'!$M$14,1E+15),IFERROR('IN_TECH'!$F$36/'ENG_OPS'!$M$15,1E+15),IFERROR('IN_TECH'!$G$36/'ENG_OPS'!$M$16,1E+15),IFERROR('IN_TECH'!$H$36/'ENG_OPS'!$M$17,1E+15),IFERROR('IN_TECH'!$I$36/'ENG_OPS'!$M$18,1E+15))</f>
        <v/>
      </c>
      <c r="N19" s="14">
        <f>MIN(IFERROR('IN_TECH'!$D$36/'ENG_OPS'!$N$13,1E+15),IFERROR('IN_TECH'!$E$36/'ENG_OPS'!$N$14,1E+15),IFERROR('IN_TECH'!$F$36/'ENG_OPS'!$N$15,1E+15),IFERROR('IN_TECH'!$G$36/'ENG_OPS'!$N$16,1E+15),IFERROR('IN_TECH'!$H$36/'ENG_OPS'!$N$17,1E+15),IFERROR('IN_TECH'!$I$36/'ENG_OPS'!$N$18,1E+15))</f>
        <v/>
      </c>
      <c r="O19" s="14">
        <f>MIN(IFERROR('IN_TECH'!$D$36/'ENG_OPS'!$O$13,1E+15),IFERROR('IN_TECH'!$E$36/'ENG_OPS'!$O$14,1E+15),IFERROR('IN_TECH'!$F$36/'ENG_OPS'!$O$15,1E+15),IFERROR('IN_TECH'!$G$36/'ENG_OPS'!$O$16,1E+15),IFERROR('IN_TECH'!$H$36/'ENG_OPS'!$O$17,1E+15),IFERROR('IN_TECH'!$I$36/'ENG_OPS'!$O$18,1E+15))</f>
        <v/>
      </c>
      <c r="P19" s="14">
        <f>MIN(IFERROR('IN_TECH'!$D$36/'ENG_OPS'!$P$13,1E+15),IFERROR('IN_TECH'!$E$36/'ENG_OPS'!$P$14,1E+15),IFERROR('IN_TECH'!$F$36/'ENG_OPS'!$P$15,1E+15),IFERROR('IN_TECH'!$G$36/'ENG_OPS'!$P$16,1E+15),IFERROR('IN_TECH'!$H$36/'ENG_OPS'!$P$17,1E+15),IFERROR('IN_TECH'!$I$36/'ENG_OPS'!$P$18,1E+15))</f>
        <v/>
      </c>
    </row>
    <row r="20">
      <c r="A20" t="inlineStr">
        <is>
          <t>ورودی واقعی باتری ضایعاتی</t>
        </is>
      </c>
      <c r="B20" s="8" t="inlineStr">
        <is>
          <t>OPS.intake</t>
        </is>
      </c>
      <c r="C20" s="9" t="inlineStr">
        <is>
          <t>تن</t>
        </is>
      </c>
      <c r="D20" s="14">
        <f>MIN('IN_TECH'!$D$8*'ENG_OPS'!$D$12,'ENG_OPS'!$D$19)</f>
        <v/>
      </c>
      <c r="E20" s="14">
        <f>MIN('IN_TECH'!$D$8*'ENG_OPS'!$E$12,'ENG_OPS'!$E$19)</f>
        <v/>
      </c>
      <c r="F20" s="14">
        <f>MIN('IN_TECH'!$D$8*'ENG_OPS'!$F$12,'ENG_OPS'!$F$19)</f>
        <v/>
      </c>
      <c r="G20" s="14">
        <f>MIN('IN_TECH'!$D$8*'ENG_OPS'!$G$12,'ENG_OPS'!$G$19)</f>
        <v/>
      </c>
      <c r="H20" s="14">
        <f>MIN('IN_TECH'!$D$8*'ENG_OPS'!$H$12,'ENG_OPS'!$H$19)</f>
        <v/>
      </c>
      <c r="I20" s="14">
        <f>MIN('IN_TECH'!$D$8*'ENG_OPS'!$I$12,'ENG_OPS'!$I$19)</f>
        <v/>
      </c>
      <c r="J20" s="14">
        <f>MIN('IN_TECH'!$D$8*'ENG_OPS'!$J$12,'ENG_OPS'!$J$19)</f>
        <v/>
      </c>
      <c r="K20" s="14">
        <f>MIN('IN_TECH'!$D$8*'ENG_OPS'!$K$12,'ENG_OPS'!$K$19)</f>
        <v/>
      </c>
      <c r="L20" s="14">
        <f>MIN('IN_TECH'!$D$8*'ENG_OPS'!$L$12,'ENG_OPS'!$L$19)</f>
        <v/>
      </c>
      <c r="M20" s="14">
        <f>MIN('IN_TECH'!$D$8*'ENG_OPS'!$M$12,'ENG_OPS'!$M$19)</f>
        <v/>
      </c>
      <c r="N20" s="14">
        <f>MIN('IN_TECH'!$D$8*'ENG_OPS'!$N$12,'ENG_OPS'!$N$19)</f>
        <v/>
      </c>
      <c r="O20" s="14">
        <f>MIN('IN_TECH'!$D$8*'ENG_OPS'!$O$12,'ENG_OPS'!$O$19)</f>
        <v/>
      </c>
      <c r="P20" s="14">
        <f>MIN('IN_TECH'!$D$8*'ENG_OPS'!$P$12,'ENG_OPS'!$P$19)</f>
        <v/>
      </c>
    </row>
    <row r="21">
      <c r="A21" t="inlineStr">
        <is>
          <t>ساعات اسمی کارکرد در سال</t>
        </is>
      </c>
      <c r="B21" s="8" t="inlineStr">
        <is>
          <t>OPS.hours_nom</t>
        </is>
      </c>
      <c r="C21" s="9" t="inlineStr">
        <is>
          <t>ساعت</t>
        </is>
      </c>
      <c r="D21" s="14">
        <f>'IN_TECH'!$D$9*'IN_TECH'!$D$10*'IN_TECH'!$D$11</f>
        <v/>
      </c>
      <c r="E21" s="14">
        <f>'IN_TECH'!$D$9*'IN_TECH'!$D$10*'IN_TECH'!$D$11</f>
        <v/>
      </c>
      <c r="F21" s="14">
        <f>'IN_TECH'!$D$9*'IN_TECH'!$D$10*'IN_TECH'!$D$11</f>
        <v/>
      </c>
      <c r="G21" s="14">
        <f>'IN_TECH'!$D$9*'IN_TECH'!$D$10*'IN_TECH'!$D$11</f>
        <v/>
      </c>
      <c r="H21" s="14">
        <f>'IN_TECH'!$D$9*'IN_TECH'!$D$10*'IN_TECH'!$D$11</f>
        <v/>
      </c>
      <c r="I21" s="14">
        <f>'IN_TECH'!$D$9*'IN_TECH'!$D$10*'IN_TECH'!$D$11</f>
        <v/>
      </c>
      <c r="J21" s="14">
        <f>'IN_TECH'!$D$9*'IN_TECH'!$D$10*'IN_TECH'!$D$11</f>
        <v/>
      </c>
      <c r="K21" s="14">
        <f>'IN_TECH'!$D$9*'IN_TECH'!$D$10*'IN_TECH'!$D$11</f>
        <v/>
      </c>
      <c r="L21" s="14">
        <f>'IN_TECH'!$D$9*'IN_TECH'!$D$10*'IN_TECH'!$D$11</f>
        <v/>
      </c>
      <c r="M21" s="14">
        <f>'IN_TECH'!$D$9*'IN_TECH'!$D$10*'IN_TECH'!$D$11</f>
        <v/>
      </c>
      <c r="N21" s="14">
        <f>'IN_TECH'!$D$9*'IN_TECH'!$D$10*'IN_TECH'!$D$11</f>
        <v/>
      </c>
      <c r="O21" s="14">
        <f>'IN_TECH'!$D$9*'IN_TECH'!$D$10*'IN_TECH'!$D$11</f>
        <v/>
      </c>
      <c r="P21" s="14">
        <f>'IN_TECH'!$D$9*'IN_TECH'!$D$10*'IN_TECH'!$D$11</f>
        <v/>
      </c>
    </row>
    <row r="22">
      <c r="A22" t="inlineStr">
        <is>
          <t>ساعات مؤثر کارکرد</t>
        </is>
      </c>
      <c r="B22" s="8" t="inlineStr">
        <is>
          <t>OPS.hours</t>
        </is>
      </c>
      <c r="C22" s="9" t="inlineStr">
        <is>
          <t>ساعت</t>
        </is>
      </c>
      <c r="D22" s="14">
        <f>MAX(0,('ENG_OPS'!$D$21-'IN_TECH'!$D$12-'IN_TECH'!$D$13))*'ENG_OPS'!$D$12</f>
        <v/>
      </c>
      <c r="E22" s="14">
        <f>MAX(0,('ENG_OPS'!$E$21-'IN_TECH'!$D$12-'IN_TECH'!$D$13))*'ENG_OPS'!$E$12</f>
        <v/>
      </c>
      <c r="F22" s="14">
        <f>MAX(0,('ENG_OPS'!$F$21-'IN_TECH'!$D$12-'IN_TECH'!$D$13))*'ENG_OPS'!$F$12</f>
        <v/>
      </c>
      <c r="G22" s="14">
        <f>MAX(0,('ENG_OPS'!$G$21-'IN_TECH'!$D$12-'IN_TECH'!$D$13))*'ENG_OPS'!$G$12</f>
        <v/>
      </c>
      <c r="H22" s="14">
        <f>MAX(0,('ENG_OPS'!$H$21-'IN_TECH'!$D$12-'IN_TECH'!$D$13))*'ENG_OPS'!$H$12</f>
        <v/>
      </c>
      <c r="I22" s="14">
        <f>MAX(0,('ENG_OPS'!$I$21-'IN_TECH'!$D$12-'IN_TECH'!$D$13))*'ENG_OPS'!$I$12</f>
        <v/>
      </c>
      <c r="J22" s="14">
        <f>MAX(0,('ENG_OPS'!$J$21-'IN_TECH'!$D$12-'IN_TECH'!$D$13))*'ENG_OPS'!$J$12</f>
        <v/>
      </c>
      <c r="K22" s="14">
        <f>MAX(0,('ENG_OPS'!$K$21-'IN_TECH'!$D$12-'IN_TECH'!$D$13))*'ENG_OPS'!$K$12</f>
        <v/>
      </c>
      <c r="L22" s="14">
        <f>MAX(0,('ENG_OPS'!$L$21-'IN_TECH'!$D$12-'IN_TECH'!$D$13))*'ENG_OPS'!$L$12</f>
        <v/>
      </c>
      <c r="M22" s="14">
        <f>MAX(0,('ENG_OPS'!$M$21-'IN_TECH'!$D$12-'IN_TECH'!$D$13))*'ENG_OPS'!$M$12</f>
        <v/>
      </c>
      <c r="N22" s="14">
        <f>MAX(0,('ENG_OPS'!$N$21-'IN_TECH'!$D$12-'IN_TECH'!$D$13))*'ENG_OPS'!$N$12</f>
        <v/>
      </c>
      <c r="O22" s="14">
        <f>MAX(0,('ENG_OPS'!$O$21-'IN_TECH'!$D$12-'IN_TECH'!$D$13))*'ENG_OPS'!$O$12</f>
        <v/>
      </c>
      <c r="P22" s="14">
        <f>MAX(0,('ENG_OPS'!$P$21-'IN_TECH'!$D$12-'IN_TECH'!$D$13))*'ENG_OPS'!$P$12</f>
        <v/>
      </c>
    </row>
    <row r="23">
      <c r="A23" t="inlineStr">
        <is>
          <t>نرخ استفاده از ظرفیت اسمی</t>
        </is>
      </c>
      <c r="B23" s="8" t="inlineStr">
        <is>
          <t>OPS.caputil</t>
        </is>
      </c>
      <c r="C23" s="9" t="inlineStr">
        <is>
          <t>درصد</t>
        </is>
      </c>
      <c r="D23" s="11">
        <f>IFERROR('ENG_OPS'!$D$20/'IN_TECH'!$D$8,0)</f>
        <v/>
      </c>
      <c r="E23" s="11">
        <f>IFERROR('ENG_OPS'!$E$20/'IN_TECH'!$D$8,0)</f>
        <v/>
      </c>
      <c r="F23" s="11">
        <f>IFERROR('ENG_OPS'!$F$20/'IN_TECH'!$D$8,0)</f>
        <v/>
      </c>
      <c r="G23" s="11">
        <f>IFERROR('ENG_OPS'!$G$20/'IN_TECH'!$D$8,0)</f>
        <v/>
      </c>
      <c r="H23" s="11">
        <f>IFERROR('ENG_OPS'!$H$20/'IN_TECH'!$D$8,0)</f>
        <v/>
      </c>
      <c r="I23" s="11">
        <f>IFERROR('ENG_OPS'!$I$20/'IN_TECH'!$D$8,0)</f>
        <v/>
      </c>
      <c r="J23" s="11">
        <f>IFERROR('ENG_OPS'!$J$20/'IN_TECH'!$D$8,0)</f>
        <v/>
      </c>
      <c r="K23" s="11">
        <f>IFERROR('ENG_OPS'!$K$20/'IN_TECH'!$D$8,0)</f>
        <v/>
      </c>
      <c r="L23" s="11">
        <f>IFERROR('ENG_OPS'!$L$20/'IN_TECH'!$D$8,0)</f>
        <v/>
      </c>
      <c r="M23" s="11">
        <f>IFERROR('ENG_OPS'!$M$20/'IN_TECH'!$D$8,0)</f>
        <v/>
      </c>
      <c r="N23" s="11">
        <f>IFERROR('ENG_OPS'!$N$20/'IN_TECH'!$D$8,0)</f>
        <v/>
      </c>
      <c r="O23" s="11">
        <f>IFERROR('ENG_OPS'!$O$20/'IN_TECH'!$D$8,0)</f>
        <v/>
      </c>
      <c r="P23" s="11">
        <f>IFERROR('ENG_OPS'!$P$20/'IN_TECH'!$D$8,0)</f>
        <v/>
      </c>
    </row>
    <row r="24"/>
    <row r="25">
      <c r="A25" s="6" t="inlineStr">
        <is>
          <t>ب) جریان مواد و تراز جرم</t>
        </is>
      </c>
      <c r="B25" s="7" t="n"/>
      <c r="C25" s="7" t="n"/>
      <c r="D25" s="7" t="n"/>
      <c r="E25" s="7" t="n"/>
      <c r="F25" s="7" t="n"/>
      <c r="G25" s="7" t="n"/>
      <c r="H25" s="7" t="n"/>
      <c r="I25" s="7" t="n"/>
      <c r="J25" s="7" t="n"/>
      <c r="K25" s="7" t="n"/>
      <c r="L25" s="7" t="n"/>
      <c r="M25" s="7" t="n"/>
      <c r="N25" s="7" t="n"/>
      <c r="O25" s="7" t="n"/>
      <c r="P25" s="7" t="n"/>
    </row>
    <row r="26">
      <c r="A26" t="inlineStr">
        <is>
          <t>خروجی ایستگاه ۱ (پس از تخلیه)</t>
        </is>
      </c>
      <c r="B26" s="8" t="inlineStr">
        <is>
          <t>OPS.s1out</t>
        </is>
      </c>
      <c r="C26" s="9" t="inlineStr">
        <is>
          <t>تن</t>
        </is>
      </c>
      <c r="D26" s="14">
        <f>'ENG_OPS'!$D$20*(1-'IN_TECH'!$D$40)</f>
        <v/>
      </c>
      <c r="E26" s="14">
        <f>'ENG_OPS'!$E$20*(1-'IN_TECH'!$D$40)</f>
        <v/>
      </c>
      <c r="F26" s="14">
        <f>'ENG_OPS'!$F$20*(1-'IN_TECH'!$D$40)</f>
        <v/>
      </c>
      <c r="G26" s="14">
        <f>'ENG_OPS'!$G$20*(1-'IN_TECH'!$D$40)</f>
        <v/>
      </c>
      <c r="H26" s="14">
        <f>'ENG_OPS'!$H$20*(1-'IN_TECH'!$D$40)</f>
        <v/>
      </c>
      <c r="I26" s="14">
        <f>'ENG_OPS'!$I$20*(1-'IN_TECH'!$D$40)</f>
        <v/>
      </c>
      <c r="J26" s="14">
        <f>'ENG_OPS'!$J$20*(1-'IN_TECH'!$D$40)</f>
        <v/>
      </c>
      <c r="K26" s="14">
        <f>'ENG_OPS'!$K$20*(1-'IN_TECH'!$D$40)</f>
        <v/>
      </c>
      <c r="L26" s="14">
        <f>'ENG_OPS'!$L$20*(1-'IN_TECH'!$D$40)</f>
        <v/>
      </c>
      <c r="M26" s="14">
        <f>'ENG_OPS'!$M$20*(1-'IN_TECH'!$D$40)</f>
        <v/>
      </c>
      <c r="N26" s="14">
        <f>'ENG_OPS'!$N$20*(1-'IN_TECH'!$D$40)</f>
        <v/>
      </c>
      <c r="O26" s="14">
        <f>'ENG_OPS'!$O$20*(1-'IN_TECH'!$D$40)</f>
        <v/>
      </c>
      <c r="P26" s="14">
        <f>'ENG_OPS'!$P$20*(1-'IN_TECH'!$D$40)</f>
        <v/>
      </c>
    </row>
    <row r="27">
      <c r="A27" t="inlineStr">
        <is>
          <t>خروجی ایستگاه ۲ (پس از خردایش)</t>
        </is>
      </c>
      <c r="B27" s="8" t="inlineStr">
        <is>
          <t>OPS.s2out</t>
        </is>
      </c>
      <c r="C27" s="9" t="inlineStr">
        <is>
          <t>تن</t>
        </is>
      </c>
      <c r="D27" s="14">
        <f>'ENG_OPS'!$D$26*(1-'IN_TECH'!$E$40)</f>
        <v/>
      </c>
      <c r="E27" s="14">
        <f>'ENG_OPS'!$E$26*(1-'IN_TECH'!$E$40)</f>
        <v/>
      </c>
      <c r="F27" s="14">
        <f>'ENG_OPS'!$F$26*(1-'IN_TECH'!$E$40)</f>
        <v/>
      </c>
      <c r="G27" s="14">
        <f>'ENG_OPS'!$G$26*(1-'IN_TECH'!$E$40)</f>
        <v/>
      </c>
      <c r="H27" s="14">
        <f>'ENG_OPS'!$H$26*(1-'IN_TECH'!$E$40)</f>
        <v/>
      </c>
      <c r="I27" s="14">
        <f>'ENG_OPS'!$I$26*(1-'IN_TECH'!$E$40)</f>
        <v/>
      </c>
      <c r="J27" s="14">
        <f>'ENG_OPS'!$J$26*(1-'IN_TECH'!$E$40)</f>
        <v/>
      </c>
      <c r="K27" s="14">
        <f>'ENG_OPS'!$K$26*(1-'IN_TECH'!$E$40)</f>
        <v/>
      </c>
      <c r="L27" s="14">
        <f>'ENG_OPS'!$L$26*(1-'IN_TECH'!$E$40)</f>
        <v/>
      </c>
      <c r="M27" s="14">
        <f>'ENG_OPS'!$M$26*(1-'IN_TECH'!$E$40)</f>
        <v/>
      </c>
      <c r="N27" s="14">
        <f>'ENG_OPS'!$N$26*(1-'IN_TECH'!$E$40)</f>
        <v/>
      </c>
      <c r="O27" s="14">
        <f>'ENG_OPS'!$O$26*(1-'IN_TECH'!$E$40)</f>
        <v/>
      </c>
      <c r="P27" s="14">
        <f>'ENG_OPS'!$P$26*(1-'IN_TECH'!$E$40)</f>
        <v/>
      </c>
    </row>
    <row r="28">
      <c r="A28" t="inlineStr">
        <is>
          <t>خمیر سرب (جریان تفکیک‌شده)</t>
        </is>
      </c>
      <c r="B28" s="8" t="inlineStr">
        <is>
          <t>OPS.paste</t>
        </is>
      </c>
      <c r="C28" s="9" t="inlineStr">
        <is>
          <t>تن</t>
        </is>
      </c>
      <c r="D28" s="14">
        <f>'ENG_OPS'!$D$27*'IN_TECH'!$D$27</f>
        <v/>
      </c>
      <c r="E28" s="14">
        <f>'ENG_OPS'!$E$27*'IN_TECH'!$D$27</f>
        <v/>
      </c>
      <c r="F28" s="14">
        <f>'ENG_OPS'!$F$27*'IN_TECH'!$D$27</f>
        <v/>
      </c>
      <c r="G28" s="14">
        <f>'ENG_OPS'!$G$27*'IN_TECH'!$D$27</f>
        <v/>
      </c>
      <c r="H28" s="14">
        <f>'ENG_OPS'!$H$27*'IN_TECH'!$D$27</f>
        <v/>
      </c>
      <c r="I28" s="14">
        <f>'ENG_OPS'!$I$27*'IN_TECH'!$D$27</f>
        <v/>
      </c>
      <c r="J28" s="14">
        <f>'ENG_OPS'!$J$27*'IN_TECH'!$D$27</f>
        <v/>
      </c>
      <c r="K28" s="14">
        <f>'ENG_OPS'!$K$27*'IN_TECH'!$D$27</f>
        <v/>
      </c>
      <c r="L28" s="14">
        <f>'ENG_OPS'!$L$27*'IN_TECH'!$D$27</f>
        <v/>
      </c>
      <c r="M28" s="14">
        <f>'ENG_OPS'!$M$27*'IN_TECH'!$D$27</f>
        <v/>
      </c>
      <c r="N28" s="14">
        <f>'ENG_OPS'!$N$27*'IN_TECH'!$D$27</f>
        <v/>
      </c>
      <c r="O28" s="14">
        <f>'ENG_OPS'!$O$27*'IN_TECH'!$D$27</f>
        <v/>
      </c>
      <c r="P28" s="14">
        <f>'ENG_OPS'!$P$27*'IN_TECH'!$D$27</f>
        <v/>
      </c>
    </row>
    <row r="29">
      <c r="A29" t="inlineStr">
        <is>
          <t>قطعات فلزی سربی (جریان تفکیک‌شده)</t>
        </is>
      </c>
      <c r="B29" s="8" t="inlineStr">
        <is>
          <t>OPS.metal</t>
        </is>
      </c>
      <c r="C29" s="9" t="inlineStr">
        <is>
          <t>تن</t>
        </is>
      </c>
      <c r="D29" s="14">
        <f>'ENG_OPS'!$D$27*'IN_TECH'!$D$28</f>
        <v/>
      </c>
      <c r="E29" s="14">
        <f>'ENG_OPS'!$E$27*'IN_TECH'!$D$28</f>
        <v/>
      </c>
      <c r="F29" s="14">
        <f>'ENG_OPS'!$F$27*'IN_TECH'!$D$28</f>
        <v/>
      </c>
      <c r="G29" s="14">
        <f>'ENG_OPS'!$G$27*'IN_TECH'!$D$28</f>
        <v/>
      </c>
      <c r="H29" s="14">
        <f>'ENG_OPS'!$H$27*'IN_TECH'!$D$28</f>
        <v/>
      </c>
      <c r="I29" s="14">
        <f>'ENG_OPS'!$I$27*'IN_TECH'!$D$28</f>
        <v/>
      </c>
      <c r="J29" s="14">
        <f>'ENG_OPS'!$J$27*'IN_TECH'!$D$28</f>
        <v/>
      </c>
      <c r="K29" s="14">
        <f>'ENG_OPS'!$K$27*'IN_TECH'!$D$28</f>
        <v/>
      </c>
      <c r="L29" s="14">
        <f>'ENG_OPS'!$L$27*'IN_TECH'!$D$28</f>
        <v/>
      </c>
      <c r="M29" s="14">
        <f>'ENG_OPS'!$M$27*'IN_TECH'!$D$28</f>
        <v/>
      </c>
      <c r="N29" s="14">
        <f>'ENG_OPS'!$N$27*'IN_TECH'!$D$28</f>
        <v/>
      </c>
      <c r="O29" s="14">
        <f>'ENG_OPS'!$O$27*'IN_TECH'!$D$28</f>
        <v/>
      </c>
      <c r="P29" s="14">
        <f>'ENG_OPS'!$P$27*'IN_TECH'!$D$28</f>
        <v/>
      </c>
    </row>
    <row r="30">
      <c r="A30" t="inlineStr">
        <is>
          <t>پلی‌پروپیلن (جریان تفکیک‌شده)</t>
        </is>
      </c>
      <c r="B30" s="8" t="inlineStr">
        <is>
          <t>OPS.pp</t>
        </is>
      </c>
      <c r="C30" s="9" t="inlineStr">
        <is>
          <t>تن</t>
        </is>
      </c>
      <c r="D30" s="14">
        <f>'ENG_OPS'!$D$27*'IN_TECH'!$D$29</f>
        <v/>
      </c>
      <c r="E30" s="14">
        <f>'ENG_OPS'!$E$27*'IN_TECH'!$D$29</f>
        <v/>
      </c>
      <c r="F30" s="14">
        <f>'ENG_OPS'!$F$27*'IN_TECH'!$D$29</f>
        <v/>
      </c>
      <c r="G30" s="14">
        <f>'ENG_OPS'!$G$27*'IN_TECH'!$D$29</f>
        <v/>
      </c>
      <c r="H30" s="14">
        <f>'ENG_OPS'!$H$27*'IN_TECH'!$D$29</f>
        <v/>
      </c>
      <c r="I30" s="14">
        <f>'ENG_OPS'!$I$27*'IN_TECH'!$D$29</f>
        <v/>
      </c>
      <c r="J30" s="14">
        <f>'ENG_OPS'!$J$27*'IN_TECH'!$D$29</f>
        <v/>
      </c>
      <c r="K30" s="14">
        <f>'ENG_OPS'!$K$27*'IN_TECH'!$D$29</f>
        <v/>
      </c>
      <c r="L30" s="14">
        <f>'ENG_OPS'!$L$27*'IN_TECH'!$D$29</f>
        <v/>
      </c>
      <c r="M30" s="14">
        <f>'ENG_OPS'!$M$27*'IN_TECH'!$D$29</f>
        <v/>
      </c>
      <c r="N30" s="14">
        <f>'ENG_OPS'!$N$27*'IN_TECH'!$D$29</f>
        <v/>
      </c>
      <c r="O30" s="14">
        <f>'ENG_OPS'!$O$27*'IN_TECH'!$D$29</f>
        <v/>
      </c>
      <c r="P30" s="14">
        <f>'ENG_OPS'!$P$27*'IN_TECH'!$D$29</f>
        <v/>
      </c>
    </row>
    <row r="31">
      <c r="A31" t="inlineStr">
        <is>
          <t>جداکننده و سایر پسماند (جریان تفکیک‌شده)</t>
        </is>
      </c>
      <c r="B31" s="8" t="inlineStr">
        <is>
          <t>OPS.res</t>
        </is>
      </c>
      <c r="C31" s="9" t="inlineStr">
        <is>
          <t>تن</t>
        </is>
      </c>
      <c r="D31" s="14">
        <f>'ENG_OPS'!$D$27*'IN_TECH'!$D$31</f>
        <v/>
      </c>
      <c r="E31" s="14">
        <f>'ENG_OPS'!$E$27*'IN_TECH'!$D$31</f>
        <v/>
      </c>
      <c r="F31" s="14">
        <f>'ENG_OPS'!$F$27*'IN_TECH'!$D$31</f>
        <v/>
      </c>
      <c r="G31" s="14">
        <f>'ENG_OPS'!$G$27*'IN_TECH'!$D$31</f>
        <v/>
      </c>
      <c r="H31" s="14">
        <f>'ENG_OPS'!$H$27*'IN_TECH'!$D$31</f>
        <v/>
      </c>
      <c r="I31" s="14">
        <f>'ENG_OPS'!$I$27*'IN_TECH'!$D$31</f>
        <v/>
      </c>
      <c r="J31" s="14">
        <f>'ENG_OPS'!$J$27*'IN_TECH'!$D$31</f>
        <v/>
      </c>
      <c r="K31" s="14">
        <f>'ENG_OPS'!$K$27*'IN_TECH'!$D$31</f>
        <v/>
      </c>
      <c r="L31" s="14">
        <f>'ENG_OPS'!$L$27*'IN_TECH'!$D$31</f>
        <v/>
      </c>
      <c r="M31" s="14">
        <f>'ENG_OPS'!$M$27*'IN_TECH'!$D$31</f>
        <v/>
      </c>
      <c r="N31" s="14">
        <f>'ENG_OPS'!$N$27*'IN_TECH'!$D$31</f>
        <v/>
      </c>
      <c r="O31" s="14">
        <f>'ENG_OPS'!$O$27*'IN_TECH'!$D$31</f>
        <v/>
      </c>
      <c r="P31" s="14">
        <f>'ENG_OPS'!$P$27*'IN_TECH'!$D$31</f>
        <v/>
      </c>
    </row>
    <row r="32">
      <c r="A32" t="inlineStr">
        <is>
          <t>الکترولیت تخلیه‌شده</t>
        </is>
      </c>
      <c r="B32" s="8" t="inlineStr">
        <is>
          <t>OPS.elec</t>
        </is>
      </c>
      <c r="C32" s="9" t="inlineStr">
        <is>
          <t>تن</t>
        </is>
      </c>
      <c r="D32" s="14">
        <f>'ENG_OPS'!$D$20*'IN_TECH'!$D$30</f>
        <v/>
      </c>
      <c r="E32" s="14">
        <f>'ENG_OPS'!$E$20*'IN_TECH'!$D$30</f>
        <v/>
      </c>
      <c r="F32" s="14">
        <f>'ENG_OPS'!$F$20*'IN_TECH'!$D$30</f>
        <v/>
      </c>
      <c r="G32" s="14">
        <f>'ENG_OPS'!$G$20*'IN_TECH'!$D$30</f>
        <v/>
      </c>
      <c r="H32" s="14">
        <f>'ENG_OPS'!$H$20*'IN_TECH'!$D$30</f>
        <v/>
      </c>
      <c r="I32" s="14">
        <f>'ENG_OPS'!$I$20*'IN_TECH'!$D$30</f>
        <v/>
      </c>
      <c r="J32" s="14">
        <f>'ENG_OPS'!$J$20*'IN_TECH'!$D$30</f>
        <v/>
      </c>
      <c r="K32" s="14">
        <f>'ENG_OPS'!$K$20*'IN_TECH'!$D$30</f>
        <v/>
      </c>
      <c r="L32" s="14">
        <f>'ENG_OPS'!$L$20*'IN_TECH'!$D$30</f>
        <v/>
      </c>
      <c r="M32" s="14">
        <f>'ENG_OPS'!$M$20*'IN_TECH'!$D$30</f>
        <v/>
      </c>
      <c r="N32" s="14">
        <f>'ENG_OPS'!$N$20*'IN_TECH'!$D$30</f>
        <v/>
      </c>
      <c r="O32" s="14">
        <f>'ENG_OPS'!$O$20*'IN_TECH'!$D$30</f>
        <v/>
      </c>
      <c r="P32" s="14">
        <f>'ENG_OPS'!$P$20*'IN_TECH'!$D$30</f>
        <v/>
      </c>
    </row>
    <row r="33">
      <c r="A33" t="inlineStr">
        <is>
          <t>خمیر سولفات‌زدایی‌شده</t>
        </is>
      </c>
      <c r="B33" s="8" t="inlineStr">
        <is>
          <t>OPS.paste_ds</t>
        </is>
      </c>
      <c r="C33" s="9" t="inlineStr">
        <is>
          <t>تن</t>
        </is>
      </c>
      <c r="D33" s="14">
        <f>'ENG_OPS'!$D$28*'IN_TECH'!$D$18*(1-'IN_TECH'!$F$40)</f>
        <v/>
      </c>
      <c r="E33" s="14">
        <f>'ENG_OPS'!$E$28*'IN_TECH'!$D$18*(1-'IN_TECH'!$F$40)</f>
        <v/>
      </c>
      <c r="F33" s="14">
        <f>'ENG_OPS'!$F$28*'IN_TECH'!$D$18*(1-'IN_TECH'!$F$40)</f>
        <v/>
      </c>
      <c r="G33" s="14">
        <f>'ENG_OPS'!$G$28*'IN_TECH'!$D$18*(1-'IN_TECH'!$F$40)</f>
        <v/>
      </c>
      <c r="H33" s="14">
        <f>'ENG_OPS'!$H$28*'IN_TECH'!$D$18*(1-'IN_TECH'!$F$40)</f>
        <v/>
      </c>
      <c r="I33" s="14">
        <f>'ENG_OPS'!$I$28*'IN_TECH'!$D$18*(1-'IN_TECH'!$F$40)</f>
        <v/>
      </c>
      <c r="J33" s="14">
        <f>'ENG_OPS'!$J$28*'IN_TECH'!$D$18*(1-'IN_TECH'!$F$40)</f>
        <v/>
      </c>
      <c r="K33" s="14">
        <f>'ENG_OPS'!$K$28*'IN_TECH'!$D$18*(1-'IN_TECH'!$F$40)</f>
        <v/>
      </c>
      <c r="L33" s="14">
        <f>'ENG_OPS'!$L$28*'IN_TECH'!$D$18*(1-'IN_TECH'!$F$40)</f>
        <v/>
      </c>
      <c r="M33" s="14">
        <f>'ENG_OPS'!$M$28*'IN_TECH'!$D$18*(1-'IN_TECH'!$F$40)</f>
        <v/>
      </c>
      <c r="N33" s="14">
        <f>'ENG_OPS'!$N$28*'IN_TECH'!$D$18*(1-'IN_TECH'!$F$40)</f>
        <v/>
      </c>
      <c r="O33" s="14">
        <f>'ENG_OPS'!$O$28*'IN_TECH'!$D$18*(1-'IN_TECH'!$F$40)</f>
        <v/>
      </c>
      <c r="P33" s="14">
        <f>'ENG_OPS'!$P$28*'IN_TECH'!$D$18*(1-'IN_TECH'!$F$40)</f>
        <v/>
      </c>
    </row>
    <row r="34">
      <c r="A34" t="inlineStr">
        <is>
          <t>سرب ورودی به کوره</t>
        </is>
      </c>
      <c r="B34" s="8" t="inlineStr">
        <is>
          <t>OPS.furnace_pb</t>
        </is>
      </c>
      <c r="C34" s="9" t="inlineStr">
        <is>
          <t>تن</t>
        </is>
      </c>
      <c r="D34" s="14">
        <f>'ENG_OPS'!$D$33*'IN_TECH'!$D$16+'ENG_OPS'!$D$29*'IN_TECH'!$D$17</f>
        <v/>
      </c>
      <c r="E34" s="14">
        <f>'ENG_OPS'!$E$33*'IN_TECH'!$D$16+'ENG_OPS'!$E$29*'IN_TECH'!$D$17</f>
        <v/>
      </c>
      <c r="F34" s="14">
        <f>'ENG_OPS'!$F$33*'IN_TECH'!$D$16+'ENG_OPS'!$F$29*'IN_TECH'!$D$17</f>
        <v/>
      </c>
      <c r="G34" s="14">
        <f>'ENG_OPS'!$G$33*'IN_TECH'!$D$16+'ENG_OPS'!$G$29*'IN_TECH'!$D$17</f>
        <v/>
      </c>
      <c r="H34" s="14">
        <f>'ENG_OPS'!$H$33*'IN_TECH'!$D$16+'ENG_OPS'!$H$29*'IN_TECH'!$D$17</f>
        <v/>
      </c>
      <c r="I34" s="14">
        <f>'ENG_OPS'!$I$33*'IN_TECH'!$D$16+'ENG_OPS'!$I$29*'IN_TECH'!$D$17</f>
        <v/>
      </c>
      <c r="J34" s="14">
        <f>'ENG_OPS'!$J$33*'IN_TECH'!$D$16+'ENG_OPS'!$J$29*'IN_TECH'!$D$17</f>
        <v/>
      </c>
      <c r="K34" s="14">
        <f>'ENG_OPS'!$K$33*'IN_TECH'!$D$16+'ENG_OPS'!$K$29*'IN_TECH'!$D$17</f>
        <v/>
      </c>
      <c r="L34" s="14">
        <f>'ENG_OPS'!$L$33*'IN_TECH'!$D$16+'ENG_OPS'!$L$29*'IN_TECH'!$D$17</f>
        <v/>
      </c>
      <c r="M34" s="14">
        <f>'ENG_OPS'!$M$33*'IN_TECH'!$D$16+'ENG_OPS'!$M$29*'IN_TECH'!$D$17</f>
        <v/>
      </c>
      <c r="N34" s="14">
        <f>'ENG_OPS'!$N$33*'IN_TECH'!$D$16+'ENG_OPS'!$N$29*'IN_TECH'!$D$17</f>
        <v/>
      </c>
      <c r="O34" s="14">
        <f>'ENG_OPS'!$O$33*'IN_TECH'!$D$16+'ENG_OPS'!$O$29*'IN_TECH'!$D$17</f>
        <v/>
      </c>
      <c r="P34" s="14">
        <f>'ENG_OPS'!$P$33*'IN_TECH'!$D$16+'ENG_OPS'!$P$29*'IN_TECH'!$D$17</f>
        <v/>
      </c>
    </row>
    <row r="35">
      <c r="A35" t="inlineStr">
        <is>
          <t>سرب خام خروجی کوره</t>
        </is>
      </c>
      <c r="B35" s="8" t="inlineStr">
        <is>
          <t>OPS.crude</t>
        </is>
      </c>
      <c r="C35" s="9" t="inlineStr">
        <is>
          <t>تن</t>
        </is>
      </c>
      <c r="D35" s="14">
        <f>'ENG_OPS'!$D$34*'IN_TECH'!$D$19*(1-'IN_TECH'!$G$40)</f>
        <v/>
      </c>
      <c r="E35" s="14">
        <f>'ENG_OPS'!$E$34*'IN_TECH'!$D$19*(1-'IN_TECH'!$G$40)</f>
        <v/>
      </c>
      <c r="F35" s="14">
        <f>'ENG_OPS'!$F$34*'IN_TECH'!$D$19*(1-'IN_TECH'!$G$40)</f>
        <v/>
      </c>
      <c r="G35" s="14">
        <f>'ENG_OPS'!$G$34*'IN_TECH'!$D$19*(1-'IN_TECH'!$G$40)</f>
        <v/>
      </c>
      <c r="H35" s="14">
        <f>'ENG_OPS'!$H$34*'IN_TECH'!$D$19*(1-'IN_TECH'!$G$40)</f>
        <v/>
      </c>
      <c r="I35" s="14">
        <f>'ENG_OPS'!$I$34*'IN_TECH'!$D$19*(1-'IN_TECH'!$G$40)</f>
        <v/>
      </c>
      <c r="J35" s="14">
        <f>'ENG_OPS'!$J$34*'IN_TECH'!$D$19*(1-'IN_TECH'!$G$40)</f>
        <v/>
      </c>
      <c r="K35" s="14">
        <f>'ENG_OPS'!$K$34*'IN_TECH'!$D$19*(1-'IN_TECH'!$G$40)</f>
        <v/>
      </c>
      <c r="L35" s="14">
        <f>'ENG_OPS'!$L$34*'IN_TECH'!$D$19*(1-'IN_TECH'!$G$40)</f>
        <v/>
      </c>
      <c r="M35" s="14">
        <f>'ENG_OPS'!$M$34*'IN_TECH'!$D$19*(1-'IN_TECH'!$G$40)</f>
        <v/>
      </c>
      <c r="N35" s="14">
        <f>'ENG_OPS'!$N$34*'IN_TECH'!$D$19*(1-'IN_TECH'!$G$40)</f>
        <v/>
      </c>
      <c r="O35" s="14">
        <f>'ENG_OPS'!$O$34*'IN_TECH'!$D$19*(1-'IN_TECH'!$G$40)</f>
        <v/>
      </c>
      <c r="P35" s="14">
        <f>'ENG_OPS'!$P$34*'IN_TECH'!$D$19*(1-'IN_TECH'!$G$40)</f>
        <v/>
      </c>
    </row>
    <row r="36">
      <c r="A36" t="inlineStr">
        <is>
          <t>سرب تصفیه‌شده</t>
        </is>
      </c>
      <c r="B36" s="8" t="inlineStr">
        <is>
          <t>OPS.refined</t>
        </is>
      </c>
      <c r="C36" s="9" t="inlineStr">
        <is>
          <t>تن</t>
        </is>
      </c>
      <c r="D36" s="14">
        <f>'ENG_OPS'!$D$35*'IN_TECH'!$D$20*(1-'IN_TECH'!$H$40)</f>
        <v/>
      </c>
      <c r="E36" s="14">
        <f>'ENG_OPS'!$E$35*'IN_TECH'!$D$20*(1-'IN_TECH'!$H$40)</f>
        <v/>
      </c>
      <c r="F36" s="14">
        <f>'ENG_OPS'!$F$35*'IN_TECH'!$D$20*(1-'IN_TECH'!$H$40)</f>
        <v/>
      </c>
      <c r="G36" s="14">
        <f>'ENG_OPS'!$G$35*'IN_TECH'!$D$20*(1-'IN_TECH'!$H$40)</f>
        <v/>
      </c>
      <c r="H36" s="14">
        <f>'ENG_OPS'!$H$35*'IN_TECH'!$D$20*(1-'IN_TECH'!$H$40)</f>
        <v/>
      </c>
      <c r="I36" s="14">
        <f>'ENG_OPS'!$I$35*'IN_TECH'!$D$20*(1-'IN_TECH'!$H$40)</f>
        <v/>
      </c>
      <c r="J36" s="14">
        <f>'ENG_OPS'!$J$35*'IN_TECH'!$D$20*(1-'IN_TECH'!$H$40)</f>
        <v/>
      </c>
      <c r="K36" s="14">
        <f>'ENG_OPS'!$K$35*'IN_TECH'!$D$20*(1-'IN_TECH'!$H$40)</f>
        <v/>
      </c>
      <c r="L36" s="14">
        <f>'ENG_OPS'!$L$35*'IN_TECH'!$D$20*(1-'IN_TECH'!$H$40)</f>
        <v/>
      </c>
      <c r="M36" s="14">
        <f>'ENG_OPS'!$M$35*'IN_TECH'!$D$20*(1-'IN_TECH'!$H$40)</f>
        <v/>
      </c>
      <c r="N36" s="14">
        <f>'ENG_OPS'!$N$35*'IN_TECH'!$D$20*(1-'IN_TECH'!$H$40)</f>
        <v/>
      </c>
      <c r="O36" s="14">
        <f>'ENG_OPS'!$O$35*'IN_TECH'!$D$20*(1-'IN_TECH'!$H$40)</f>
        <v/>
      </c>
      <c r="P36" s="14">
        <f>'ENG_OPS'!$P$35*'IN_TECH'!$D$20*(1-'IN_TECH'!$H$40)</f>
        <v/>
      </c>
    </row>
    <row r="37"/>
    <row r="38">
      <c r="A38" s="6" t="inlineStr">
        <is>
          <t>ج) محصولات قابل فروش</t>
        </is>
      </c>
      <c r="B38" s="7" t="n"/>
      <c r="C38" s="7" t="n"/>
      <c r="D38" s="7" t="n"/>
      <c r="E38" s="7" t="n"/>
      <c r="F38" s="7" t="n"/>
      <c r="G38" s="7" t="n"/>
      <c r="H38" s="7" t="n"/>
      <c r="I38" s="7" t="n"/>
      <c r="J38" s="7" t="n"/>
      <c r="K38" s="7" t="n"/>
      <c r="L38" s="7" t="n"/>
      <c r="M38" s="7" t="n"/>
      <c r="N38" s="7" t="n"/>
      <c r="O38" s="7" t="n"/>
      <c r="P38" s="7" t="n"/>
    </row>
    <row r="39">
      <c r="A39" t="inlineStr">
        <is>
          <t>شمش سرب خالص (تولید)</t>
        </is>
      </c>
      <c r="B39" s="8" t="inlineStr">
        <is>
          <t>OPS.soft</t>
        </is>
      </c>
      <c r="C39" s="9" t="inlineStr">
        <is>
          <t>تن</t>
        </is>
      </c>
      <c r="D39" s="14">
        <f>'ENG_OPS'!$D$36*'IN_TECH'!$D$23*(1-'IN_TECH'!$I$40)</f>
        <v/>
      </c>
      <c r="E39" s="14">
        <f>'ENG_OPS'!$E$36*'IN_TECH'!$D$23*(1-'IN_TECH'!$I$40)</f>
        <v/>
      </c>
      <c r="F39" s="14">
        <f>'ENG_OPS'!$F$36*'IN_TECH'!$D$23*(1-'IN_TECH'!$I$40)</f>
        <v/>
      </c>
      <c r="G39" s="14">
        <f>'ENG_OPS'!$G$36*'IN_TECH'!$D$23*(1-'IN_TECH'!$I$40)</f>
        <v/>
      </c>
      <c r="H39" s="14">
        <f>'ENG_OPS'!$H$36*'IN_TECH'!$D$23*(1-'IN_TECH'!$I$40)</f>
        <v/>
      </c>
      <c r="I39" s="14">
        <f>'ENG_OPS'!$I$36*'IN_TECH'!$D$23*(1-'IN_TECH'!$I$40)</f>
        <v/>
      </c>
      <c r="J39" s="14">
        <f>'ENG_OPS'!$J$36*'IN_TECH'!$D$23*(1-'IN_TECH'!$I$40)</f>
        <v/>
      </c>
      <c r="K39" s="14">
        <f>'ENG_OPS'!$K$36*'IN_TECH'!$D$23*(1-'IN_TECH'!$I$40)</f>
        <v/>
      </c>
      <c r="L39" s="14">
        <f>'ENG_OPS'!$L$36*'IN_TECH'!$D$23*(1-'IN_TECH'!$I$40)</f>
        <v/>
      </c>
      <c r="M39" s="14">
        <f>'ENG_OPS'!$M$36*'IN_TECH'!$D$23*(1-'IN_TECH'!$I$40)</f>
        <v/>
      </c>
      <c r="N39" s="14">
        <f>'ENG_OPS'!$N$36*'IN_TECH'!$D$23*(1-'IN_TECH'!$I$40)</f>
        <v/>
      </c>
      <c r="O39" s="14">
        <f>'ENG_OPS'!$O$36*'IN_TECH'!$D$23*(1-'IN_TECH'!$I$40)</f>
        <v/>
      </c>
      <c r="P39" s="14">
        <f>'ENG_OPS'!$P$36*'IN_TECH'!$D$23*(1-'IN_TECH'!$I$40)</f>
        <v/>
      </c>
    </row>
    <row r="40">
      <c r="A40" t="inlineStr">
        <is>
          <t>شمش آلیاژ سرب (تولید)</t>
        </is>
      </c>
      <c r="B40" s="8" t="inlineStr">
        <is>
          <t>OPS.alloy</t>
        </is>
      </c>
      <c r="C40" s="9" t="inlineStr">
        <is>
          <t>تن</t>
        </is>
      </c>
      <c r="D40" s="14">
        <f>'ENG_OPS'!$D$36*'IN_TECH'!$D$24*(1-'IN_TECH'!$I$40)</f>
        <v/>
      </c>
      <c r="E40" s="14">
        <f>'ENG_OPS'!$E$36*'IN_TECH'!$D$24*(1-'IN_TECH'!$I$40)</f>
        <v/>
      </c>
      <c r="F40" s="14">
        <f>'ENG_OPS'!$F$36*'IN_TECH'!$D$24*(1-'IN_TECH'!$I$40)</f>
        <v/>
      </c>
      <c r="G40" s="14">
        <f>'ENG_OPS'!$G$36*'IN_TECH'!$D$24*(1-'IN_TECH'!$I$40)</f>
        <v/>
      </c>
      <c r="H40" s="14">
        <f>'ENG_OPS'!$H$36*'IN_TECH'!$D$24*(1-'IN_TECH'!$I$40)</f>
        <v/>
      </c>
      <c r="I40" s="14">
        <f>'ENG_OPS'!$I$36*'IN_TECH'!$D$24*(1-'IN_TECH'!$I$40)</f>
        <v/>
      </c>
      <c r="J40" s="14">
        <f>'ENG_OPS'!$J$36*'IN_TECH'!$D$24*(1-'IN_TECH'!$I$40)</f>
        <v/>
      </c>
      <c r="K40" s="14">
        <f>'ENG_OPS'!$K$36*'IN_TECH'!$D$24*(1-'IN_TECH'!$I$40)</f>
        <v/>
      </c>
      <c r="L40" s="14">
        <f>'ENG_OPS'!$L$36*'IN_TECH'!$D$24*(1-'IN_TECH'!$I$40)</f>
        <v/>
      </c>
      <c r="M40" s="14">
        <f>'ENG_OPS'!$M$36*'IN_TECH'!$D$24*(1-'IN_TECH'!$I$40)</f>
        <v/>
      </c>
      <c r="N40" s="14">
        <f>'ENG_OPS'!$N$36*'IN_TECH'!$D$24*(1-'IN_TECH'!$I$40)</f>
        <v/>
      </c>
      <c r="O40" s="14">
        <f>'ENG_OPS'!$O$36*'IN_TECH'!$D$24*(1-'IN_TECH'!$I$40)</f>
        <v/>
      </c>
      <c r="P40" s="14">
        <f>'ENG_OPS'!$P$36*'IN_TECH'!$D$24*(1-'IN_TECH'!$I$40)</f>
        <v/>
      </c>
    </row>
    <row r="41">
      <c r="A41" t="inlineStr">
        <is>
          <t>گرانول پلی‌پروپیلن (تولید)</t>
        </is>
      </c>
      <c r="B41" s="8" t="inlineStr">
        <is>
          <t>OPS.ppg</t>
        </is>
      </c>
      <c r="C41" s="9" t="inlineStr">
        <is>
          <t>تن</t>
        </is>
      </c>
      <c r="D41" s="14">
        <f>'ENG_OPS'!$D$30*'IN_TECH'!$D$21*(1-'IN_TECH'!$I$40)</f>
        <v/>
      </c>
      <c r="E41" s="14">
        <f>'ENG_OPS'!$E$30*'IN_TECH'!$D$21*(1-'IN_TECH'!$I$40)</f>
        <v/>
      </c>
      <c r="F41" s="14">
        <f>'ENG_OPS'!$F$30*'IN_TECH'!$D$21*(1-'IN_TECH'!$I$40)</f>
        <v/>
      </c>
      <c r="G41" s="14">
        <f>'ENG_OPS'!$G$30*'IN_TECH'!$D$21*(1-'IN_TECH'!$I$40)</f>
        <v/>
      </c>
      <c r="H41" s="14">
        <f>'ENG_OPS'!$H$30*'IN_TECH'!$D$21*(1-'IN_TECH'!$I$40)</f>
        <v/>
      </c>
      <c r="I41" s="14">
        <f>'ENG_OPS'!$I$30*'IN_TECH'!$D$21*(1-'IN_TECH'!$I$40)</f>
        <v/>
      </c>
      <c r="J41" s="14">
        <f>'ENG_OPS'!$J$30*'IN_TECH'!$D$21*(1-'IN_TECH'!$I$40)</f>
        <v/>
      </c>
      <c r="K41" s="14">
        <f>'ENG_OPS'!$K$30*'IN_TECH'!$D$21*(1-'IN_TECH'!$I$40)</f>
        <v/>
      </c>
      <c r="L41" s="14">
        <f>'ENG_OPS'!$L$30*'IN_TECH'!$D$21*(1-'IN_TECH'!$I$40)</f>
        <v/>
      </c>
      <c r="M41" s="14">
        <f>'ENG_OPS'!$M$30*'IN_TECH'!$D$21*(1-'IN_TECH'!$I$40)</f>
        <v/>
      </c>
      <c r="N41" s="14">
        <f>'ENG_OPS'!$N$30*'IN_TECH'!$D$21*(1-'IN_TECH'!$I$40)</f>
        <v/>
      </c>
      <c r="O41" s="14">
        <f>'ENG_OPS'!$O$30*'IN_TECH'!$D$21*(1-'IN_TECH'!$I$40)</f>
        <v/>
      </c>
      <c r="P41" s="14">
        <f>'ENG_OPS'!$P$30*'IN_TECH'!$D$21*(1-'IN_TECH'!$I$40)</f>
        <v/>
      </c>
    </row>
    <row r="42">
      <c r="A42" t="inlineStr">
        <is>
          <t>سولفات سدیم (تولید)</t>
        </is>
      </c>
      <c r="B42" s="8" t="inlineStr">
        <is>
          <t>OPS.na2so4</t>
        </is>
      </c>
      <c r="C42" s="9" t="inlineStr">
        <is>
          <t>تن</t>
        </is>
      </c>
      <c r="D42" s="14">
        <f>'ENG_OPS'!$D$20*'IN_TECH'!$D$22*(1-'IN_TECH'!$I$40)</f>
        <v/>
      </c>
      <c r="E42" s="14">
        <f>'ENG_OPS'!$E$20*'IN_TECH'!$D$22*(1-'IN_TECH'!$I$40)</f>
        <v/>
      </c>
      <c r="F42" s="14">
        <f>'ENG_OPS'!$F$20*'IN_TECH'!$D$22*(1-'IN_TECH'!$I$40)</f>
        <v/>
      </c>
      <c r="G42" s="14">
        <f>'ENG_OPS'!$G$20*'IN_TECH'!$D$22*(1-'IN_TECH'!$I$40)</f>
        <v/>
      </c>
      <c r="H42" s="14">
        <f>'ENG_OPS'!$H$20*'IN_TECH'!$D$22*(1-'IN_TECH'!$I$40)</f>
        <v/>
      </c>
      <c r="I42" s="14">
        <f>'ENG_OPS'!$I$20*'IN_TECH'!$D$22*(1-'IN_TECH'!$I$40)</f>
        <v/>
      </c>
      <c r="J42" s="14">
        <f>'ENG_OPS'!$J$20*'IN_TECH'!$D$22*(1-'IN_TECH'!$I$40)</f>
        <v/>
      </c>
      <c r="K42" s="14">
        <f>'ENG_OPS'!$K$20*'IN_TECH'!$D$22*(1-'IN_TECH'!$I$40)</f>
        <v/>
      </c>
      <c r="L42" s="14">
        <f>'ENG_OPS'!$L$20*'IN_TECH'!$D$22*(1-'IN_TECH'!$I$40)</f>
        <v/>
      </c>
      <c r="M42" s="14">
        <f>'ENG_OPS'!$M$20*'IN_TECH'!$D$22*(1-'IN_TECH'!$I$40)</f>
        <v/>
      </c>
      <c r="N42" s="14">
        <f>'ENG_OPS'!$N$20*'IN_TECH'!$D$22*(1-'IN_TECH'!$I$40)</f>
        <v/>
      </c>
      <c r="O42" s="14">
        <f>'ENG_OPS'!$O$20*'IN_TECH'!$D$22*(1-'IN_TECH'!$I$40)</f>
        <v/>
      </c>
      <c r="P42" s="14">
        <f>'ENG_OPS'!$P$20*'IN_TECH'!$D$22*(1-'IN_TECH'!$I$40)</f>
        <v/>
      </c>
    </row>
    <row r="43">
      <c r="A43" t="inlineStr">
        <is>
          <t>جمع محصولات تولیدی</t>
        </is>
      </c>
      <c r="B43" s="8" t="inlineStr">
        <is>
          <t>OPS.prod_total</t>
        </is>
      </c>
      <c r="C43" s="9" t="inlineStr">
        <is>
          <t>تن</t>
        </is>
      </c>
      <c r="D43" s="14">
        <f>'ENG_OPS'!$D$39+'ENG_OPS'!$D$40+'ENG_OPS'!$D$41+'ENG_OPS'!$D$42</f>
        <v/>
      </c>
      <c r="E43" s="14">
        <f>'ENG_OPS'!$E$39+'ENG_OPS'!$E$40+'ENG_OPS'!$E$41+'ENG_OPS'!$E$42</f>
        <v/>
      </c>
      <c r="F43" s="14">
        <f>'ENG_OPS'!$F$39+'ENG_OPS'!$F$40+'ENG_OPS'!$F$41+'ENG_OPS'!$F$42</f>
        <v/>
      </c>
      <c r="G43" s="14">
        <f>'ENG_OPS'!$G$39+'ENG_OPS'!$G$40+'ENG_OPS'!$G$41+'ENG_OPS'!$G$42</f>
        <v/>
      </c>
      <c r="H43" s="14">
        <f>'ENG_OPS'!$H$39+'ENG_OPS'!$H$40+'ENG_OPS'!$H$41+'ENG_OPS'!$H$42</f>
        <v/>
      </c>
      <c r="I43" s="14">
        <f>'ENG_OPS'!$I$39+'ENG_OPS'!$I$40+'ENG_OPS'!$I$41+'ENG_OPS'!$I$42</f>
        <v/>
      </c>
      <c r="J43" s="14">
        <f>'ENG_OPS'!$J$39+'ENG_OPS'!$J$40+'ENG_OPS'!$J$41+'ENG_OPS'!$J$42</f>
        <v/>
      </c>
      <c r="K43" s="14">
        <f>'ENG_OPS'!$K$39+'ENG_OPS'!$K$40+'ENG_OPS'!$K$41+'ENG_OPS'!$K$42</f>
        <v/>
      </c>
      <c r="L43" s="14">
        <f>'ENG_OPS'!$L$39+'ENG_OPS'!$L$40+'ENG_OPS'!$L$41+'ENG_OPS'!$L$42</f>
        <v/>
      </c>
      <c r="M43" s="14">
        <f>'ENG_OPS'!$M$39+'ENG_OPS'!$M$40+'ENG_OPS'!$M$41+'ENG_OPS'!$M$42</f>
        <v/>
      </c>
      <c r="N43" s="14">
        <f>'ENG_OPS'!$N$39+'ENG_OPS'!$N$40+'ENG_OPS'!$N$41+'ENG_OPS'!$N$42</f>
        <v/>
      </c>
      <c r="O43" s="14">
        <f>'ENG_OPS'!$O$39+'ENG_OPS'!$O$40+'ENG_OPS'!$O$41+'ENG_OPS'!$O$42</f>
        <v/>
      </c>
      <c r="P43" s="14">
        <f>'ENG_OPS'!$P$39+'ENG_OPS'!$P$40+'ENG_OPS'!$P$41+'ENG_OPS'!$P$42</f>
        <v/>
      </c>
    </row>
    <row r="44">
      <c r="A44" t="inlineStr">
        <is>
          <t>ضایعات و پسماند (کنترل تراز)</t>
        </is>
      </c>
      <c r="B44" s="8" t="inlineStr">
        <is>
          <t>OPS.waste</t>
        </is>
      </c>
      <c r="C44" s="9" t="inlineStr">
        <is>
          <t>تن</t>
        </is>
      </c>
      <c r="D44" s="14">
        <f>'ENG_OPS'!$D$20-'ENG_OPS'!$D$43</f>
        <v/>
      </c>
      <c r="E44" s="14">
        <f>'ENG_OPS'!$E$20-'ENG_OPS'!$E$43</f>
        <v/>
      </c>
      <c r="F44" s="14">
        <f>'ENG_OPS'!$F$20-'ENG_OPS'!$F$43</f>
        <v/>
      </c>
      <c r="G44" s="14">
        <f>'ENG_OPS'!$G$20-'ENG_OPS'!$G$43</f>
        <v/>
      </c>
      <c r="H44" s="14">
        <f>'ENG_OPS'!$H$20-'ENG_OPS'!$H$43</f>
        <v/>
      </c>
      <c r="I44" s="14">
        <f>'ENG_OPS'!$I$20-'ENG_OPS'!$I$43</f>
        <v/>
      </c>
      <c r="J44" s="14">
        <f>'ENG_OPS'!$J$20-'ENG_OPS'!$J$43</f>
        <v/>
      </c>
      <c r="K44" s="14">
        <f>'ENG_OPS'!$K$20-'ENG_OPS'!$K$43</f>
        <v/>
      </c>
      <c r="L44" s="14">
        <f>'ENG_OPS'!$L$20-'ENG_OPS'!$L$43</f>
        <v/>
      </c>
      <c r="M44" s="14">
        <f>'ENG_OPS'!$M$20-'ENG_OPS'!$M$43</f>
        <v/>
      </c>
      <c r="N44" s="14">
        <f>'ENG_OPS'!$N$20-'ENG_OPS'!$N$43</f>
        <v/>
      </c>
      <c r="O44" s="14">
        <f>'ENG_OPS'!$O$20-'ENG_OPS'!$O$43</f>
        <v/>
      </c>
      <c r="P44" s="14">
        <f>'ENG_OPS'!$P$20-'ENG_OPS'!$P$43</f>
        <v/>
      </c>
    </row>
    <row r="45"/>
    <row r="46">
      <c r="A46" s="6" t="inlineStr">
        <is>
          <t>د) ورودی و بارگذاری ایستگاه‌ها</t>
        </is>
      </c>
      <c r="B46" s="7" t="n"/>
      <c r="C46" s="7" t="n"/>
      <c r="D46" s="7" t="n"/>
      <c r="E46" s="7" t="n"/>
      <c r="F46" s="7" t="n"/>
      <c r="G46" s="7" t="n"/>
      <c r="H46" s="7" t="n"/>
      <c r="I46" s="7" t="n"/>
      <c r="J46" s="7" t="n"/>
      <c r="K46" s="7" t="n"/>
      <c r="L46" s="7" t="n"/>
      <c r="M46" s="7" t="n"/>
      <c r="N46" s="7" t="n"/>
      <c r="O46" s="7" t="n"/>
      <c r="P46" s="7" t="n"/>
    </row>
    <row r="47">
      <c r="A47" t="inlineStr">
        <is>
          <t>ورودی ایستگاه 1</t>
        </is>
      </c>
      <c r="B47" s="8" t="inlineStr">
        <is>
          <t>OPS.feed.0</t>
        </is>
      </c>
      <c r="C47" s="9" t="inlineStr">
        <is>
          <t>تن</t>
        </is>
      </c>
      <c r="D47" s="14">
        <f>'ENG_OPS'!$D$20</f>
        <v/>
      </c>
      <c r="E47" s="14">
        <f>'ENG_OPS'!$E$20</f>
        <v/>
      </c>
      <c r="F47" s="14">
        <f>'ENG_OPS'!$F$20</f>
        <v/>
      </c>
      <c r="G47" s="14">
        <f>'ENG_OPS'!$G$20</f>
        <v/>
      </c>
      <c r="H47" s="14">
        <f>'ENG_OPS'!$H$20</f>
        <v/>
      </c>
      <c r="I47" s="14">
        <f>'ENG_OPS'!$I$20</f>
        <v/>
      </c>
      <c r="J47" s="14">
        <f>'ENG_OPS'!$J$20</f>
        <v/>
      </c>
      <c r="K47" s="14">
        <f>'ENG_OPS'!$K$20</f>
        <v/>
      </c>
      <c r="L47" s="14">
        <f>'ENG_OPS'!$L$20</f>
        <v/>
      </c>
      <c r="M47" s="14">
        <f>'ENG_OPS'!$M$20</f>
        <v/>
      </c>
      <c r="N47" s="14">
        <f>'ENG_OPS'!$N$20</f>
        <v/>
      </c>
      <c r="O47" s="14">
        <f>'ENG_OPS'!$O$20</f>
        <v/>
      </c>
      <c r="P47" s="14">
        <f>'ENG_OPS'!$P$20</f>
        <v/>
      </c>
    </row>
    <row r="48">
      <c r="A48" t="inlineStr">
        <is>
          <t>ورودی ایستگاه 2</t>
        </is>
      </c>
      <c r="B48" s="8" t="inlineStr">
        <is>
          <t>OPS.feed.1</t>
        </is>
      </c>
      <c r="C48" s="9" t="inlineStr">
        <is>
          <t>تن</t>
        </is>
      </c>
      <c r="D48" s="14">
        <f>'ENG_OPS'!$D$26</f>
        <v/>
      </c>
      <c r="E48" s="14">
        <f>'ENG_OPS'!$E$26</f>
        <v/>
      </c>
      <c r="F48" s="14">
        <f>'ENG_OPS'!$F$26</f>
        <v/>
      </c>
      <c r="G48" s="14">
        <f>'ENG_OPS'!$G$26</f>
        <v/>
      </c>
      <c r="H48" s="14">
        <f>'ENG_OPS'!$H$26</f>
        <v/>
      </c>
      <c r="I48" s="14">
        <f>'ENG_OPS'!$I$26</f>
        <v/>
      </c>
      <c r="J48" s="14">
        <f>'ENG_OPS'!$J$26</f>
        <v/>
      </c>
      <c r="K48" s="14">
        <f>'ENG_OPS'!$K$26</f>
        <v/>
      </c>
      <c r="L48" s="14">
        <f>'ENG_OPS'!$L$26</f>
        <v/>
      </c>
      <c r="M48" s="14">
        <f>'ENG_OPS'!$M$26</f>
        <v/>
      </c>
      <c r="N48" s="14">
        <f>'ENG_OPS'!$N$26</f>
        <v/>
      </c>
      <c r="O48" s="14">
        <f>'ENG_OPS'!$O$26</f>
        <v/>
      </c>
      <c r="P48" s="14">
        <f>'ENG_OPS'!$P$26</f>
        <v/>
      </c>
    </row>
    <row r="49">
      <c r="A49" t="inlineStr">
        <is>
          <t>ورودی ایستگاه 3</t>
        </is>
      </c>
      <c r="B49" s="8" t="inlineStr">
        <is>
          <t>OPS.feed.2</t>
        </is>
      </c>
      <c r="C49" s="9" t="inlineStr">
        <is>
          <t>تن</t>
        </is>
      </c>
      <c r="D49" s="14">
        <f>'ENG_OPS'!$D$28</f>
        <v/>
      </c>
      <c r="E49" s="14">
        <f>'ENG_OPS'!$E$28</f>
        <v/>
      </c>
      <c r="F49" s="14">
        <f>'ENG_OPS'!$F$28</f>
        <v/>
      </c>
      <c r="G49" s="14">
        <f>'ENG_OPS'!$G$28</f>
        <v/>
      </c>
      <c r="H49" s="14">
        <f>'ENG_OPS'!$H$28</f>
        <v/>
      </c>
      <c r="I49" s="14">
        <f>'ENG_OPS'!$I$28</f>
        <v/>
      </c>
      <c r="J49" s="14">
        <f>'ENG_OPS'!$J$28</f>
        <v/>
      </c>
      <c r="K49" s="14">
        <f>'ENG_OPS'!$K$28</f>
        <v/>
      </c>
      <c r="L49" s="14">
        <f>'ENG_OPS'!$L$28</f>
        <v/>
      </c>
      <c r="M49" s="14">
        <f>'ENG_OPS'!$M$28</f>
        <v/>
      </c>
      <c r="N49" s="14">
        <f>'ENG_OPS'!$N$28</f>
        <v/>
      </c>
      <c r="O49" s="14">
        <f>'ENG_OPS'!$O$28</f>
        <v/>
      </c>
      <c r="P49" s="14">
        <f>'ENG_OPS'!$P$28</f>
        <v/>
      </c>
    </row>
    <row r="50">
      <c r="A50" t="inlineStr">
        <is>
          <t>ورودی ایستگاه 4</t>
        </is>
      </c>
      <c r="B50" s="8" t="inlineStr">
        <is>
          <t>OPS.feed.3</t>
        </is>
      </c>
      <c r="C50" s="9" t="inlineStr">
        <is>
          <t>تن</t>
        </is>
      </c>
      <c r="D50" s="14">
        <f>'ENG_OPS'!$D$33+'ENG_OPS'!$D$29</f>
        <v/>
      </c>
      <c r="E50" s="14">
        <f>'ENG_OPS'!$E$33+'ENG_OPS'!$E$29</f>
        <v/>
      </c>
      <c r="F50" s="14">
        <f>'ENG_OPS'!$F$33+'ENG_OPS'!$F$29</f>
        <v/>
      </c>
      <c r="G50" s="14">
        <f>'ENG_OPS'!$G$33+'ENG_OPS'!$G$29</f>
        <v/>
      </c>
      <c r="H50" s="14">
        <f>'ENG_OPS'!$H$33+'ENG_OPS'!$H$29</f>
        <v/>
      </c>
      <c r="I50" s="14">
        <f>'ENG_OPS'!$I$33+'ENG_OPS'!$I$29</f>
        <v/>
      </c>
      <c r="J50" s="14">
        <f>'ENG_OPS'!$J$33+'ENG_OPS'!$J$29</f>
        <v/>
      </c>
      <c r="K50" s="14">
        <f>'ENG_OPS'!$K$33+'ENG_OPS'!$K$29</f>
        <v/>
      </c>
      <c r="L50" s="14">
        <f>'ENG_OPS'!$L$33+'ENG_OPS'!$L$29</f>
        <v/>
      </c>
      <c r="M50" s="14">
        <f>'ENG_OPS'!$M$33+'ENG_OPS'!$M$29</f>
        <v/>
      </c>
      <c r="N50" s="14">
        <f>'ENG_OPS'!$N$33+'ENG_OPS'!$N$29</f>
        <v/>
      </c>
      <c r="O50" s="14">
        <f>'ENG_OPS'!$O$33+'ENG_OPS'!$O$29</f>
        <v/>
      </c>
      <c r="P50" s="14">
        <f>'ENG_OPS'!$P$33+'ENG_OPS'!$P$29</f>
        <v/>
      </c>
    </row>
    <row r="51">
      <c r="A51" t="inlineStr">
        <is>
          <t>ورودی ایستگاه 5</t>
        </is>
      </c>
      <c r="B51" s="8" t="inlineStr">
        <is>
          <t>OPS.feed.4</t>
        </is>
      </c>
      <c r="C51" s="9" t="inlineStr">
        <is>
          <t>تن</t>
        </is>
      </c>
      <c r="D51" s="14">
        <f>'ENG_OPS'!$D$35</f>
        <v/>
      </c>
      <c r="E51" s="14">
        <f>'ENG_OPS'!$E$35</f>
        <v/>
      </c>
      <c r="F51" s="14">
        <f>'ENG_OPS'!$F$35</f>
        <v/>
      </c>
      <c r="G51" s="14">
        <f>'ENG_OPS'!$G$35</f>
        <v/>
      </c>
      <c r="H51" s="14">
        <f>'ENG_OPS'!$H$35</f>
        <v/>
      </c>
      <c r="I51" s="14">
        <f>'ENG_OPS'!$I$35</f>
        <v/>
      </c>
      <c r="J51" s="14">
        <f>'ENG_OPS'!$J$35</f>
        <v/>
      </c>
      <c r="K51" s="14">
        <f>'ENG_OPS'!$K$35</f>
        <v/>
      </c>
      <c r="L51" s="14">
        <f>'ENG_OPS'!$L$35</f>
        <v/>
      </c>
      <c r="M51" s="14">
        <f>'ENG_OPS'!$M$35</f>
        <v/>
      </c>
      <c r="N51" s="14">
        <f>'ENG_OPS'!$N$35</f>
        <v/>
      </c>
      <c r="O51" s="14">
        <f>'ENG_OPS'!$O$35</f>
        <v/>
      </c>
      <c r="P51" s="14">
        <f>'ENG_OPS'!$P$35</f>
        <v/>
      </c>
    </row>
    <row r="52">
      <c r="A52" t="inlineStr">
        <is>
          <t>ورودی ایستگاه 6</t>
        </is>
      </c>
      <c r="B52" s="8" t="inlineStr">
        <is>
          <t>OPS.feed.5</t>
        </is>
      </c>
      <c r="C52" s="9" t="inlineStr">
        <is>
          <t>تن</t>
        </is>
      </c>
      <c r="D52" s="14">
        <f>'ENG_OPS'!$D$36+'ENG_OPS'!$D$41/(1-'IN_TECH'!$I$40)+'ENG_OPS'!$D$42/(1-'IN_TECH'!$I$40)</f>
        <v/>
      </c>
      <c r="E52" s="14">
        <f>'ENG_OPS'!$E$36+'ENG_OPS'!$E$41/(1-'IN_TECH'!$I$40)+'ENG_OPS'!$E$42/(1-'IN_TECH'!$I$40)</f>
        <v/>
      </c>
      <c r="F52" s="14">
        <f>'ENG_OPS'!$F$36+'ENG_OPS'!$F$41/(1-'IN_TECH'!$I$40)+'ENG_OPS'!$F$42/(1-'IN_TECH'!$I$40)</f>
        <v/>
      </c>
      <c r="G52" s="14">
        <f>'ENG_OPS'!$G$36+'ENG_OPS'!$G$41/(1-'IN_TECH'!$I$40)+'ENG_OPS'!$G$42/(1-'IN_TECH'!$I$40)</f>
        <v/>
      </c>
      <c r="H52" s="14">
        <f>'ENG_OPS'!$H$36+'ENG_OPS'!$H$41/(1-'IN_TECH'!$I$40)+'ENG_OPS'!$H$42/(1-'IN_TECH'!$I$40)</f>
        <v/>
      </c>
      <c r="I52" s="14">
        <f>'ENG_OPS'!$I$36+'ENG_OPS'!$I$41/(1-'IN_TECH'!$I$40)+'ENG_OPS'!$I$42/(1-'IN_TECH'!$I$40)</f>
        <v/>
      </c>
      <c r="J52" s="14">
        <f>'ENG_OPS'!$J$36+'ENG_OPS'!$J$41/(1-'IN_TECH'!$I$40)+'ENG_OPS'!$J$42/(1-'IN_TECH'!$I$40)</f>
        <v/>
      </c>
      <c r="K52" s="14">
        <f>'ENG_OPS'!$K$36+'ENG_OPS'!$K$41/(1-'IN_TECH'!$I$40)+'ENG_OPS'!$K$42/(1-'IN_TECH'!$I$40)</f>
        <v/>
      </c>
      <c r="L52" s="14">
        <f>'ENG_OPS'!$L$36+'ENG_OPS'!$L$41/(1-'IN_TECH'!$I$40)+'ENG_OPS'!$L$42/(1-'IN_TECH'!$I$40)</f>
        <v/>
      </c>
      <c r="M52" s="14">
        <f>'ENG_OPS'!$M$36+'ENG_OPS'!$M$41/(1-'IN_TECH'!$I$40)+'ENG_OPS'!$M$42/(1-'IN_TECH'!$I$40)</f>
        <v/>
      </c>
      <c r="N52" s="14">
        <f>'ENG_OPS'!$N$36+'ENG_OPS'!$N$41/(1-'IN_TECH'!$I$40)+'ENG_OPS'!$N$42/(1-'IN_TECH'!$I$40)</f>
        <v/>
      </c>
      <c r="O52" s="14">
        <f>'ENG_OPS'!$O$36+'ENG_OPS'!$O$41/(1-'IN_TECH'!$I$40)+'ENG_OPS'!$O$42/(1-'IN_TECH'!$I$40)</f>
        <v/>
      </c>
      <c r="P52" s="14">
        <f>'ENG_OPS'!$P$36+'ENG_OPS'!$P$41/(1-'IN_TECH'!$I$40)+'ENG_OPS'!$P$42/(1-'IN_TECH'!$I$40)</f>
        <v/>
      </c>
    </row>
    <row r="53">
      <c r="A53" t="inlineStr">
        <is>
          <t>بارگذاری ایستگاه 1</t>
        </is>
      </c>
      <c r="B53" s="8" t="inlineStr">
        <is>
          <t>S1</t>
        </is>
      </c>
      <c r="C53" s="9" t="inlineStr">
        <is>
          <t>درصد</t>
        </is>
      </c>
      <c r="D53" s="11">
        <f>IFERROR('ENG_OPS'!$D$47/'IN_TECH'!$D$36,0)</f>
        <v/>
      </c>
      <c r="E53" s="11">
        <f>IFERROR('ENG_OPS'!$E$47/'IN_TECH'!$D$36,0)</f>
        <v/>
      </c>
      <c r="F53" s="11">
        <f>IFERROR('ENG_OPS'!$F$47/'IN_TECH'!$D$36,0)</f>
        <v/>
      </c>
      <c r="G53" s="11">
        <f>IFERROR('ENG_OPS'!$G$47/'IN_TECH'!$D$36,0)</f>
        <v/>
      </c>
      <c r="H53" s="11">
        <f>IFERROR('ENG_OPS'!$H$47/'IN_TECH'!$D$36,0)</f>
        <v/>
      </c>
      <c r="I53" s="11">
        <f>IFERROR('ENG_OPS'!$I$47/'IN_TECH'!$D$36,0)</f>
        <v/>
      </c>
      <c r="J53" s="11">
        <f>IFERROR('ENG_OPS'!$J$47/'IN_TECH'!$D$36,0)</f>
        <v/>
      </c>
      <c r="K53" s="11">
        <f>IFERROR('ENG_OPS'!$K$47/'IN_TECH'!$D$36,0)</f>
        <v/>
      </c>
      <c r="L53" s="11">
        <f>IFERROR('ENG_OPS'!$L$47/'IN_TECH'!$D$36,0)</f>
        <v/>
      </c>
      <c r="M53" s="11">
        <f>IFERROR('ENG_OPS'!$M$47/'IN_TECH'!$D$36,0)</f>
        <v/>
      </c>
      <c r="N53" s="11">
        <f>IFERROR('ENG_OPS'!$N$47/'IN_TECH'!$D$36,0)</f>
        <v/>
      </c>
      <c r="O53" s="11">
        <f>IFERROR('ENG_OPS'!$O$47/'IN_TECH'!$D$36,0)</f>
        <v/>
      </c>
      <c r="P53" s="11">
        <f>IFERROR('ENG_OPS'!$P$47/'IN_TECH'!$D$36,0)</f>
        <v/>
      </c>
    </row>
    <row r="54">
      <c r="A54" t="inlineStr">
        <is>
          <t>بارگذاری ایستگاه 2</t>
        </is>
      </c>
      <c r="B54" s="8" t="inlineStr">
        <is>
          <t>S2</t>
        </is>
      </c>
      <c r="C54" s="9" t="inlineStr">
        <is>
          <t>درصد</t>
        </is>
      </c>
      <c r="D54" s="11">
        <f>IFERROR('ENG_OPS'!$D$48/'IN_TECH'!$E$36,0)</f>
        <v/>
      </c>
      <c r="E54" s="11">
        <f>IFERROR('ENG_OPS'!$E$48/'IN_TECH'!$E$36,0)</f>
        <v/>
      </c>
      <c r="F54" s="11">
        <f>IFERROR('ENG_OPS'!$F$48/'IN_TECH'!$E$36,0)</f>
        <v/>
      </c>
      <c r="G54" s="11">
        <f>IFERROR('ENG_OPS'!$G$48/'IN_TECH'!$E$36,0)</f>
        <v/>
      </c>
      <c r="H54" s="11">
        <f>IFERROR('ENG_OPS'!$H$48/'IN_TECH'!$E$36,0)</f>
        <v/>
      </c>
      <c r="I54" s="11">
        <f>IFERROR('ENG_OPS'!$I$48/'IN_TECH'!$E$36,0)</f>
        <v/>
      </c>
      <c r="J54" s="11">
        <f>IFERROR('ENG_OPS'!$J$48/'IN_TECH'!$E$36,0)</f>
        <v/>
      </c>
      <c r="K54" s="11">
        <f>IFERROR('ENG_OPS'!$K$48/'IN_TECH'!$E$36,0)</f>
        <v/>
      </c>
      <c r="L54" s="11">
        <f>IFERROR('ENG_OPS'!$L$48/'IN_TECH'!$E$36,0)</f>
        <v/>
      </c>
      <c r="M54" s="11">
        <f>IFERROR('ENG_OPS'!$M$48/'IN_TECH'!$E$36,0)</f>
        <v/>
      </c>
      <c r="N54" s="11">
        <f>IFERROR('ENG_OPS'!$N$48/'IN_TECH'!$E$36,0)</f>
        <v/>
      </c>
      <c r="O54" s="11">
        <f>IFERROR('ENG_OPS'!$O$48/'IN_TECH'!$E$36,0)</f>
        <v/>
      </c>
      <c r="P54" s="11">
        <f>IFERROR('ENG_OPS'!$P$48/'IN_TECH'!$E$36,0)</f>
        <v/>
      </c>
    </row>
    <row r="55">
      <c r="A55" t="inlineStr">
        <is>
          <t>بارگذاری ایستگاه 3</t>
        </is>
      </c>
      <c r="B55" s="8" t="inlineStr">
        <is>
          <t>S3</t>
        </is>
      </c>
      <c r="C55" s="9" t="inlineStr">
        <is>
          <t>درصد</t>
        </is>
      </c>
      <c r="D55" s="11">
        <f>IFERROR('ENG_OPS'!$D$49/'IN_TECH'!$F$36,0)</f>
        <v/>
      </c>
      <c r="E55" s="11">
        <f>IFERROR('ENG_OPS'!$E$49/'IN_TECH'!$F$36,0)</f>
        <v/>
      </c>
      <c r="F55" s="11">
        <f>IFERROR('ENG_OPS'!$F$49/'IN_TECH'!$F$36,0)</f>
        <v/>
      </c>
      <c r="G55" s="11">
        <f>IFERROR('ENG_OPS'!$G$49/'IN_TECH'!$F$36,0)</f>
        <v/>
      </c>
      <c r="H55" s="11">
        <f>IFERROR('ENG_OPS'!$H$49/'IN_TECH'!$F$36,0)</f>
        <v/>
      </c>
      <c r="I55" s="11">
        <f>IFERROR('ENG_OPS'!$I$49/'IN_TECH'!$F$36,0)</f>
        <v/>
      </c>
      <c r="J55" s="11">
        <f>IFERROR('ENG_OPS'!$J$49/'IN_TECH'!$F$36,0)</f>
        <v/>
      </c>
      <c r="K55" s="11">
        <f>IFERROR('ENG_OPS'!$K$49/'IN_TECH'!$F$36,0)</f>
        <v/>
      </c>
      <c r="L55" s="11">
        <f>IFERROR('ENG_OPS'!$L$49/'IN_TECH'!$F$36,0)</f>
        <v/>
      </c>
      <c r="M55" s="11">
        <f>IFERROR('ENG_OPS'!$M$49/'IN_TECH'!$F$36,0)</f>
        <v/>
      </c>
      <c r="N55" s="11">
        <f>IFERROR('ENG_OPS'!$N$49/'IN_TECH'!$F$36,0)</f>
        <v/>
      </c>
      <c r="O55" s="11">
        <f>IFERROR('ENG_OPS'!$O$49/'IN_TECH'!$F$36,0)</f>
        <v/>
      </c>
      <c r="P55" s="11">
        <f>IFERROR('ENG_OPS'!$P$49/'IN_TECH'!$F$36,0)</f>
        <v/>
      </c>
    </row>
    <row r="56">
      <c r="A56" t="inlineStr">
        <is>
          <t>بارگذاری ایستگاه 4</t>
        </is>
      </c>
      <c r="B56" s="8" t="inlineStr">
        <is>
          <t>S4</t>
        </is>
      </c>
      <c r="C56" s="9" t="inlineStr">
        <is>
          <t>درصد</t>
        </is>
      </c>
      <c r="D56" s="11">
        <f>IFERROR('ENG_OPS'!$D$50/'IN_TECH'!$G$36,0)</f>
        <v/>
      </c>
      <c r="E56" s="11">
        <f>IFERROR('ENG_OPS'!$E$50/'IN_TECH'!$G$36,0)</f>
        <v/>
      </c>
      <c r="F56" s="11">
        <f>IFERROR('ENG_OPS'!$F$50/'IN_TECH'!$G$36,0)</f>
        <v/>
      </c>
      <c r="G56" s="11">
        <f>IFERROR('ENG_OPS'!$G$50/'IN_TECH'!$G$36,0)</f>
        <v/>
      </c>
      <c r="H56" s="11">
        <f>IFERROR('ENG_OPS'!$H$50/'IN_TECH'!$G$36,0)</f>
        <v/>
      </c>
      <c r="I56" s="11">
        <f>IFERROR('ENG_OPS'!$I$50/'IN_TECH'!$G$36,0)</f>
        <v/>
      </c>
      <c r="J56" s="11">
        <f>IFERROR('ENG_OPS'!$J$50/'IN_TECH'!$G$36,0)</f>
        <v/>
      </c>
      <c r="K56" s="11">
        <f>IFERROR('ENG_OPS'!$K$50/'IN_TECH'!$G$36,0)</f>
        <v/>
      </c>
      <c r="L56" s="11">
        <f>IFERROR('ENG_OPS'!$L$50/'IN_TECH'!$G$36,0)</f>
        <v/>
      </c>
      <c r="M56" s="11">
        <f>IFERROR('ENG_OPS'!$M$50/'IN_TECH'!$G$36,0)</f>
        <v/>
      </c>
      <c r="N56" s="11">
        <f>IFERROR('ENG_OPS'!$N$50/'IN_TECH'!$G$36,0)</f>
        <v/>
      </c>
      <c r="O56" s="11">
        <f>IFERROR('ENG_OPS'!$O$50/'IN_TECH'!$G$36,0)</f>
        <v/>
      </c>
      <c r="P56" s="11">
        <f>IFERROR('ENG_OPS'!$P$50/'IN_TECH'!$G$36,0)</f>
        <v/>
      </c>
    </row>
    <row r="57">
      <c r="A57" t="inlineStr">
        <is>
          <t>بارگذاری ایستگاه 5</t>
        </is>
      </c>
      <c r="B57" s="8" t="inlineStr">
        <is>
          <t>S5</t>
        </is>
      </c>
      <c r="C57" s="9" t="inlineStr">
        <is>
          <t>درصد</t>
        </is>
      </c>
      <c r="D57" s="11">
        <f>IFERROR('ENG_OPS'!$D$51/'IN_TECH'!$H$36,0)</f>
        <v/>
      </c>
      <c r="E57" s="11">
        <f>IFERROR('ENG_OPS'!$E$51/'IN_TECH'!$H$36,0)</f>
        <v/>
      </c>
      <c r="F57" s="11">
        <f>IFERROR('ENG_OPS'!$F$51/'IN_TECH'!$H$36,0)</f>
        <v/>
      </c>
      <c r="G57" s="11">
        <f>IFERROR('ENG_OPS'!$G$51/'IN_TECH'!$H$36,0)</f>
        <v/>
      </c>
      <c r="H57" s="11">
        <f>IFERROR('ENG_OPS'!$H$51/'IN_TECH'!$H$36,0)</f>
        <v/>
      </c>
      <c r="I57" s="11">
        <f>IFERROR('ENG_OPS'!$I$51/'IN_TECH'!$H$36,0)</f>
        <v/>
      </c>
      <c r="J57" s="11">
        <f>IFERROR('ENG_OPS'!$J$51/'IN_TECH'!$H$36,0)</f>
        <v/>
      </c>
      <c r="K57" s="11">
        <f>IFERROR('ENG_OPS'!$K$51/'IN_TECH'!$H$36,0)</f>
        <v/>
      </c>
      <c r="L57" s="11">
        <f>IFERROR('ENG_OPS'!$L$51/'IN_TECH'!$H$36,0)</f>
        <v/>
      </c>
      <c r="M57" s="11">
        <f>IFERROR('ENG_OPS'!$M$51/'IN_TECH'!$H$36,0)</f>
        <v/>
      </c>
      <c r="N57" s="11">
        <f>IFERROR('ENG_OPS'!$N$51/'IN_TECH'!$H$36,0)</f>
        <v/>
      </c>
      <c r="O57" s="11">
        <f>IFERROR('ENG_OPS'!$O$51/'IN_TECH'!$H$36,0)</f>
        <v/>
      </c>
      <c r="P57" s="11">
        <f>IFERROR('ENG_OPS'!$P$51/'IN_TECH'!$H$36,0)</f>
        <v/>
      </c>
    </row>
    <row r="58">
      <c r="A58" t="inlineStr">
        <is>
          <t>بارگذاری ایستگاه 6</t>
        </is>
      </c>
      <c r="B58" s="8" t="inlineStr">
        <is>
          <t>S6</t>
        </is>
      </c>
      <c r="C58" s="9" t="inlineStr">
        <is>
          <t>درصد</t>
        </is>
      </c>
      <c r="D58" s="11">
        <f>IFERROR('ENG_OPS'!$D$52/'IN_TECH'!$I$36,0)</f>
        <v/>
      </c>
      <c r="E58" s="11">
        <f>IFERROR('ENG_OPS'!$E$52/'IN_TECH'!$I$36,0)</f>
        <v/>
      </c>
      <c r="F58" s="11">
        <f>IFERROR('ENG_OPS'!$F$52/'IN_TECH'!$I$36,0)</f>
        <v/>
      </c>
      <c r="G58" s="11">
        <f>IFERROR('ENG_OPS'!$G$52/'IN_TECH'!$I$36,0)</f>
        <v/>
      </c>
      <c r="H58" s="11">
        <f>IFERROR('ENG_OPS'!$H$52/'IN_TECH'!$I$36,0)</f>
        <v/>
      </c>
      <c r="I58" s="11">
        <f>IFERROR('ENG_OPS'!$I$52/'IN_TECH'!$I$36,0)</f>
        <v/>
      </c>
      <c r="J58" s="11">
        <f>IFERROR('ENG_OPS'!$J$52/'IN_TECH'!$I$36,0)</f>
        <v/>
      </c>
      <c r="K58" s="11">
        <f>IFERROR('ENG_OPS'!$K$52/'IN_TECH'!$I$36,0)</f>
        <v/>
      </c>
      <c r="L58" s="11">
        <f>IFERROR('ENG_OPS'!$L$52/'IN_TECH'!$I$36,0)</f>
        <v/>
      </c>
      <c r="M58" s="11">
        <f>IFERROR('ENG_OPS'!$M$52/'IN_TECH'!$I$36,0)</f>
        <v/>
      </c>
      <c r="N58" s="11">
        <f>IFERROR('ENG_OPS'!$N$52/'IN_TECH'!$I$36,0)</f>
        <v/>
      </c>
      <c r="O58" s="11">
        <f>IFERROR('ENG_OPS'!$O$52/'IN_TECH'!$I$36,0)</f>
        <v/>
      </c>
      <c r="P58" s="11">
        <f>IFERROR('ENG_OPS'!$P$52/'IN_TECH'!$I$36,0)</f>
        <v/>
      </c>
    </row>
    <row r="59">
      <c r="A59" t="inlineStr">
        <is>
          <t>بیشترین بارگذاری (گلوگاه)</t>
        </is>
      </c>
      <c r="B59" s="8" t="inlineStr">
        <is>
          <t>OPS.bottleneck</t>
        </is>
      </c>
      <c r="C59" s="9" t="inlineStr">
        <is>
          <t>درصد</t>
        </is>
      </c>
      <c r="D59" s="11">
        <f>MAX('ENG_OPS'!$D$53,'ENG_OPS'!$D$54,'ENG_OPS'!$D$55,'ENG_OPS'!$D$56,'ENG_OPS'!$D$57,'ENG_OPS'!$D$58)</f>
        <v/>
      </c>
      <c r="E59" s="11">
        <f>MAX('ENG_OPS'!$E$53,'ENG_OPS'!$E$54,'ENG_OPS'!$E$55,'ENG_OPS'!$E$56,'ENG_OPS'!$E$57,'ENG_OPS'!$E$58)</f>
        <v/>
      </c>
      <c r="F59" s="11">
        <f>MAX('ENG_OPS'!$F$53,'ENG_OPS'!$F$54,'ENG_OPS'!$F$55,'ENG_OPS'!$F$56,'ENG_OPS'!$F$57,'ENG_OPS'!$F$58)</f>
        <v/>
      </c>
      <c r="G59" s="11">
        <f>MAX('ENG_OPS'!$G$53,'ENG_OPS'!$G$54,'ENG_OPS'!$G$55,'ENG_OPS'!$G$56,'ENG_OPS'!$G$57,'ENG_OPS'!$G$58)</f>
        <v/>
      </c>
      <c r="H59" s="11">
        <f>MAX('ENG_OPS'!$H$53,'ENG_OPS'!$H$54,'ENG_OPS'!$H$55,'ENG_OPS'!$H$56,'ENG_OPS'!$H$57,'ENG_OPS'!$H$58)</f>
        <v/>
      </c>
      <c r="I59" s="11">
        <f>MAX('ENG_OPS'!$I$53,'ENG_OPS'!$I$54,'ENG_OPS'!$I$55,'ENG_OPS'!$I$56,'ENG_OPS'!$I$57,'ENG_OPS'!$I$58)</f>
        <v/>
      </c>
      <c r="J59" s="11">
        <f>MAX('ENG_OPS'!$J$53,'ENG_OPS'!$J$54,'ENG_OPS'!$J$55,'ENG_OPS'!$J$56,'ENG_OPS'!$J$57,'ENG_OPS'!$J$58)</f>
        <v/>
      </c>
      <c r="K59" s="11">
        <f>MAX('ENG_OPS'!$K$53,'ENG_OPS'!$K$54,'ENG_OPS'!$K$55,'ENG_OPS'!$K$56,'ENG_OPS'!$K$57,'ENG_OPS'!$K$58)</f>
        <v/>
      </c>
      <c r="L59" s="11">
        <f>MAX('ENG_OPS'!$L$53,'ENG_OPS'!$L$54,'ENG_OPS'!$L$55,'ENG_OPS'!$L$56,'ENG_OPS'!$L$57,'ENG_OPS'!$L$58)</f>
        <v/>
      </c>
      <c r="M59" s="11">
        <f>MAX('ENG_OPS'!$M$53,'ENG_OPS'!$M$54,'ENG_OPS'!$M$55,'ENG_OPS'!$M$56,'ENG_OPS'!$M$57,'ENG_OPS'!$M$58)</f>
        <v/>
      </c>
      <c r="N59" s="11">
        <f>MAX('ENG_OPS'!$N$53,'ENG_OPS'!$N$54,'ENG_OPS'!$N$55,'ENG_OPS'!$N$56,'ENG_OPS'!$N$57,'ENG_OPS'!$N$58)</f>
        <v/>
      </c>
      <c r="O59" s="11">
        <f>MAX('ENG_OPS'!$O$53,'ENG_OPS'!$O$54,'ENG_OPS'!$O$55,'ENG_OPS'!$O$56,'ENG_OPS'!$O$57,'ENG_OPS'!$O$58)</f>
        <v/>
      </c>
      <c r="P59" s="11">
        <f>MAX('ENG_OPS'!$P$53,'ENG_OPS'!$P$54,'ENG_OPS'!$P$55,'ENG_OPS'!$P$56,'ENG_OPS'!$P$57,'ENG_OPS'!$P$58)</f>
        <v/>
      </c>
    </row>
    <row r="60">
      <c r="A60" t="inlineStr">
        <is>
          <t>شماره ایستگاه گلوگاه</t>
        </is>
      </c>
      <c r="B60" s="8" t="inlineStr">
        <is>
          <t>OPS.bottleneck_st</t>
        </is>
      </c>
      <c r="C60" s="9" t="inlineStr">
        <is>
          <t>شماره</t>
        </is>
      </c>
      <c r="D60" s="14">
        <f>IFERROR(INDEX('ENG_OPS'!$B$53:$B$58,MATCH('ENG_OPS'!$D$59,INDEX('ENG_OPS'!$D$53:$P$58,1,0),0),1),0)</f>
        <v/>
      </c>
      <c r="E60" s="14">
        <f>IFERROR(INDEX('ENG_OPS'!$B$53:$B$58,MATCH('ENG_OPS'!$E$59,INDEX('ENG_OPS'!$D$53:$P$58,2,0),0),1),0)</f>
        <v/>
      </c>
      <c r="F60" s="14">
        <f>IFERROR(INDEX('ENG_OPS'!$B$53:$B$58,MATCH('ENG_OPS'!$F$59,INDEX('ENG_OPS'!$D$53:$P$58,3,0),0),1),0)</f>
        <v/>
      </c>
      <c r="G60" s="14">
        <f>IFERROR(INDEX('ENG_OPS'!$B$53:$B$58,MATCH('ENG_OPS'!$G$59,INDEX('ENG_OPS'!$D$53:$P$58,4,0),0),1),0)</f>
        <v/>
      </c>
      <c r="H60" s="14">
        <f>IFERROR(INDEX('ENG_OPS'!$B$53:$B$58,MATCH('ENG_OPS'!$H$59,INDEX('ENG_OPS'!$D$53:$P$58,5,0),0),1),0)</f>
        <v/>
      </c>
      <c r="I60" s="14">
        <f>IFERROR(INDEX('ENG_OPS'!$B$53:$B$58,MATCH('ENG_OPS'!$I$59,INDEX('ENG_OPS'!$D$53:$P$58,6,0),0),1),0)</f>
        <v/>
      </c>
      <c r="J60" s="14">
        <f>IFERROR(INDEX('ENG_OPS'!$B$53:$B$58,MATCH('ENG_OPS'!$J$59,INDEX('ENG_OPS'!$D$53:$P$58,7,0),0),1),0)</f>
        <v/>
      </c>
      <c r="K60" s="14">
        <f>IFERROR(INDEX('ENG_OPS'!$B$53:$B$58,MATCH('ENG_OPS'!$K$59,INDEX('ENG_OPS'!$D$53:$P$58,8,0),0),1),0)</f>
        <v/>
      </c>
      <c r="L60" s="14">
        <f>IFERROR(INDEX('ENG_OPS'!$B$53:$B$58,MATCH('ENG_OPS'!$L$59,INDEX('ENG_OPS'!$D$53:$P$58,9,0),0),1),0)</f>
        <v/>
      </c>
      <c r="M60" s="14">
        <f>IFERROR(INDEX('ENG_OPS'!$B$53:$B$58,MATCH('ENG_OPS'!$M$59,INDEX('ENG_OPS'!$D$53:$P$58,10,0),0),1),0)</f>
        <v/>
      </c>
      <c r="N60" s="14">
        <f>IFERROR(INDEX('ENG_OPS'!$B$53:$B$58,MATCH('ENG_OPS'!$N$59,INDEX('ENG_OPS'!$D$53:$P$58,11,0),0),1),0)</f>
        <v/>
      </c>
      <c r="O60" s="14">
        <f>IFERROR(INDEX('ENG_OPS'!$B$53:$B$58,MATCH('ENG_OPS'!$O$59,INDEX('ENG_OPS'!$D$53:$P$58,12,0),0),1),0)</f>
        <v/>
      </c>
      <c r="P60" s="14">
        <f>IFERROR(INDEX('ENG_OPS'!$B$53:$B$58,MATCH('ENG_OPS'!$P$59,INDEX('ENG_OPS'!$D$53:$P$58,13,0),0),1),0)</f>
        <v/>
      </c>
    </row>
    <row r="61"/>
    <row r="62">
      <c r="A62" s="6" t="inlineStr">
        <is>
          <t>ه‍) مصارف انرژی و آب</t>
        </is>
      </c>
      <c r="B62" s="7" t="n"/>
      <c r="C62" s="7" t="n"/>
      <c r="D62" s="7" t="n"/>
      <c r="E62" s="7" t="n"/>
      <c r="F62" s="7" t="n"/>
      <c r="G62" s="7" t="n"/>
      <c r="H62" s="7" t="n"/>
      <c r="I62" s="7" t="n"/>
      <c r="J62" s="7" t="n"/>
      <c r="K62" s="7" t="n"/>
      <c r="L62" s="7" t="n"/>
      <c r="M62" s="7" t="n"/>
      <c r="N62" s="7" t="n"/>
      <c r="O62" s="7" t="n"/>
      <c r="P62" s="7" t="n"/>
    </row>
    <row r="63">
      <c r="A63" t="inlineStr">
        <is>
          <t>برق مصرفی کل</t>
        </is>
      </c>
      <c r="B63" s="8" t="inlineStr">
        <is>
          <t>OPS.kwh</t>
        </is>
      </c>
      <c r="C63" s="9" t="inlineStr">
        <is>
          <t>kWh</t>
        </is>
      </c>
      <c r="D63" s="14">
        <f>('ENG_OPS'!$D$47*'IN_TECH'!$D$41)+('ENG_OPS'!$D$48*'IN_TECH'!$E$41)+('ENG_OPS'!$D$49*'IN_TECH'!$F$41)+('ENG_OPS'!$D$50*'IN_TECH'!$G$41)+('ENG_OPS'!$D$51*'IN_TECH'!$H$41)+('ENG_OPS'!$D$52*'IN_TECH'!$I$41)</f>
        <v/>
      </c>
      <c r="E63" s="14">
        <f>('ENG_OPS'!$E$47*'IN_TECH'!$D$41)+('ENG_OPS'!$E$48*'IN_TECH'!$E$41)+('ENG_OPS'!$E$49*'IN_TECH'!$F$41)+('ENG_OPS'!$E$50*'IN_TECH'!$G$41)+('ENG_OPS'!$E$51*'IN_TECH'!$H$41)+('ENG_OPS'!$E$52*'IN_TECH'!$I$41)</f>
        <v/>
      </c>
      <c r="F63" s="14">
        <f>('ENG_OPS'!$F$47*'IN_TECH'!$D$41)+('ENG_OPS'!$F$48*'IN_TECH'!$E$41)+('ENG_OPS'!$F$49*'IN_TECH'!$F$41)+('ENG_OPS'!$F$50*'IN_TECH'!$G$41)+('ENG_OPS'!$F$51*'IN_TECH'!$H$41)+('ENG_OPS'!$F$52*'IN_TECH'!$I$41)</f>
        <v/>
      </c>
      <c r="G63" s="14">
        <f>('ENG_OPS'!$G$47*'IN_TECH'!$D$41)+('ENG_OPS'!$G$48*'IN_TECH'!$E$41)+('ENG_OPS'!$G$49*'IN_TECH'!$F$41)+('ENG_OPS'!$G$50*'IN_TECH'!$G$41)+('ENG_OPS'!$G$51*'IN_TECH'!$H$41)+('ENG_OPS'!$G$52*'IN_TECH'!$I$41)</f>
        <v/>
      </c>
      <c r="H63" s="14">
        <f>('ENG_OPS'!$H$47*'IN_TECH'!$D$41)+('ENG_OPS'!$H$48*'IN_TECH'!$E$41)+('ENG_OPS'!$H$49*'IN_TECH'!$F$41)+('ENG_OPS'!$H$50*'IN_TECH'!$G$41)+('ENG_OPS'!$H$51*'IN_TECH'!$H$41)+('ENG_OPS'!$H$52*'IN_TECH'!$I$41)</f>
        <v/>
      </c>
      <c r="I63" s="14">
        <f>('ENG_OPS'!$I$47*'IN_TECH'!$D$41)+('ENG_OPS'!$I$48*'IN_TECH'!$E$41)+('ENG_OPS'!$I$49*'IN_TECH'!$F$41)+('ENG_OPS'!$I$50*'IN_TECH'!$G$41)+('ENG_OPS'!$I$51*'IN_TECH'!$H$41)+('ENG_OPS'!$I$52*'IN_TECH'!$I$41)</f>
        <v/>
      </c>
      <c r="J63" s="14">
        <f>('ENG_OPS'!$J$47*'IN_TECH'!$D$41)+('ENG_OPS'!$J$48*'IN_TECH'!$E$41)+('ENG_OPS'!$J$49*'IN_TECH'!$F$41)+('ENG_OPS'!$J$50*'IN_TECH'!$G$41)+('ENG_OPS'!$J$51*'IN_TECH'!$H$41)+('ENG_OPS'!$J$52*'IN_TECH'!$I$41)</f>
        <v/>
      </c>
      <c r="K63" s="14">
        <f>('ENG_OPS'!$K$47*'IN_TECH'!$D$41)+('ENG_OPS'!$K$48*'IN_TECH'!$E$41)+('ENG_OPS'!$K$49*'IN_TECH'!$F$41)+('ENG_OPS'!$K$50*'IN_TECH'!$G$41)+('ENG_OPS'!$K$51*'IN_TECH'!$H$41)+('ENG_OPS'!$K$52*'IN_TECH'!$I$41)</f>
        <v/>
      </c>
      <c r="L63" s="14">
        <f>('ENG_OPS'!$L$47*'IN_TECH'!$D$41)+('ENG_OPS'!$L$48*'IN_TECH'!$E$41)+('ENG_OPS'!$L$49*'IN_TECH'!$F$41)+('ENG_OPS'!$L$50*'IN_TECH'!$G$41)+('ENG_OPS'!$L$51*'IN_TECH'!$H$41)+('ENG_OPS'!$L$52*'IN_TECH'!$I$41)</f>
        <v/>
      </c>
      <c r="M63" s="14">
        <f>('ENG_OPS'!$M$47*'IN_TECH'!$D$41)+('ENG_OPS'!$M$48*'IN_TECH'!$E$41)+('ENG_OPS'!$M$49*'IN_TECH'!$F$41)+('ENG_OPS'!$M$50*'IN_TECH'!$G$41)+('ENG_OPS'!$M$51*'IN_TECH'!$H$41)+('ENG_OPS'!$M$52*'IN_TECH'!$I$41)</f>
        <v/>
      </c>
      <c r="N63" s="14">
        <f>('ENG_OPS'!$N$47*'IN_TECH'!$D$41)+('ENG_OPS'!$N$48*'IN_TECH'!$E$41)+('ENG_OPS'!$N$49*'IN_TECH'!$F$41)+('ENG_OPS'!$N$50*'IN_TECH'!$G$41)+('ENG_OPS'!$N$51*'IN_TECH'!$H$41)+('ENG_OPS'!$N$52*'IN_TECH'!$I$41)</f>
        <v/>
      </c>
      <c r="O63" s="14">
        <f>('ENG_OPS'!$O$47*'IN_TECH'!$D$41)+('ENG_OPS'!$O$48*'IN_TECH'!$E$41)+('ENG_OPS'!$O$49*'IN_TECH'!$F$41)+('ENG_OPS'!$O$50*'IN_TECH'!$G$41)+('ENG_OPS'!$O$51*'IN_TECH'!$H$41)+('ENG_OPS'!$O$52*'IN_TECH'!$I$41)</f>
        <v/>
      </c>
      <c r="P63" s="14">
        <f>('ENG_OPS'!$P$47*'IN_TECH'!$D$41)+('ENG_OPS'!$P$48*'IN_TECH'!$E$41)+('ENG_OPS'!$P$49*'IN_TECH'!$F$41)+('ENG_OPS'!$P$50*'IN_TECH'!$G$41)+('ENG_OPS'!$P$51*'IN_TECH'!$H$41)+('ENG_OPS'!$P$52*'IN_TECH'!$I$41)</f>
        <v/>
      </c>
    </row>
    <row r="64">
      <c r="A64" t="inlineStr">
        <is>
          <t>آب مصرفی کل</t>
        </is>
      </c>
      <c r="B64" s="8" t="inlineStr">
        <is>
          <t>OPS.water</t>
        </is>
      </c>
      <c r="C64" s="9" t="inlineStr">
        <is>
          <t>m3</t>
        </is>
      </c>
      <c r="D64" s="14">
        <f>('ENG_OPS'!$D$47*'IN_TECH'!$D$42)+('ENG_OPS'!$D$48*'IN_TECH'!$E$42)+('ENG_OPS'!$D$49*'IN_TECH'!$F$42)+('ENG_OPS'!$D$50*'IN_TECH'!$G$42)+('ENG_OPS'!$D$51*'IN_TECH'!$H$42)+('ENG_OPS'!$D$52*'IN_TECH'!$I$42)</f>
        <v/>
      </c>
      <c r="E64" s="14">
        <f>('ENG_OPS'!$E$47*'IN_TECH'!$D$42)+('ENG_OPS'!$E$48*'IN_TECH'!$E$42)+('ENG_OPS'!$E$49*'IN_TECH'!$F$42)+('ENG_OPS'!$E$50*'IN_TECH'!$G$42)+('ENG_OPS'!$E$51*'IN_TECH'!$H$42)+('ENG_OPS'!$E$52*'IN_TECH'!$I$42)</f>
        <v/>
      </c>
      <c r="F64" s="14">
        <f>('ENG_OPS'!$F$47*'IN_TECH'!$D$42)+('ENG_OPS'!$F$48*'IN_TECH'!$E$42)+('ENG_OPS'!$F$49*'IN_TECH'!$F$42)+('ENG_OPS'!$F$50*'IN_TECH'!$G$42)+('ENG_OPS'!$F$51*'IN_TECH'!$H$42)+('ENG_OPS'!$F$52*'IN_TECH'!$I$42)</f>
        <v/>
      </c>
      <c r="G64" s="14">
        <f>('ENG_OPS'!$G$47*'IN_TECH'!$D$42)+('ENG_OPS'!$G$48*'IN_TECH'!$E$42)+('ENG_OPS'!$G$49*'IN_TECH'!$F$42)+('ENG_OPS'!$G$50*'IN_TECH'!$G$42)+('ENG_OPS'!$G$51*'IN_TECH'!$H$42)+('ENG_OPS'!$G$52*'IN_TECH'!$I$42)</f>
        <v/>
      </c>
      <c r="H64" s="14">
        <f>('ENG_OPS'!$H$47*'IN_TECH'!$D$42)+('ENG_OPS'!$H$48*'IN_TECH'!$E$42)+('ENG_OPS'!$H$49*'IN_TECH'!$F$42)+('ENG_OPS'!$H$50*'IN_TECH'!$G$42)+('ENG_OPS'!$H$51*'IN_TECH'!$H$42)+('ENG_OPS'!$H$52*'IN_TECH'!$I$42)</f>
        <v/>
      </c>
      <c r="I64" s="14">
        <f>('ENG_OPS'!$I$47*'IN_TECH'!$D$42)+('ENG_OPS'!$I$48*'IN_TECH'!$E$42)+('ENG_OPS'!$I$49*'IN_TECH'!$F$42)+('ENG_OPS'!$I$50*'IN_TECH'!$G$42)+('ENG_OPS'!$I$51*'IN_TECH'!$H$42)+('ENG_OPS'!$I$52*'IN_TECH'!$I$42)</f>
        <v/>
      </c>
      <c r="J64" s="14">
        <f>('ENG_OPS'!$J$47*'IN_TECH'!$D$42)+('ENG_OPS'!$J$48*'IN_TECH'!$E$42)+('ENG_OPS'!$J$49*'IN_TECH'!$F$42)+('ENG_OPS'!$J$50*'IN_TECH'!$G$42)+('ENG_OPS'!$J$51*'IN_TECH'!$H$42)+('ENG_OPS'!$J$52*'IN_TECH'!$I$42)</f>
        <v/>
      </c>
      <c r="K64" s="14">
        <f>('ENG_OPS'!$K$47*'IN_TECH'!$D$42)+('ENG_OPS'!$K$48*'IN_TECH'!$E$42)+('ENG_OPS'!$K$49*'IN_TECH'!$F$42)+('ENG_OPS'!$K$50*'IN_TECH'!$G$42)+('ENG_OPS'!$K$51*'IN_TECH'!$H$42)+('ENG_OPS'!$K$52*'IN_TECH'!$I$42)</f>
        <v/>
      </c>
      <c r="L64" s="14">
        <f>('ENG_OPS'!$L$47*'IN_TECH'!$D$42)+('ENG_OPS'!$L$48*'IN_TECH'!$E$42)+('ENG_OPS'!$L$49*'IN_TECH'!$F$42)+('ENG_OPS'!$L$50*'IN_TECH'!$G$42)+('ENG_OPS'!$L$51*'IN_TECH'!$H$42)+('ENG_OPS'!$L$52*'IN_TECH'!$I$42)</f>
        <v/>
      </c>
      <c r="M64" s="14">
        <f>('ENG_OPS'!$M$47*'IN_TECH'!$D$42)+('ENG_OPS'!$M$48*'IN_TECH'!$E$42)+('ENG_OPS'!$M$49*'IN_TECH'!$F$42)+('ENG_OPS'!$M$50*'IN_TECH'!$G$42)+('ENG_OPS'!$M$51*'IN_TECH'!$H$42)+('ENG_OPS'!$M$52*'IN_TECH'!$I$42)</f>
        <v/>
      </c>
      <c r="N64" s="14">
        <f>('ENG_OPS'!$N$47*'IN_TECH'!$D$42)+('ENG_OPS'!$N$48*'IN_TECH'!$E$42)+('ENG_OPS'!$N$49*'IN_TECH'!$F$42)+('ENG_OPS'!$N$50*'IN_TECH'!$G$42)+('ENG_OPS'!$N$51*'IN_TECH'!$H$42)+('ENG_OPS'!$N$52*'IN_TECH'!$I$42)</f>
        <v/>
      </c>
      <c r="O64" s="14">
        <f>('ENG_OPS'!$O$47*'IN_TECH'!$D$42)+('ENG_OPS'!$O$48*'IN_TECH'!$E$42)+('ENG_OPS'!$O$49*'IN_TECH'!$F$42)+('ENG_OPS'!$O$50*'IN_TECH'!$G$42)+('ENG_OPS'!$O$51*'IN_TECH'!$H$42)+('ENG_OPS'!$O$52*'IN_TECH'!$I$42)</f>
        <v/>
      </c>
      <c r="P64" s="14">
        <f>('ENG_OPS'!$P$47*'IN_TECH'!$D$42)+('ENG_OPS'!$P$48*'IN_TECH'!$E$42)+('ENG_OPS'!$P$49*'IN_TECH'!$F$42)+('ENG_OPS'!$P$50*'IN_TECH'!$G$42)+('ENG_OPS'!$P$51*'IN_TECH'!$H$42)+('ENG_OPS'!$P$52*'IN_TECH'!$I$42)</f>
        <v/>
      </c>
    </row>
    <row r="65"/>
    <row r="66">
      <c r="A66" s="6" t="inlineStr">
        <is>
          <t>و) قیمت‌گذاری و درآمد</t>
        </is>
      </c>
      <c r="B66" s="7" t="n"/>
      <c r="C66" s="7" t="n"/>
      <c r="D66" s="7" t="n"/>
      <c r="E66" s="7" t="n"/>
      <c r="F66" s="7" t="n"/>
      <c r="G66" s="7" t="n"/>
      <c r="H66" s="7" t="n"/>
      <c r="I66" s="7" t="n"/>
      <c r="J66" s="7" t="n"/>
      <c r="K66" s="7" t="n"/>
      <c r="L66" s="7" t="n"/>
      <c r="M66" s="7" t="n"/>
      <c r="N66" s="7" t="n"/>
      <c r="O66" s="7" t="n"/>
      <c r="P66" s="7" t="n"/>
    </row>
    <row r="67">
      <c r="A67" t="inlineStr">
        <is>
          <t>قیمت فروش محصول 1</t>
        </is>
      </c>
      <c r="B67" s="8" t="inlineStr">
        <is>
          <t>OPS.price</t>
        </is>
      </c>
      <c r="C67" s="9" t="inlineStr">
        <is>
          <t>میلیون ریال/تن</t>
        </is>
      </c>
      <c r="D67" s="13">
        <f>IF('IN_SALES'!$D$11=1,'ENG_SCEN'!$D$28*'ENG_SCEN'!$D$29/1000000*'IN_SALES'!$D$12,'IN_SALES'!$D$10*POWER(1+'IN_SALES'!$D$13,'IN_MACRO'!$D$23)*(1+'IN_SALES'!$D$14*('ENG_SCEN'!$D$29/'ENG_SCEN'!$D$29-1)))*'ENG_SCEN'!$G$12</f>
        <v/>
      </c>
      <c r="E67" s="13">
        <f>IF('IN_SALES'!$D$11=1,'ENG_SCEN'!$E$28*'ENG_SCEN'!$E$29/1000000*'IN_SALES'!$D$12,'IN_SALES'!$D$10*POWER(1+'IN_SALES'!$D$13,'IN_MACRO'!$E$23)*(1+'IN_SALES'!$D$14*('ENG_SCEN'!$E$29/'ENG_SCEN'!$D$29-1)))*'ENG_SCEN'!$G$12</f>
        <v/>
      </c>
      <c r="F67" s="13">
        <f>IF('IN_SALES'!$D$11=1,'ENG_SCEN'!$F$28*'ENG_SCEN'!$F$29/1000000*'IN_SALES'!$D$12,'IN_SALES'!$D$10*POWER(1+'IN_SALES'!$D$13,'IN_MACRO'!$F$23)*(1+'IN_SALES'!$D$14*('ENG_SCEN'!$F$29/'ENG_SCEN'!$D$29-1)))*'ENG_SCEN'!$G$12</f>
        <v/>
      </c>
      <c r="G67" s="13">
        <f>IF('IN_SALES'!$D$11=1,'ENG_SCEN'!$G$28*'ENG_SCEN'!$G$29/1000000*'IN_SALES'!$D$12,'IN_SALES'!$D$10*POWER(1+'IN_SALES'!$D$13,'IN_MACRO'!$G$23)*(1+'IN_SALES'!$D$14*('ENG_SCEN'!$G$29/'ENG_SCEN'!$D$29-1)))*'ENG_SCEN'!$G$12</f>
        <v/>
      </c>
      <c r="H67" s="13">
        <f>IF('IN_SALES'!$D$11=1,'ENG_SCEN'!$H$28*'ENG_SCEN'!$H$29/1000000*'IN_SALES'!$D$12,'IN_SALES'!$D$10*POWER(1+'IN_SALES'!$D$13,'IN_MACRO'!$H$23)*(1+'IN_SALES'!$D$14*('ENG_SCEN'!$H$29/'ENG_SCEN'!$D$29-1)))*'ENG_SCEN'!$G$12</f>
        <v/>
      </c>
      <c r="I67" s="13">
        <f>IF('IN_SALES'!$D$11=1,'ENG_SCEN'!$I$28*'ENG_SCEN'!$I$29/1000000*'IN_SALES'!$D$12,'IN_SALES'!$D$10*POWER(1+'IN_SALES'!$D$13,'IN_MACRO'!$I$23)*(1+'IN_SALES'!$D$14*('ENG_SCEN'!$I$29/'ENG_SCEN'!$D$29-1)))*'ENG_SCEN'!$G$12</f>
        <v/>
      </c>
      <c r="J67" s="13">
        <f>IF('IN_SALES'!$D$11=1,'ENG_SCEN'!$J$28*'ENG_SCEN'!$J$29/1000000*'IN_SALES'!$D$12,'IN_SALES'!$D$10*POWER(1+'IN_SALES'!$D$13,'IN_MACRO'!$J$23)*(1+'IN_SALES'!$D$14*('ENG_SCEN'!$J$29/'ENG_SCEN'!$D$29-1)))*'ENG_SCEN'!$G$12</f>
        <v/>
      </c>
      <c r="K67" s="13">
        <f>IF('IN_SALES'!$D$11=1,'ENG_SCEN'!$K$28*'ENG_SCEN'!$K$29/1000000*'IN_SALES'!$D$12,'IN_SALES'!$D$10*POWER(1+'IN_SALES'!$D$13,'IN_MACRO'!$K$23)*(1+'IN_SALES'!$D$14*('ENG_SCEN'!$K$29/'ENG_SCEN'!$D$29-1)))*'ENG_SCEN'!$G$12</f>
        <v/>
      </c>
      <c r="L67" s="13">
        <f>IF('IN_SALES'!$D$11=1,'ENG_SCEN'!$L$28*'ENG_SCEN'!$L$29/1000000*'IN_SALES'!$D$12,'IN_SALES'!$D$10*POWER(1+'IN_SALES'!$D$13,'IN_MACRO'!$L$23)*(1+'IN_SALES'!$D$14*('ENG_SCEN'!$L$29/'ENG_SCEN'!$D$29-1)))*'ENG_SCEN'!$G$12</f>
        <v/>
      </c>
      <c r="M67" s="13">
        <f>IF('IN_SALES'!$D$11=1,'ENG_SCEN'!$M$28*'ENG_SCEN'!$M$29/1000000*'IN_SALES'!$D$12,'IN_SALES'!$D$10*POWER(1+'IN_SALES'!$D$13,'IN_MACRO'!$M$23)*(1+'IN_SALES'!$D$14*('ENG_SCEN'!$M$29/'ENG_SCEN'!$D$29-1)))*'ENG_SCEN'!$G$12</f>
        <v/>
      </c>
      <c r="N67" s="13">
        <f>IF('IN_SALES'!$D$11=1,'ENG_SCEN'!$N$28*'ENG_SCEN'!$N$29/1000000*'IN_SALES'!$D$12,'IN_SALES'!$D$10*POWER(1+'IN_SALES'!$D$13,'IN_MACRO'!$N$23)*(1+'IN_SALES'!$D$14*('ENG_SCEN'!$N$29/'ENG_SCEN'!$D$29-1)))*'ENG_SCEN'!$G$12</f>
        <v/>
      </c>
      <c r="O67" s="13">
        <f>IF('IN_SALES'!$D$11=1,'ENG_SCEN'!$O$28*'ENG_SCEN'!$O$29/1000000*'IN_SALES'!$D$12,'IN_SALES'!$D$10*POWER(1+'IN_SALES'!$D$13,'IN_MACRO'!$O$23)*(1+'IN_SALES'!$D$14*('ENG_SCEN'!$O$29/'ENG_SCEN'!$D$29-1)))*'ENG_SCEN'!$G$12</f>
        <v/>
      </c>
      <c r="P67" s="13">
        <f>IF('IN_SALES'!$D$11=1,'ENG_SCEN'!$P$28*'ENG_SCEN'!$P$29/1000000*'IN_SALES'!$D$12,'IN_SALES'!$D$10*POWER(1+'IN_SALES'!$D$13,'IN_MACRO'!$P$23)*(1+'IN_SALES'!$D$14*('ENG_SCEN'!$P$29/'ENG_SCEN'!$D$29-1)))*'ENG_SCEN'!$G$12</f>
        <v/>
      </c>
    </row>
    <row r="68">
      <c r="A68" t="inlineStr">
        <is>
          <t>قیمت فروش محصول 2</t>
        </is>
      </c>
      <c r="C68" s="9" t="inlineStr">
        <is>
          <t>میلیون ریال/تن</t>
        </is>
      </c>
      <c r="D68" s="13">
        <f>IF('IN_SALES'!$E$11=1,'ENG_SCEN'!$D$28*'ENG_SCEN'!$D$29/1000000*'IN_SALES'!$E$12,'IN_SALES'!$E$10*POWER(1+'IN_SALES'!$E$13,'IN_MACRO'!$D$23)*(1+'IN_SALES'!$E$14*('ENG_SCEN'!$D$29/'ENG_SCEN'!$D$29-1)))*'ENG_SCEN'!$G$12</f>
        <v/>
      </c>
      <c r="E68" s="13">
        <f>IF('IN_SALES'!$E$11=1,'ENG_SCEN'!$E$28*'ENG_SCEN'!$E$29/1000000*'IN_SALES'!$E$12,'IN_SALES'!$E$10*POWER(1+'IN_SALES'!$E$13,'IN_MACRO'!$E$23)*(1+'IN_SALES'!$E$14*('ENG_SCEN'!$E$29/'ENG_SCEN'!$D$29-1)))*'ENG_SCEN'!$G$12</f>
        <v/>
      </c>
      <c r="F68" s="13">
        <f>IF('IN_SALES'!$E$11=1,'ENG_SCEN'!$F$28*'ENG_SCEN'!$F$29/1000000*'IN_SALES'!$E$12,'IN_SALES'!$E$10*POWER(1+'IN_SALES'!$E$13,'IN_MACRO'!$F$23)*(1+'IN_SALES'!$E$14*('ENG_SCEN'!$F$29/'ENG_SCEN'!$D$29-1)))*'ENG_SCEN'!$G$12</f>
        <v/>
      </c>
      <c r="G68" s="13">
        <f>IF('IN_SALES'!$E$11=1,'ENG_SCEN'!$G$28*'ENG_SCEN'!$G$29/1000000*'IN_SALES'!$E$12,'IN_SALES'!$E$10*POWER(1+'IN_SALES'!$E$13,'IN_MACRO'!$G$23)*(1+'IN_SALES'!$E$14*('ENG_SCEN'!$G$29/'ENG_SCEN'!$D$29-1)))*'ENG_SCEN'!$G$12</f>
        <v/>
      </c>
      <c r="H68" s="13">
        <f>IF('IN_SALES'!$E$11=1,'ENG_SCEN'!$H$28*'ENG_SCEN'!$H$29/1000000*'IN_SALES'!$E$12,'IN_SALES'!$E$10*POWER(1+'IN_SALES'!$E$13,'IN_MACRO'!$H$23)*(1+'IN_SALES'!$E$14*('ENG_SCEN'!$H$29/'ENG_SCEN'!$D$29-1)))*'ENG_SCEN'!$G$12</f>
        <v/>
      </c>
      <c r="I68" s="13">
        <f>IF('IN_SALES'!$E$11=1,'ENG_SCEN'!$I$28*'ENG_SCEN'!$I$29/1000000*'IN_SALES'!$E$12,'IN_SALES'!$E$10*POWER(1+'IN_SALES'!$E$13,'IN_MACRO'!$I$23)*(1+'IN_SALES'!$E$14*('ENG_SCEN'!$I$29/'ENG_SCEN'!$D$29-1)))*'ENG_SCEN'!$G$12</f>
        <v/>
      </c>
      <c r="J68" s="13">
        <f>IF('IN_SALES'!$E$11=1,'ENG_SCEN'!$J$28*'ENG_SCEN'!$J$29/1000000*'IN_SALES'!$E$12,'IN_SALES'!$E$10*POWER(1+'IN_SALES'!$E$13,'IN_MACRO'!$J$23)*(1+'IN_SALES'!$E$14*('ENG_SCEN'!$J$29/'ENG_SCEN'!$D$29-1)))*'ENG_SCEN'!$G$12</f>
        <v/>
      </c>
      <c r="K68" s="13">
        <f>IF('IN_SALES'!$E$11=1,'ENG_SCEN'!$K$28*'ENG_SCEN'!$K$29/1000000*'IN_SALES'!$E$12,'IN_SALES'!$E$10*POWER(1+'IN_SALES'!$E$13,'IN_MACRO'!$K$23)*(1+'IN_SALES'!$E$14*('ENG_SCEN'!$K$29/'ENG_SCEN'!$D$29-1)))*'ENG_SCEN'!$G$12</f>
        <v/>
      </c>
      <c r="L68" s="13">
        <f>IF('IN_SALES'!$E$11=1,'ENG_SCEN'!$L$28*'ENG_SCEN'!$L$29/1000000*'IN_SALES'!$E$12,'IN_SALES'!$E$10*POWER(1+'IN_SALES'!$E$13,'IN_MACRO'!$L$23)*(1+'IN_SALES'!$E$14*('ENG_SCEN'!$L$29/'ENG_SCEN'!$D$29-1)))*'ENG_SCEN'!$G$12</f>
        <v/>
      </c>
      <c r="M68" s="13">
        <f>IF('IN_SALES'!$E$11=1,'ENG_SCEN'!$M$28*'ENG_SCEN'!$M$29/1000000*'IN_SALES'!$E$12,'IN_SALES'!$E$10*POWER(1+'IN_SALES'!$E$13,'IN_MACRO'!$M$23)*(1+'IN_SALES'!$E$14*('ENG_SCEN'!$M$29/'ENG_SCEN'!$D$29-1)))*'ENG_SCEN'!$G$12</f>
        <v/>
      </c>
      <c r="N68" s="13">
        <f>IF('IN_SALES'!$E$11=1,'ENG_SCEN'!$N$28*'ENG_SCEN'!$N$29/1000000*'IN_SALES'!$E$12,'IN_SALES'!$E$10*POWER(1+'IN_SALES'!$E$13,'IN_MACRO'!$N$23)*(1+'IN_SALES'!$E$14*('ENG_SCEN'!$N$29/'ENG_SCEN'!$D$29-1)))*'ENG_SCEN'!$G$12</f>
        <v/>
      </c>
      <c r="O68" s="13">
        <f>IF('IN_SALES'!$E$11=1,'ENG_SCEN'!$O$28*'ENG_SCEN'!$O$29/1000000*'IN_SALES'!$E$12,'IN_SALES'!$E$10*POWER(1+'IN_SALES'!$E$13,'IN_MACRO'!$O$23)*(1+'IN_SALES'!$E$14*('ENG_SCEN'!$O$29/'ENG_SCEN'!$D$29-1)))*'ENG_SCEN'!$G$12</f>
        <v/>
      </c>
      <c r="P68" s="13">
        <f>IF('IN_SALES'!$E$11=1,'ENG_SCEN'!$P$28*'ENG_SCEN'!$P$29/1000000*'IN_SALES'!$E$12,'IN_SALES'!$E$10*POWER(1+'IN_SALES'!$E$13,'IN_MACRO'!$P$23)*(1+'IN_SALES'!$E$14*('ENG_SCEN'!$P$29/'ENG_SCEN'!$D$29-1)))*'ENG_SCEN'!$G$12</f>
        <v/>
      </c>
    </row>
    <row r="69">
      <c r="A69" t="inlineStr">
        <is>
          <t>قیمت فروش محصول 3</t>
        </is>
      </c>
      <c r="C69" s="9" t="inlineStr">
        <is>
          <t>میلیون ریال/تن</t>
        </is>
      </c>
      <c r="D69" s="13">
        <f>IF('IN_SALES'!$F$11=1,'ENG_SCEN'!$D$28*'ENG_SCEN'!$D$29/1000000*'IN_SALES'!$F$12,'IN_SALES'!$F$10*POWER(1+'IN_SALES'!$F$13,'IN_MACRO'!$D$23)*(1+'IN_SALES'!$F$14*('ENG_SCEN'!$D$29/'ENG_SCEN'!$D$29-1)))*'ENG_SCEN'!$G$12</f>
        <v/>
      </c>
      <c r="E69" s="13">
        <f>IF('IN_SALES'!$F$11=1,'ENG_SCEN'!$E$28*'ENG_SCEN'!$E$29/1000000*'IN_SALES'!$F$12,'IN_SALES'!$F$10*POWER(1+'IN_SALES'!$F$13,'IN_MACRO'!$E$23)*(1+'IN_SALES'!$F$14*('ENG_SCEN'!$E$29/'ENG_SCEN'!$D$29-1)))*'ENG_SCEN'!$G$12</f>
        <v/>
      </c>
      <c r="F69" s="13">
        <f>IF('IN_SALES'!$F$11=1,'ENG_SCEN'!$F$28*'ENG_SCEN'!$F$29/1000000*'IN_SALES'!$F$12,'IN_SALES'!$F$10*POWER(1+'IN_SALES'!$F$13,'IN_MACRO'!$F$23)*(1+'IN_SALES'!$F$14*('ENG_SCEN'!$F$29/'ENG_SCEN'!$D$29-1)))*'ENG_SCEN'!$G$12</f>
        <v/>
      </c>
      <c r="G69" s="13">
        <f>IF('IN_SALES'!$F$11=1,'ENG_SCEN'!$G$28*'ENG_SCEN'!$G$29/1000000*'IN_SALES'!$F$12,'IN_SALES'!$F$10*POWER(1+'IN_SALES'!$F$13,'IN_MACRO'!$G$23)*(1+'IN_SALES'!$F$14*('ENG_SCEN'!$G$29/'ENG_SCEN'!$D$29-1)))*'ENG_SCEN'!$G$12</f>
        <v/>
      </c>
      <c r="H69" s="13">
        <f>IF('IN_SALES'!$F$11=1,'ENG_SCEN'!$H$28*'ENG_SCEN'!$H$29/1000000*'IN_SALES'!$F$12,'IN_SALES'!$F$10*POWER(1+'IN_SALES'!$F$13,'IN_MACRO'!$H$23)*(1+'IN_SALES'!$F$14*('ENG_SCEN'!$H$29/'ENG_SCEN'!$D$29-1)))*'ENG_SCEN'!$G$12</f>
        <v/>
      </c>
      <c r="I69" s="13">
        <f>IF('IN_SALES'!$F$11=1,'ENG_SCEN'!$I$28*'ENG_SCEN'!$I$29/1000000*'IN_SALES'!$F$12,'IN_SALES'!$F$10*POWER(1+'IN_SALES'!$F$13,'IN_MACRO'!$I$23)*(1+'IN_SALES'!$F$14*('ENG_SCEN'!$I$29/'ENG_SCEN'!$D$29-1)))*'ENG_SCEN'!$G$12</f>
        <v/>
      </c>
      <c r="J69" s="13">
        <f>IF('IN_SALES'!$F$11=1,'ENG_SCEN'!$J$28*'ENG_SCEN'!$J$29/1000000*'IN_SALES'!$F$12,'IN_SALES'!$F$10*POWER(1+'IN_SALES'!$F$13,'IN_MACRO'!$J$23)*(1+'IN_SALES'!$F$14*('ENG_SCEN'!$J$29/'ENG_SCEN'!$D$29-1)))*'ENG_SCEN'!$G$12</f>
        <v/>
      </c>
      <c r="K69" s="13">
        <f>IF('IN_SALES'!$F$11=1,'ENG_SCEN'!$K$28*'ENG_SCEN'!$K$29/1000000*'IN_SALES'!$F$12,'IN_SALES'!$F$10*POWER(1+'IN_SALES'!$F$13,'IN_MACRO'!$K$23)*(1+'IN_SALES'!$F$14*('ENG_SCEN'!$K$29/'ENG_SCEN'!$D$29-1)))*'ENG_SCEN'!$G$12</f>
        <v/>
      </c>
      <c r="L69" s="13">
        <f>IF('IN_SALES'!$F$11=1,'ENG_SCEN'!$L$28*'ENG_SCEN'!$L$29/1000000*'IN_SALES'!$F$12,'IN_SALES'!$F$10*POWER(1+'IN_SALES'!$F$13,'IN_MACRO'!$L$23)*(1+'IN_SALES'!$F$14*('ENG_SCEN'!$L$29/'ENG_SCEN'!$D$29-1)))*'ENG_SCEN'!$G$12</f>
        <v/>
      </c>
      <c r="M69" s="13">
        <f>IF('IN_SALES'!$F$11=1,'ENG_SCEN'!$M$28*'ENG_SCEN'!$M$29/1000000*'IN_SALES'!$F$12,'IN_SALES'!$F$10*POWER(1+'IN_SALES'!$F$13,'IN_MACRO'!$M$23)*(1+'IN_SALES'!$F$14*('ENG_SCEN'!$M$29/'ENG_SCEN'!$D$29-1)))*'ENG_SCEN'!$G$12</f>
        <v/>
      </c>
      <c r="N69" s="13">
        <f>IF('IN_SALES'!$F$11=1,'ENG_SCEN'!$N$28*'ENG_SCEN'!$N$29/1000000*'IN_SALES'!$F$12,'IN_SALES'!$F$10*POWER(1+'IN_SALES'!$F$13,'IN_MACRO'!$N$23)*(1+'IN_SALES'!$F$14*('ENG_SCEN'!$N$29/'ENG_SCEN'!$D$29-1)))*'ENG_SCEN'!$G$12</f>
        <v/>
      </c>
      <c r="O69" s="13">
        <f>IF('IN_SALES'!$F$11=1,'ENG_SCEN'!$O$28*'ENG_SCEN'!$O$29/1000000*'IN_SALES'!$F$12,'IN_SALES'!$F$10*POWER(1+'IN_SALES'!$F$13,'IN_MACRO'!$O$23)*(1+'IN_SALES'!$F$14*('ENG_SCEN'!$O$29/'ENG_SCEN'!$D$29-1)))*'ENG_SCEN'!$G$12</f>
        <v/>
      </c>
      <c r="P69" s="13">
        <f>IF('IN_SALES'!$F$11=1,'ENG_SCEN'!$P$28*'ENG_SCEN'!$P$29/1000000*'IN_SALES'!$F$12,'IN_SALES'!$F$10*POWER(1+'IN_SALES'!$F$13,'IN_MACRO'!$P$23)*(1+'IN_SALES'!$F$14*('ENG_SCEN'!$P$29/'ENG_SCEN'!$D$29-1)))*'ENG_SCEN'!$G$12</f>
        <v/>
      </c>
    </row>
    <row r="70">
      <c r="A70" t="inlineStr">
        <is>
          <t>قیمت فروش محصول 4</t>
        </is>
      </c>
      <c r="C70" s="9" t="inlineStr">
        <is>
          <t>میلیون ریال/تن</t>
        </is>
      </c>
      <c r="D70" s="13">
        <f>IF('IN_SALES'!$G$11=1,'ENG_SCEN'!$D$28*'ENG_SCEN'!$D$29/1000000*'IN_SALES'!$G$12,'IN_SALES'!$G$10*POWER(1+'IN_SALES'!$G$13,'IN_MACRO'!$D$23)*(1+'IN_SALES'!$G$14*('ENG_SCEN'!$D$29/'ENG_SCEN'!$D$29-1)))*'ENG_SCEN'!$G$12</f>
        <v/>
      </c>
      <c r="E70" s="13">
        <f>IF('IN_SALES'!$G$11=1,'ENG_SCEN'!$E$28*'ENG_SCEN'!$E$29/1000000*'IN_SALES'!$G$12,'IN_SALES'!$G$10*POWER(1+'IN_SALES'!$G$13,'IN_MACRO'!$E$23)*(1+'IN_SALES'!$G$14*('ENG_SCEN'!$E$29/'ENG_SCEN'!$D$29-1)))*'ENG_SCEN'!$G$12</f>
        <v/>
      </c>
      <c r="F70" s="13">
        <f>IF('IN_SALES'!$G$11=1,'ENG_SCEN'!$F$28*'ENG_SCEN'!$F$29/1000000*'IN_SALES'!$G$12,'IN_SALES'!$G$10*POWER(1+'IN_SALES'!$G$13,'IN_MACRO'!$F$23)*(1+'IN_SALES'!$G$14*('ENG_SCEN'!$F$29/'ENG_SCEN'!$D$29-1)))*'ENG_SCEN'!$G$12</f>
        <v/>
      </c>
      <c r="G70" s="13">
        <f>IF('IN_SALES'!$G$11=1,'ENG_SCEN'!$G$28*'ENG_SCEN'!$G$29/1000000*'IN_SALES'!$G$12,'IN_SALES'!$G$10*POWER(1+'IN_SALES'!$G$13,'IN_MACRO'!$G$23)*(1+'IN_SALES'!$G$14*('ENG_SCEN'!$G$29/'ENG_SCEN'!$D$29-1)))*'ENG_SCEN'!$G$12</f>
        <v/>
      </c>
      <c r="H70" s="13">
        <f>IF('IN_SALES'!$G$11=1,'ENG_SCEN'!$H$28*'ENG_SCEN'!$H$29/1000000*'IN_SALES'!$G$12,'IN_SALES'!$G$10*POWER(1+'IN_SALES'!$G$13,'IN_MACRO'!$H$23)*(1+'IN_SALES'!$G$14*('ENG_SCEN'!$H$29/'ENG_SCEN'!$D$29-1)))*'ENG_SCEN'!$G$12</f>
        <v/>
      </c>
      <c r="I70" s="13">
        <f>IF('IN_SALES'!$G$11=1,'ENG_SCEN'!$I$28*'ENG_SCEN'!$I$29/1000000*'IN_SALES'!$G$12,'IN_SALES'!$G$10*POWER(1+'IN_SALES'!$G$13,'IN_MACRO'!$I$23)*(1+'IN_SALES'!$G$14*('ENG_SCEN'!$I$29/'ENG_SCEN'!$D$29-1)))*'ENG_SCEN'!$G$12</f>
        <v/>
      </c>
      <c r="J70" s="13">
        <f>IF('IN_SALES'!$G$11=1,'ENG_SCEN'!$J$28*'ENG_SCEN'!$J$29/1000000*'IN_SALES'!$G$12,'IN_SALES'!$G$10*POWER(1+'IN_SALES'!$G$13,'IN_MACRO'!$J$23)*(1+'IN_SALES'!$G$14*('ENG_SCEN'!$J$29/'ENG_SCEN'!$D$29-1)))*'ENG_SCEN'!$G$12</f>
        <v/>
      </c>
      <c r="K70" s="13">
        <f>IF('IN_SALES'!$G$11=1,'ENG_SCEN'!$K$28*'ENG_SCEN'!$K$29/1000000*'IN_SALES'!$G$12,'IN_SALES'!$G$10*POWER(1+'IN_SALES'!$G$13,'IN_MACRO'!$K$23)*(1+'IN_SALES'!$G$14*('ENG_SCEN'!$K$29/'ENG_SCEN'!$D$29-1)))*'ENG_SCEN'!$G$12</f>
        <v/>
      </c>
      <c r="L70" s="13">
        <f>IF('IN_SALES'!$G$11=1,'ENG_SCEN'!$L$28*'ENG_SCEN'!$L$29/1000000*'IN_SALES'!$G$12,'IN_SALES'!$G$10*POWER(1+'IN_SALES'!$G$13,'IN_MACRO'!$L$23)*(1+'IN_SALES'!$G$14*('ENG_SCEN'!$L$29/'ENG_SCEN'!$D$29-1)))*'ENG_SCEN'!$G$12</f>
        <v/>
      </c>
      <c r="M70" s="13">
        <f>IF('IN_SALES'!$G$11=1,'ENG_SCEN'!$M$28*'ENG_SCEN'!$M$29/1000000*'IN_SALES'!$G$12,'IN_SALES'!$G$10*POWER(1+'IN_SALES'!$G$13,'IN_MACRO'!$M$23)*(1+'IN_SALES'!$G$14*('ENG_SCEN'!$M$29/'ENG_SCEN'!$D$29-1)))*'ENG_SCEN'!$G$12</f>
        <v/>
      </c>
      <c r="N70" s="13">
        <f>IF('IN_SALES'!$G$11=1,'ENG_SCEN'!$N$28*'ENG_SCEN'!$N$29/1000000*'IN_SALES'!$G$12,'IN_SALES'!$G$10*POWER(1+'IN_SALES'!$G$13,'IN_MACRO'!$N$23)*(1+'IN_SALES'!$G$14*('ENG_SCEN'!$N$29/'ENG_SCEN'!$D$29-1)))*'ENG_SCEN'!$G$12</f>
        <v/>
      </c>
      <c r="O70" s="13">
        <f>IF('IN_SALES'!$G$11=1,'ENG_SCEN'!$O$28*'ENG_SCEN'!$O$29/1000000*'IN_SALES'!$G$12,'IN_SALES'!$G$10*POWER(1+'IN_SALES'!$G$13,'IN_MACRO'!$O$23)*(1+'IN_SALES'!$G$14*('ENG_SCEN'!$O$29/'ENG_SCEN'!$D$29-1)))*'ENG_SCEN'!$G$12</f>
        <v/>
      </c>
      <c r="P70" s="13">
        <f>IF('IN_SALES'!$G$11=1,'ENG_SCEN'!$P$28*'ENG_SCEN'!$P$29/1000000*'IN_SALES'!$G$12,'IN_SALES'!$G$10*POWER(1+'IN_SALES'!$G$13,'IN_MACRO'!$P$23)*(1+'IN_SALES'!$G$14*('ENG_SCEN'!$P$29/'ENG_SCEN'!$D$29-1)))*'ENG_SCEN'!$G$12</f>
        <v/>
      </c>
    </row>
    <row r="71">
      <c r="A71" t="inlineStr">
        <is>
          <t>مقدار فروش محصول 1</t>
        </is>
      </c>
      <c r="B71" s="8" t="inlineStr">
        <is>
          <t>OPS.vol</t>
        </is>
      </c>
      <c r="C71" s="9" t="inlineStr">
        <is>
          <t>تن</t>
        </is>
      </c>
      <c r="D71" s="14">
        <f>'ENG_OPS'!$D$39*'IN_SALES'!$D$16</f>
        <v/>
      </c>
      <c r="E71" s="14">
        <f>'ENG_OPS'!$E$39*'IN_SALES'!$D$16</f>
        <v/>
      </c>
      <c r="F71" s="14">
        <f>'ENG_OPS'!$F$39*'IN_SALES'!$D$16</f>
        <v/>
      </c>
      <c r="G71" s="14">
        <f>'ENG_OPS'!$G$39*'IN_SALES'!$D$16</f>
        <v/>
      </c>
      <c r="H71" s="14">
        <f>'ENG_OPS'!$H$39*'IN_SALES'!$D$16</f>
        <v/>
      </c>
      <c r="I71" s="14">
        <f>'ENG_OPS'!$I$39*'IN_SALES'!$D$16</f>
        <v/>
      </c>
      <c r="J71" s="14">
        <f>'ENG_OPS'!$J$39*'IN_SALES'!$D$16</f>
        <v/>
      </c>
      <c r="K71" s="14">
        <f>'ENG_OPS'!$K$39*'IN_SALES'!$D$16</f>
        <v/>
      </c>
      <c r="L71" s="14">
        <f>'ENG_OPS'!$L$39*'IN_SALES'!$D$16</f>
        <v/>
      </c>
      <c r="M71" s="14">
        <f>'ENG_OPS'!$M$39*'IN_SALES'!$D$16</f>
        <v/>
      </c>
      <c r="N71" s="14">
        <f>'ENG_OPS'!$N$39*'IN_SALES'!$D$16</f>
        <v/>
      </c>
      <c r="O71" s="14">
        <f>'ENG_OPS'!$O$39*'IN_SALES'!$D$16</f>
        <v/>
      </c>
      <c r="P71" s="14">
        <f>'ENG_OPS'!$P$39*'IN_SALES'!$D$16</f>
        <v/>
      </c>
    </row>
    <row r="72">
      <c r="A72" t="inlineStr">
        <is>
          <t>مقدار فروش محصول 2</t>
        </is>
      </c>
      <c r="C72" s="9" t="inlineStr">
        <is>
          <t>تن</t>
        </is>
      </c>
      <c r="D72" s="14">
        <f>'ENG_OPS'!$D$40*'IN_SALES'!$E$16</f>
        <v/>
      </c>
      <c r="E72" s="14">
        <f>'ENG_OPS'!$E$40*'IN_SALES'!$E$16</f>
        <v/>
      </c>
      <c r="F72" s="14">
        <f>'ENG_OPS'!$F$40*'IN_SALES'!$E$16</f>
        <v/>
      </c>
      <c r="G72" s="14">
        <f>'ENG_OPS'!$G$40*'IN_SALES'!$E$16</f>
        <v/>
      </c>
      <c r="H72" s="14">
        <f>'ENG_OPS'!$H$40*'IN_SALES'!$E$16</f>
        <v/>
      </c>
      <c r="I72" s="14">
        <f>'ENG_OPS'!$I$40*'IN_SALES'!$E$16</f>
        <v/>
      </c>
      <c r="J72" s="14">
        <f>'ENG_OPS'!$J$40*'IN_SALES'!$E$16</f>
        <v/>
      </c>
      <c r="K72" s="14">
        <f>'ENG_OPS'!$K$40*'IN_SALES'!$E$16</f>
        <v/>
      </c>
      <c r="L72" s="14">
        <f>'ENG_OPS'!$L$40*'IN_SALES'!$E$16</f>
        <v/>
      </c>
      <c r="M72" s="14">
        <f>'ENG_OPS'!$M$40*'IN_SALES'!$E$16</f>
        <v/>
      </c>
      <c r="N72" s="14">
        <f>'ENG_OPS'!$N$40*'IN_SALES'!$E$16</f>
        <v/>
      </c>
      <c r="O72" s="14">
        <f>'ENG_OPS'!$O$40*'IN_SALES'!$E$16</f>
        <v/>
      </c>
      <c r="P72" s="14">
        <f>'ENG_OPS'!$P$40*'IN_SALES'!$E$16</f>
        <v/>
      </c>
    </row>
    <row r="73">
      <c r="A73" t="inlineStr">
        <is>
          <t>مقدار فروش محصول 3</t>
        </is>
      </c>
      <c r="C73" s="9" t="inlineStr">
        <is>
          <t>تن</t>
        </is>
      </c>
      <c r="D73" s="14">
        <f>'ENG_OPS'!$D$41*'IN_SALES'!$F$16</f>
        <v/>
      </c>
      <c r="E73" s="14">
        <f>'ENG_OPS'!$E$41*'IN_SALES'!$F$16</f>
        <v/>
      </c>
      <c r="F73" s="14">
        <f>'ENG_OPS'!$F$41*'IN_SALES'!$F$16</f>
        <v/>
      </c>
      <c r="G73" s="14">
        <f>'ENG_OPS'!$G$41*'IN_SALES'!$F$16</f>
        <v/>
      </c>
      <c r="H73" s="14">
        <f>'ENG_OPS'!$H$41*'IN_SALES'!$F$16</f>
        <v/>
      </c>
      <c r="I73" s="14">
        <f>'ENG_OPS'!$I$41*'IN_SALES'!$F$16</f>
        <v/>
      </c>
      <c r="J73" s="14">
        <f>'ENG_OPS'!$J$41*'IN_SALES'!$F$16</f>
        <v/>
      </c>
      <c r="K73" s="14">
        <f>'ENG_OPS'!$K$41*'IN_SALES'!$F$16</f>
        <v/>
      </c>
      <c r="L73" s="14">
        <f>'ENG_OPS'!$L$41*'IN_SALES'!$F$16</f>
        <v/>
      </c>
      <c r="M73" s="14">
        <f>'ENG_OPS'!$M$41*'IN_SALES'!$F$16</f>
        <v/>
      </c>
      <c r="N73" s="14">
        <f>'ENG_OPS'!$N$41*'IN_SALES'!$F$16</f>
        <v/>
      </c>
      <c r="O73" s="14">
        <f>'ENG_OPS'!$O$41*'IN_SALES'!$F$16</f>
        <v/>
      </c>
      <c r="P73" s="14">
        <f>'ENG_OPS'!$P$41*'IN_SALES'!$F$16</f>
        <v/>
      </c>
    </row>
    <row r="74">
      <c r="A74" t="inlineStr">
        <is>
          <t>مقدار فروش محصول 4</t>
        </is>
      </c>
      <c r="C74" s="9" t="inlineStr">
        <is>
          <t>تن</t>
        </is>
      </c>
      <c r="D74" s="14">
        <f>'ENG_OPS'!$D$42*'IN_SALES'!$G$16</f>
        <v/>
      </c>
      <c r="E74" s="14">
        <f>'ENG_OPS'!$E$42*'IN_SALES'!$G$16</f>
        <v/>
      </c>
      <c r="F74" s="14">
        <f>'ENG_OPS'!$F$42*'IN_SALES'!$G$16</f>
        <v/>
      </c>
      <c r="G74" s="14">
        <f>'ENG_OPS'!$G$42*'IN_SALES'!$G$16</f>
        <v/>
      </c>
      <c r="H74" s="14">
        <f>'ENG_OPS'!$H$42*'IN_SALES'!$G$16</f>
        <v/>
      </c>
      <c r="I74" s="14">
        <f>'ENG_OPS'!$I$42*'IN_SALES'!$G$16</f>
        <v/>
      </c>
      <c r="J74" s="14">
        <f>'ENG_OPS'!$J$42*'IN_SALES'!$G$16</f>
        <v/>
      </c>
      <c r="K74" s="14">
        <f>'ENG_OPS'!$K$42*'IN_SALES'!$G$16</f>
        <v/>
      </c>
      <c r="L74" s="14">
        <f>'ENG_OPS'!$L$42*'IN_SALES'!$G$16</f>
        <v/>
      </c>
      <c r="M74" s="14">
        <f>'ENG_OPS'!$M$42*'IN_SALES'!$G$16</f>
        <v/>
      </c>
      <c r="N74" s="14">
        <f>'ENG_OPS'!$N$42*'IN_SALES'!$G$16</f>
        <v/>
      </c>
      <c r="O74" s="14">
        <f>'ENG_OPS'!$O$42*'IN_SALES'!$G$16</f>
        <v/>
      </c>
      <c r="P74" s="14">
        <f>'ENG_OPS'!$P$42*'IN_SALES'!$G$16</f>
        <v/>
      </c>
    </row>
    <row r="75">
      <c r="A75" t="inlineStr">
        <is>
          <t>درآمد ناخالص محصول 1</t>
        </is>
      </c>
      <c r="B75" s="8" t="inlineStr">
        <is>
          <t>OPS.grev</t>
        </is>
      </c>
      <c r="C75" s="9" t="inlineStr">
        <is>
          <t>میلیون ریال</t>
        </is>
      </c>
      <c r="D75" s="14">
        <f>'ENG_OPS'!$D$71*'ENG_OPS'!$D$67</f>
        <v/>
      </c>
      <c r="E75" s="14">
        <f>'ENG_OPS'!$E$71*'ENG_OPS'!$E$67</f>
        <v/>
      </c>
      <c r="F75" s="14">
        <f>'ENG_OPS'!$F$71*'ENG_OPS'!$F$67</f>
        <v/>
      </c>
      <c r="G75" s="14">
        <f>'ENG_OPS'!$G$71*'ENG_OPS'!$G$67</f>
        <v/>
      </c>
      <c r="H75" s="14">
        <f>'ENG_OPS'!$H$71*'ENG_OPS'!$H$67</f>
        <v/>
      </c>
      <c r="I75" s="14">
        <f>'ENG_OPS'!$I$71*'ENG_OPS'!$I$67</f>
        <v/>
      </c>
      <c r="J75" s="14">
        <f>'ENG_OPS'!$J$71*'ENG_OPS'!$J$67</f>
        <v/>
      </c>
      <c r="K75" s="14">
        <f>'ENG_OPS'!$K$71*'ENG_OPS'!$K$67</f>
        <v/>
      </c>
      <c r="L75" s="14">
        <f>'ENG_OPS'!$L$71*'ENG_OPS'!$L$67</f>
        <v/>
      </c>
      <c r="M75" s="14">
        <f>'ENG_OPS'!$M$71*'ENG_OPS'!$M$67</f>
        <v/>
      </c>
      <c r="N75" s="14">
        <f>'ENG_OPS'!$N$71*'ENG_OPS'!$N$67</f>
        <v/>
      </c>
      <c r="O75" s="14">
        <f>'ENG_OPS'!$O$71*'ENG_OPS'!$O$67</f>
        <v/>
      </c>
      <c r="P75" s="14">
        <f>'ENG_OPS'!$P$71*'ENG_OPS'!$P$67</f>
        <v/>
      </c>
    </row>
    <row r="76">
      <c r="A76" t="inlineStr">
        <is>
          <t>درآمد ناخالص محصول 2</t>
        </is>
      </c>
      <c r="C76" s="9" t="inlineStr">
        <is>
          <t>میلیون ریال</t>
        </is>
      </c>
      <c r="D76" s="14">
        <f>'ENG_OPS'!$D$72*'ENG_OPS'!$D$68</f>
        <v/>
      </c>
      <c r="E76" s="14">
        <f>'ENG_OPS'!$E$72*'ENG_OPS'!$E$68</f>
        <v/>
      </c>
      <c r="F76" s="14">
        <f>'ENG_OPS'!$F$72*'ENG_OPS'!$F$68</f>
        <v/>
      </c>
      <c r="G76" s="14">
        <f>'ENG_OPS'!$G$72*'ENG_OPS'!$G$68</f>
        <v/>
      </c>
      <c r="H76" s="14">
        <f>'ENG_OPS'!$H$72*'ENG_OPS'!$H$68</f>
        <v/>
      </c>
      <c r="I76" s="14">
        <f>'ENG_OPS'!$I$72*'ENG_OPS'!$I$68</f>
        <v/>
      </c>
      <c r="J76" s="14">
        <f>'ENG_OPS'!$J$72*'ENG_OPS'!$J$68</f>
        <v/>
      </c>
      <c r="K76" s="14">
        <f>'ENG_OPS'!$K$72*'ENG_OPS'!$K$68</f>
        <v/>
      </c>
      <c r="L76" s="14">
        <f>'ENG_OPS'!$L$72*'ENG_OPS'!$L$68</f>
        <v/>
      </c>
      <c r="M76" s="14">
        <f>'ENG_OPS'!$M$72*'ENG_OPS'!$M$68</f>
        <v/>
      </c>
      <c r="N76" s="14">
        <f>'ENG_OPS'!$N$72*'ENG_OPS'!$N$68</f>
        <v/>
      </c>
      <c r="O76" s="14">
        <f>'ENG_OPS'!$O$72*'ENG_OPS'!$O$68</f>
        <v/>
      </c>
      <c r="P76" s="14">
        <f>'ENG_OPS'!$P$72*'ENG_OPS'!$P$68</f>
        <v/>
      </c>
    </row>
    <row r="77">
      <c r="A77" t="inlineStr">
        <is>
          <t>درآمد ناخالص محصول 3</t>
        </is>
      </c>
      <c r="C77" s="9" t="inlineStr">
        <is>
          <t>میلیون ریال</t>
        </is>
      </c>
      <c r="D77" s="14">
        <f>'ENG_OPS'!$D$73*'ENG_OPS'!$D$69</f>
        <v/>
      </c>
      <c r="E77" s="14">
        <f>'ENG_OPS'!$E$73*'ENG_OPS'!$E$69</f>
        <v/>
      </c>
      <c r="F77" s="14">
        <f>'ENG_OPS'!$F$73*'ENG_OPS'!$F$69</f>
        <v/>
      </c>
      <c r="G77" s="14">
        <f>'ENG_OPS'!$G$73*'ENG_OPS'!$G$69</f>
        <v/>
      </c>
      <c r="H77" s="14">
        <f>'ENG_OPS'!$H$73*'ENG_OPS'!$H$69</f>
        <v/>
      </c>
      <c r="I77" s="14">
        <f>'ENG_OPS'!$I$73*'ENG_OPS'!$I$69</f>
        <v/>
      </c>
      <c r="J77" s="14">
        <f>'ENG_OPS'!$J$73*'ENG_OPS'!$J$69</f>
        <v/>
      </c>
      <c r="K77" s="14">
        <f>'ENG_OPS'!$K$73*'ENG_OPS'!$K$69</f>
        <v/>
      </c>
      <c r="L77" s="14">
        <f>'ENG_OPS'!$L$73*'ENG_OPS'!$L$69</f>
        <v/>
      </c>
      <c r="M77" s="14">
        <f>'ENG_OPS'!$M$73*'ENG_OPS'!$M$69</f>
        <v/>
      </c>
      <c r="N77" s="14">
        <f>'ENG_OPS'!$N$73*'ENG_OPS'!$N$69</f>
        <v/>
      </c>
      <c r="O77" s="14">
        <f>'ENG_OPS'!$O$73*'ENG_OPS'!$O$69</f>
        <v/>
      </c>
      <c r="P77" s="14">
        <f>'ENG_OPS'!$P$73*'ENG_OPS'!$P$69</f>
        <v/>
      </c>
    </row>
    <row r="78">
      <c r="A78" t="inlineStr">
        <is>
          <t>درآمد ناخالص محصول 4</t>
        </is>
      </c>
      <c r="C78" s="9" t="inlineStr">
        <is>
          <t>میلیون ریال</t>
        </is>
      </c>
      <c r="D78" s="14">
        <f>'ENG_OPS'!$D$74*'ENG_OPS'!$D$70</f>
        <v/>
      </c>
      <c r="E78" s="14">
        <f>'ENG_OPS'!$E$74*'ENG_OPS'!$E$70</f>
        <v/>
      </c>
      <c r="F78" s="14">
        <f>'ENG_OPS'!$F$74*'ENG_OPS'!$F$70</f>
        <v/>
      </c>
      <c r="G78" s="14">
        <f>'ENG_OPS'!$G$74*'ENG_OPS'!$G$70</f>
        <v/>
      </c>
      <c r="H78" s="14">
        <f>'ENG_OPS'!$H$74*'ENG_OPS'!$H$70</f>
        <v/>
      </c>
      <c r="I78" s="14">
        <f>'ENG_OPS'!$I$74*'ENG_OPS'!$I$70</f>
        <v/>
      </c>
      <c r="J78" s="14">
        <f>'ENG_OPS'!$J$74*'ENG_OPS'!$J$70</f>
        <v/>
      </c>
      <c r="K78" s="14">
        <f>'ENG_OPS'!$K$74*'ENG_OPS'!$K$70</f>
        <v/>
      </c>
      <c r="L78" s="14">
        <f>'ENG_OPS'!$L$74*'ENG_OPS'!$L$70</f>
        <v/>
      </c>
      <c r="M78" s="14">
        <f>'ENG_OPS'!$M$74*'ENG_OPS'!$M$70</f>
        <v/>
      </c>
      <c r="N78" s="14">
        <f>'ENG_OPS'!$N$74*'ENG_OPS'!$N$70</f>
        <v/>
      </c>
      <c r="O78" s="14">
        <f>'ENG_OPS'!$O$74*'ENG_OPS'!$O$70</f>
        <v/>
      </c>
      <c r="P78" s="14">
        <f>'ENG_OPS'!$P$74*'ENG_OPS'!$P$70</f>
        <v/>
      </c>
    </row>
    <row r="79">
      <c r="A79" t="inlineStr">
        <is>
          <t>جمع درآمد ناخالص</t>
        </is>
      </c>
      <c r="B79" s="8" t="inlineStr">
        <is>
          <t>OPS.grev_t</t>
        </is>
      </c>
      <c r="C79" s="9" t="inlineStr">
        <is>
          <t>میلیون ریال</t>
        </is>
      </c>
      <c r="D79" s="14">
        <f>'ENG_OPS'!$D$75+'ENG_OPS'!$D$76+'ENG_OPS'!$D$77+'ENG_OPS'!$D$78</f>
        <v/>
      </c>
      <c r="E79" s="14">
        <f>'ENG_OPS'!$E$75+'ENG_OPS'!$E$76+'ENG_OPS'!$E$77+'ENG_OPS'!$E$78</f>
        <v/>
      </c>
      <c r="F79" s="14">
        <f>'ENG_OPS'!$F$75+'ENG_OPS'!$F$76+'ENG_OPS'!$F$77+'ENG_OPS'!$F$78</f>
        <v/>
      </c>
      <c r="G79" s="14">
        <f>'ENG_OPS'!$G$75+'ENG_OPS'!$G$76+'ENG_OPS'!$G$77+'ENG_OPS'!$G$78</f>
        <v/>
      </c>
      <c r="H79" s="14">
        <f>'ENG_OPS'!$H$75+'ENG_OPS'!$H$76+'ENG_OPS'!$H$77+'ENG_OPS'!$H$78</f>
        <v/>
      </c>
      <c r="I79" s="14">
        <f>'ENG_OPS'!$I$75+'ENG_OPS'!$I$76+'ENG_OPS'!$I$77+'ENG_OPS'!$I$78</f>
        <v/>
      </c>
      <c r="J79" s="14">
        <f>'ENG_OPS'!$J$75+'ENG_OPS'!$J$76+'ENG_OPS'!$J$77+'ENG_OPS'!$J$78</f>
        <v/>
      </c>
      <c r="K79" s="14">
        <f>'ENG_OPS'!$K$75+'ENG_OPS'!$K$76+'ENG_OPS'!$K$77+'ENG_OPS'!$K$78</f>
        <v/>
      </c>
      <c r="L79" s="14">
        <f>'ENG_OPS'!$L$75+'ENG_OPS'!$L$76+'ENG_OPS'!$L$77+'ENG_OPS'!$L$78</f>
        <v/>
      </c>
      <c r="M79" s="14">
        <f>'ENG_OPS'!$M$75+'ENG_OPS'!$M$76+'ENG_OPS'!$M$77+'ENG_OPS'!$M$78</f>
        <v/>
      </c>
      <c r="N79" s="14">
        <f>'ENG_OPS'!$N$75+'ENG_OPS'!$N$76+'ENG_OPS'!$N$77+'ENG_OPS'!$N$78</f>
        <v/>
      </c>
      <c r="O79" s="14">
        <f>'ENG_OPS'!$O$75+'ENG_OPS'!$O$76+'ENG_OPS'!$O$77+'ENG_OPS'!$O$78</f>
        <v/>
      </c>
      <c r="P79" s="14">
        <f>'ENG_OPS'!$P$75+'ENG_OPS'!$P$76+'ENG_OPS'!$P$77+'ENG_OPS'!$P$78</f>
        <v/>
      </c>
    </row>
    <row r="80">
      <c r="A80" t="inlineStr">
        <is>
          <t>تخفیفات و برگشت از فروش</t>
        </is>
      </c>
      <c r="B80" s="8" t="inlineStr">
        <is>
          <t>OPS.disc</t>
        </is>
      </c>
      <c r="C80" s="9" t="inlineStr">
        <is>
          <t>میلیون ریال</t>
        </is>
      </c>
      <c r="D80" s="14">
        <f>('ENG_OPS'!$D$75*'IN_SALES'!$D$15)+('ENG_OPS'!$D$76*'IN_SALES'!$E$15)+('ENG_OPS'!$D$77*'IN_SALES'!$F$15)+('ENG_OPS'!$D$78*'IN_SALES'!$G$15)</f>
        <v/>
      </c>
      <c r="E80" s="14">
        <f>('ENG_OPS'!$E$75*'IN_SALES'!$D$15)+('ENG_OPS'!$E$76*'IN_SALES'!$E$15)+('ENG_OPS'!$E$77*'IN_SALES'!$F$15)+('ENG_OPS'!$E$78*'IN_SALES'!$G$15)</f>
        <v/>
      </c>
      <c r="F80" s="14">
        <f>('ENG_OPS'!$F$75*'IN_SALES'!$D$15)+('ENG_OPS'!$F$76*'IN_SALES'!$E$15)+('ENG_OPS'!$F$77*'IN_SALES'!$F$15)+('ENG_OPS'!$F$78*'IN_SALES'!$G$15)</f>
        <v/>
      </c>
      <c r="G80" s="14">
        <f>('ENG_OPS'!$G$75*'IN_SALES'!$D$15)+('ENG_OPS'!$G$76*'IN_SALES'!$E$15)+('ENG_OPS'!$G$77*'IN_SALES'!$F$15)+('ENG_OPS'!$G$78*'IN_SALES'!$G$15)</f>
        <v/>
      </c>
      <c r="H80" s="14">
        <f>('ENG_OPS'!$H$75*'IN_SALES'!$D$15)+('ENG_OPS'!$H$76*'IN_SALES'!$E$15)+('ENG_OPS'!$H$77*'IN_SALES'!$F$15)+('ENG_OPS'!$H$78*'IN_SALES'!$G$15)</f>
        <v/>
      </c>
      <c r="I80" s="14">
        <f>('ENG_OPS'!$I$75*'IN_SALES'!$D$15)+('ENG_OPS'!$I$76*'IN_SALES'!$E$15)+('ENG_OPS'!$I$77*'IN_SALES'!$F$15)+('ENG_OPS'!$I$78*'IN_SALES'!$G$15)</f>
        <v/>
      </c>
      <c r="J80" s="14">
        <f>('ENG_OPS'!$J$75*'IN_SALES'!$D$15)+('ENG_OPS'!$J$76*'IN_SALES'!$E$15)+('ENG_OPS'!$J$77*'IN_SALES'!$F$15)+('ENG_OPS'!$J$78*'IN_SALES'!$G$15)</f>
        <v/>
      </c>
      <c r="K80" s="14">
        <f>('ENG_OPS'!$K$75*'IN_SALES'!$D$15)+('ENG_OPS'!$K$76*'IN_SALES'!$E$15)+('ENG_OPS'!$K$77*'IN_SALES'!$F$15)+('ENG_OPS'!$K$78*'IN_SALES'!$G$15)</f>
        <v/>
      </c>
      <c r="L80" s="14">
        <f>('ENG_OPS'!$L$75*'IN_SALES'!$D$15)+('ENG_OPS'!$L$76*'IN_SALES'!$E$15)+('ENG_OPS'!$L$77*'IN_SALES'!$F$15)+('ENG_OPS'!$L$78*'IN_SALES'!$G$15)</f>
        <v/>
      </c>
      <c r="M80" s="14">
        <f>('ENG_OPS'!$M$75*'IN_SALES'!$D$15)+('ENG_OPS'!$M$76*'IN_SALES'!$E$15)+('ENG_OPS'!$M$77*'IN_SALES'!$F$15)+('ENG_OPS'!$M$78*'IN_SALES'!$G$15)</f>
        <v/>
      </c>
      <c r="N80" s="14">
        <f>('ENG_OPS'!$N$75*'IN_SALES'!$D$15)+('ENG_OPS'!$N$76*'IN_SALES'!$E$15)+('ENG_OPS'!$N$77*'IN_SALES'!$F$15)+('ENG_OPS'!$N$78*'IN_SALES'!$G$15)</f>
        <v/>
      </c>
      <c r="O80" s="14">
        <f>('ENG_OPS'!$O$75*'IN_SALES'!$D$15)+('ENG_OPS'!$O$76*'IN_SALES'!$E$15)+('ENG_OPS'!$O$77*'IN_SALES'!$F$15)+('ENG_OPS'!$O$78*'IN_SALES'!$G$15)</f>
        <v/>
      </c>
      <c r="P80" s="14">
        <f>('ENG_OPS'!$P$75*'IN_SALES'!$D$15)+('ENG_OPS'!$P$76*'IN_SALES'!$E$15)+('ENG_OPS'!$P$77*'IN_SALES'!$F$15)+('ENG_OPS'!$P$78*'IN_SALES'!$G$15)</f>
        <v/>
      </c>
    </row>
    <row r="81">
      <c r="A81" t="inlineStr">
        <is>
          <t>درآمد خالص</t>
        </is>
      </c>
      <c r="B81" s="8" t="inlineStr">
        <is>
          <t>OPS.rev</t>
        </is>
      </c>
      <c r="C81" s="9" t="inlineStr">
        <is>
          <t>میلیون ریال</t>
        </is>
      </c>
      <c r="D81" s="14">
        <f>'ENG_OPS'!$D$79-'ENG_OPS'!$D$80</f>
        <v/>
      </c>
      <c r="E81" s="14">
        <f>'ENG_OPS'!$E$79-'ENG_OPS'!$E$80</f>
        <v/>
      </c>
      <c r="F81" s="14">
        <f>'ENG_OPS'!$F$79-'ENG_OPS'!$F$80</f>
        <v/>
      </c>
      <c r="G81" s="14">
        <f>'ENG_OPS'!$G$79-'ENG_OPS'!$G$80</f>
        <v/>
      </c>
      <c r="H81" s="14">
        <f>'ENG_OPS'!$H$79-'ENG_OPS'!$H$80</f>
        <v/>
      </c>
      <c r="I81" s="14">
        <f>'ENG_OPS'!$I$79-'ENG_OPS'!$I$80</f>
        <v/>
      </c>
      <c r="J81" s="14">
        <f>'ENG_OPS'!$J$79-'ENG_OPS'!$J$80</f>
        <v/>
      </c>
      <c r="K81" s="14">
        <f>'ENG_OPS'!$K$79-'ENG_OPS'!$K$80</f>
        <v/>
      </c>
      <c r="L81" s="14">
        <f>'ENG_OPS'!$L$79-'ENG_OPS'!$L$80</f>
        <v/>
      </c>
      <c r="M81" s="14">
        <f>'ENG_OPS'!$M$79-'ENG_OPS'!$M$80</f>
        <v/>
      </c>
      <c r="N81" s="14">
        <f>'ENG_OPS'!$N$79-'ENG_OPS'!$N$80</f>
        <v/>
      </c>
      <c r="O81" s="14">
        <f>'ENG_OPS'!$O$79-'ENG_OPS'!$O$80</f>
        <v/>
      </c>
      <c r="P81" s="14">
        <f>'ENG_OPS'!$P$79-'ENG_OPS'!$P$80</f>
        <v/>
      </c>
    </row>
    <row r="82">
      <c r="A82" t="inlineStr">
        <is>
          <t>جمع تن فروخته‌شده</t>
        </is>
      </c>
      <c r="B82" s="8" t="inlineStr">
        <is>
          <t>OPS.sold_tons</t>
        </is>
      </c>
      <c r="C82" s="9" t="inlineStr">
        <is>
          <t>تن</t>
        </is>
      </c>
      <c r="D82" s="14">
        <f>'ENG_OPS'!$D$71+'ENG_OPS'!$D$72+'ENG_OPS'!$D$73+'ENG_OPS'!$D$74</f>
        <v/>
      </c>
      <c r="E82" s="14">
        <f>'ENG_OPS'!$E$71+'ENG_OPS'!$E$72+'ENG_OPS'!$E$73+'ENG_OPS'!$E$74</f>
        <v/>
      </c>
      <c r="F82" s="14">
        <f>'ENG_OPS'!$F$71+'ENG_OPS'!$F$72+'ENG_OPS'!$F$73+'ENG_OPS'!$F$74</f>
        <v/>
      </c>
      <c r="G82" s="14">
        <f>'ENG_OPS'!$G$71+'ENG_OPS'!$G$72+'ENG_OPS'!$G$73+'ENG_OPS'!$G$74</f>
        <v/>
      </c>
      <c r="H82" s="14">
        <f>'ENG_OPS'!$H$71+'ENG_OPS'!$H$72+'ENG_OPS'!$H$73+'ENG_OPS'!$H$74</f>
        <v/>
      </c>
      <c r="I82" s="14">
        <f>'ENG_OPS'!$I$71+'ENG_OPS'!$I$72+'ENG_OPS'!$I$73+'ENG_OPS'!$I$74</f>
        <v/>
      </c>
      <c r="J82" s="14">
        <f>'ENG_OPS'!$J$71+'ENG_OPS'!$J$72+'ENG_OPS'!$J$73+'ENG_OPS'!$J$74</f>
        <v/>
      </c>
      <c r="K82" s="14">
        <f>'ENG_OPS'!$K$71+'ENG_OPS'!$K$72+'ENG_OPS'!$K$73+'ENG_OPS'!$K$74</f>
        <v/>
      </c>
      <c r="L82" s="14">
        <f>'ENG_OPS'!$L$71+'ENG_OPS'!$L$72+'ENG_OPS'!$L$73+'ENG_OPS'!$L$74</f>
        <v/>
      </c>
      <c r="M82" s="14">
        <f>'ENG_OPS'!$M$71+'ENG_OPS'!$M$72+'ENG_OPS'!$M$73+'ENG_OPS'!$M$74</f>
        <v/>
      </c>
      <c r="N82" s="14">
        <f>'ENG_OPS'!$N$71+'ENG_OPS'!$N$72+'ENG_OPS'!$N$73+'ENG_OPS'!$N$74</f>
        <v/>
      </c>
      <c r="O82" s="14">
        <f>'ENG_OPS'!$O$71+'ENG_OPS'!$O$72+'ENG_OPS'!$O$73+'ENG_OPS'!$O$74</f>
        <v/>
      </c>
      <c r="P82" s="14">
        <f>'ENG_OPS'!$P$71+'ENG_OPS'!$P$72+'ENG_OPS'!$P$73+'ENG_OPS'!$P$74</f>
        <v/>
      </c>
    </row>
    <row r="83">
      <c r="A83" t="inlineStr">
        <is>
          <t>درآمد خالص هر تن محصول</t>
        </is>
      </c>
      <c r="B83" s="8" t="inlineStr">
        <is>
          <t>OPS.rev_per_ton</t>
        </is>
      </c>
      <c r="C83" s="9" t="inlineStr">
        <is>
          <t>میلیون ریال/تن</t>
        </is>
      </c>
      <c r="D83" s="13">
        <f>IFERROR('ENG_OPS'!$D$81/'ENG_OPS'!$D$82,0)</f>
        <v/>
      </c>
      <c r="E83" s="13">
        <f>IFERROR('ENG_OPS'!$E$81/'ENG_OPS'!$E$82,0)</f>
        <v/>
      </c>
      <c r="F83" s="13">
        <f>IFERROR('ENG_OPS'!$F$81/'ENG_OPS'!$F$82,0)</f>
        <v/>
      </c>
      <c r="G83" s="13">
        <f>IFERROR('ENG_OPS'!$G$81/'ENG_OPS'!$G$82,0)</f>
        <v/>
      </c>
      <c r="H83" s="13">
        <f>IFERROR('ENG_OPS'!$H$81/'ENG_OPS'!$H$82,0)</f>
        <v/>
      </c>
      <c r="I83" s="13">
        <f>IFERROR('ENG_OPS'!$I$81/'ENG_OPS'!$I$82,0)</f>
        <v/>
      </c>
      <c r="J83" s="13">
        <f>IFERROR('ENG_OPS'!$J$81/'ENG_OPS'!$J$82,0)</f>
        <v/>
      </c>
      <c r="K83" s="13">
        <f>IFERROR('ENG_OPS'!$K$81/'ENG_OPS'!$K$82,0)</f>
        <v/>
      </c>
      <c r="L83" s="13">
        <f>IFERROR('ENG_OPS'!$L$81/'ENG_OPS'!$L$82,0)</f>
        <v/>
      </c>
      <c r="M83" s="13">
        <f>IFERROR('ENG_OPS'!$M$81/'ENG_OPS'!$M$82,0)</f>
        <v/>
      </c>
      <c r="N83" s="13">
        <f>IFERROR('ENG_OPS'!$N$81/'ENG_OPS'!$N$82,0)</f>
        <v/>
      </c>
      <c r="O83" s="13">
        <f>IFERROR('ENG_OPS'!$O$81/'ENG_OPS'!$O$82,0)</f>
        <v/>
      </c>
      <c r="P83" s="13">
        <f>IFERROR('ENG_OPS'!$P$81/'ENG_OPS'!$P$82,0)</f>
        <v/>
      </c>
    </row>
    <row r="84">
      <c r="A84" t="inlineStr">
        <is>
          <t>سهم ارزی درآمد (وزنی)</t>
        </is>
      </c>
      <c r="B84" s="8" t="inlineStr">
        <is>
          <t>OPS.fxsh_rev</t>
        </is>
      </c>
      <c r="C84" s="9" t="inlineStr">
        <is>
          <t>درصد</t>
        </is>
      </c>
      <c r="D84" s="11">
        <f>IFERROR((('ENG_OPS'!$D$75*'IN_SALES'!$D$14)+('ENG_OPS'!$D$76*'IN_SALES'!$E$14)+('ENG_OPS'!$D$77*'IN_SALES'!$F$14)+('ENG_OPS'!$D$78*'IN_SALES'!$G$14))/('ENG_OPS'!$D$79),0)</f>
        <v/>
      </c>
      <c r="E84" s="11">
        <f>IFERROR((('ENG_OPS'!$E$75*'IN_SALES'!$D$14)+('ENG_OPS'!$E$76*'IN_SALES'!$E$14)+('ENG_OPS'!$E$77*'IN_SALES'!$F$14)+('ENG_OPS'!$E$78*'IN_SALES'!$G$14))/('ENG_OPS'!$E$79),0)</f>
        <v/>
      </c>
      <c r="F84" s="11">
        <f>IFERROR((('ENG_OPS'!$F$75*'IN_SALES'!$D$14)+('ENG_OPS'!$F$76*'IN_SALES'!$E$14)+('ENG_OPS'!$F$77*'IN_SALES'!$F$14)+('ENG_OPS'!$F$78*'IN_SALES'!$G$14))/('ENG_OPS'!$F$79),0)</f>
        <v/>
      </c>
      <c r="G84" s="11">
        <f>IFERROR((('ENG_OPS'!$G$75*'IN_SALES'!$D$14)+('ENG_OPS'!$G$76*'IN_SALES'!$E$14)+('ENG_OPS'!$G$77*'IN_SALES'!$F$14)+('ENG_OPS'!$G$78*'IN_SALES'!$G$14))/('ENG_OPS'!$G$79),0)</f>
        <v/>
      </c>
      <c r="H84" s="11">
        <f>IFERROR((('ENG_OPS'!$H$75*'IN_SALES'!$D$14)+('ENG_OPS'!$H$76*'IN_SALES'!$E$14)+('ENG_OPS'!$H$77*'IN_SALES'!$F$14)+('ENG_OPS'!$H$78*'IN_SALES'!$G$14))/('ENG_OPS'!$H$79),0)</f>
        <v/>
      </c>
      <c r="I84" s="11">
        <f>IFERROR((('ENG_OPS'!$I$75*'IN_SALES'!$D$14)+('ENG_OPS'!$I$76*'IN_SALES'!$E$14)+('ENG_OPS'!$I$77*'IN_SALES'!$F$14)+('ENG_OPS'!$I$78*'IN_SALES'!$G$14))/('ENG_OPS'!$I$79),0)</f>
        <v/>
      </c>
      <c r="J84" s="11">
        <f>IFERROR((('ENG_OPS'!$J$75*'IN_SALES'!$D$14)+('ENG_OPS'!$J$76*'IN_SALES'!$E$14)+('ENG_OPS'!$J$77*'IN_SALES'!$F$14)+('ENG_OPS'!$J$78*'IN_SALES'!$G$14))/('ENG_OPS'!$J$79),0)</f>
        <v/>
      </c>
      <c r="K84" s="11">
        <f>IFERROR((('ENG_OPS'!$K$75*'IN_SALES'!$D$14)+('ENG_OPS'!$K$76*'IN_SALES'!$E$14)+('ENG_OPS'!$K$77*'IN_SALES'!$F$14)+('ENG_OPS'!$K$78*'IN_SALES'!$G$14))/('ENG_OPS'!$K$79),0)</f>
        <v/>
      </c>
      <c r="L84" s="11">
        <f>IFERROR((('ENG_OPS'!$L$75*'IN_SALES'!$D$14)+('ENG_OPS'!$L$76*'IN_SALES'!$E$14)+('ENG_OPS'!$L$77*'IN_SALES'!$F$14)+('ENG_OPS'!$L$78*'IN_SALES'!$G$14))/('ENG_OPS'!$L$79),0)</f>
        <v/>
      </c>
      <c r="M84" s="11">
        <f>IFERROR((('ENG_OPS'!$M$75*'IN_SALES'!$D$14)+('ENG_OPS'!$M$76*'IN_SALES'!$E$14)+('ENG_OPS'!$M$77*'IN_SALES'!$F$14)+('ENG_OPS'!$M$78*'IN_SALES'!$G$14))/('ENG_OPS'!$M$79),0)</f>
        <v/>
      </c>
      <c r="N84" s="11">
        <f>IFERROR((('ENG_OPS'!$N$75*'IN_SALES'!$D$14)+('ENG_OPS'!$N$76*'IN_SALES'!$E$14)+('ENG_OPS'!$N$77*'IN_SALES'!$F$14)+('ENG_OPS'!$N$78*'IN_SALES'!$G$14))/('ENG_OPS'!$N$79),0)</f>
        <v/>
      </c>
      <c r="O84" s="11">
        <f>IFERROR((('ENG_OPS'!$O$75*'IN_SALES'!$D$14)+('ENG_OPS'!$O$76*'IN_SALES'!$E$14)+('ENG_OPS'!$O$77*'IN_SALES'!$F$14)+('ENG_OPS'!$O$78*'IN_SALES'!$G$14))/('ENG_OPS'!$O$79),0)</f>
        <v/>
      </c>
      <c r="P84" s="11">
        <f>IFERROR((('ENG_OPS'!$P$75*'IN_SALES'!$D$14)+('ENG_OPS'!$P$76*'IN_SALES'!$E$14)+('ENG_OPS'!$P$77*'IN_SALES'!$F$14)+('ENG_OPS'!$P$78*'IN_SALES'!$G$14))/('ENG_OPS'!$P$79),0)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2026-10-07T09:26:51Z</dcterms:created>
  <dcterms:modified xsi:type="dcterms:W3CDTF">2026-10-07T09:26:51Z</dcterms:modified>
</cp:coreProperties>
</file>